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krish\Downloads\"/>
    </mc:Choice>
  </mc:AlternateContent>
  <xr:revisionPtr revIDLastSave="0" documentId="13_ncr:1_{5A83B2E6-E165-499A-ABDD-3E07029FB2FE}" xr6:coauthVersionLast="47" xr6:coauthVersionMax="47" xr10:uidLastSave="{00000000-0000-0000-0000-000000000000}"/>
  <bookViews>
    <workbookView xWindow="-110" yWindow="-110" windowWidth="19420" windowHeight="10300" activeTab="1" xr2:uid="{3CF695DE-6D05-4237-A47B-124F76E1FC68}"/>
  </bookViews>
  <sheets>
    <sheet name="Data" sheetId="1" r:id="rId1"/>
    <sheet name="Pivot Table" sheetId="2" r:id="rId2"/>
    <sheet name="Dashboard" sheetId="3" r:id="rId3"/>
  </sheets>
  <definedNames>
    <definedName name="_xlnm._FilterDatabase" localSheetId="0" hidden="1">Data!$A$1:$Y$1001</definedName>
    <definedName name="_xlchart.v5.0" hidden="1">'Pivot Table'!$E$42</definedName>
    <definedName name="_xlchart.v5.1" hidden="1">'Pivot Table'!$E$43:$E$92</definedName>
    <definedName name="_xlchart.v5.2" hidden="1">'Pivot Table'!$F$42</definedName>
    <definedName name="_xlchart.v5.3" hidden="1">'Pivot Table'!$F$43:$F$92</definedName>
    <definedName name="_xlchart.v5.4" hidden="1">'Pivot Table'!$E$42</definedName>
    <definedName name="_xlchart.v5.5" hidden="1">'Pivot Table'!$E$43:$E$92</definedName>
    <definedName name="_xlchart.v5.6" hidden="1">'Pivot Table'!$F$42</definedName>
    <definedName name="_xlchart.v5.7" hidden="1">'Pivot Table'!$F$43:$F$92</definedName>
    <definedName name="Slicer_Months__Order_Date">#N/A</definedName>
    <definedName name="Slicer_Quarters__Order_Date">#N/A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5" i="2" l="1"/>
  <c r="J12" i="2"/>
  <c r="H12" i="2"/>
  <c r="J8" i="2"/>
  <c r="J14" i="2"/>
  <c r="H8" i="2"/>
  <c r="J15" i="2" l="1"/>
</calcChain>
</file>

<file path=xl/sharedStrings.xml><?xml version="1.0" encoding="utf-8"?>
<sst xmlns="http://schemas.openxmlformats.org/spreadsheetml/2006/main" count="15168" uniqueCount="6639">
  <si>
    <t>Order ID</t>
  </si>
  <si>
    <t>Order Date</t>
  </si>
  <si>
    <t>Ship Date</t>
  </si>
  <si>
    <t>Customer ID</t>
  </si>
  <si>
    <t>Customer Name</t>
  </si>
  <si>
    <t>Customer Segment</t>
  </si>
  <si>
    <t>Product ID</t>
  </si>
  <si>
    <t>Product Name</t>
  </si>
  <si>
    <t>Category</t>
  </si>
  <si>
    <t>Region</t>
  </si>
  <si>
    <t>State</t>
  </si>
  <si>
    <t>City</t>
  </si>
  <si>
    <t>Quantity</t>
  </si>
  <si>
    <t>Unit Price</t>
  </si>
  <si>
    <t>Discount (%)</t>
  </si>
  <si>
    <t>Sales Amount</t>
  </si>
  <si>
    <t>Cost Price</t>
  </si>
  <si>
    <t>Profit</t>
  </si>
  <si>
    <t>Payment Mode</t>
  </si>
  <si>
    <t>Delivery Status</t>
  </si>
  <si>
    <t>Supplier Name</t>
  </si>
  <si>
    <t>Supplier Email</t>
  </si>
  <si>
    <t>Stock left</t>
  </si>
  <si>
    <t>Auto Reorder</t>
  </si>
  <si>
    <t>Reorder Quantity</t>
  </si>
  <si>
    <t>ORD1000</t>
  </si>
  <si>
    <t>CUST647</t>
  </si>
  <si>
    <t>Zachary Mills</t>
  </si>
  <si>
    <t>Home Office</t>
  </si>
  <si>
    <t>PROD4702</t>
  </si>
  <si>
    <t>Notebook</t>
  </si>
  <si>
    <t>Office Supplies</t>
  </si>
  <si>
    <t>North</t>
  </si>
  <si>
    <t>Washington</t>
  </si>
  <si>
    <t>Lake Lisamouth</t>
  </si>
  <si>
    <t>UPI</t>
  </si>
  <si>
    <t>Delivered</t>
  </si>
  <si>
    <t>Coleman, Villanueva and Wagner</t>
  </si>
  <si>
    <t>markhouse@nguyen.com</t>
  </si>
  <si>
    <t>Yes</t>
  </si>
  <si>
    <t>ORD1001</t>
  </si>
  <si>
    <t>CUST917</t>
  </si>
  <si>
    <t>Alyssa Payne</t>
  </si>
  <si>
    <t>PROD5337</t>
  </si>
  <si>
    <t>Mouse</t>
  </si>
  <si>
    <t>Electronics</t>
  </si>
  <si>
    <t>South</t>
  </si>
  <si>
    <t>Florida</t>
  </si>
  <si>
    <t>Annetteton</t>
  </si>
  <si>
    <t>Cash</t>
  </si>
  <si>
    <t>Pending</t>
  </si>
  <si>
    <t>Stewart-Johnson</t>
  </si>
  <si>
    <t>jesse34@padilla.com</t>
  </si>
  <si>
    <t>No</t>
  </si>
  <si>
    <t>ORD1002</t>
  </si>
  <si>
    <t>CUST704</t>
  </si>
  <si>
    <t>Shelly Hernandez</t>
  </si>
  <si>
    <t>Corporate</t>
  </si>
  <si>
    <t>PROD6653</t>
  </si>
  <si>
    <t>Pen</t>
  </si>
  <si>
    <t>Pennsylvania</t>
  </si>
  <si>
    <t>Taylorbury</t>
  </si>
  <si>
    <t>Murphy Inc</t>
  </si>
  <si>
    <t>loriwhite@watts-lee.org</t>
  </si>
  <si>
    <t>ORD1003</t>
  </si>
  <si>
    <t>CUST204</t>
  </si>
  <si>
    <t>Paul Cox</t>
  </si>
  <si>
    <t>PROD4940</t>
  </si>
  <si>
    <t>Calculator</t>
  </si>
  <si>
    <t>Maryland</t>
  </si>
  <si>
    <t>West Joan</t>
  </si>
  <si>
    <t>Herring-Caldwell</t>
  </si>
  <si>
    <t>colemanjoy@ballard.com</t>
  </si>
  <si>
    <t>ORD1004</t>
  </si>
  <si>
    <t>CUST574</t>
  </si>
  <si>
    <t>Jacob Harmon</t>
  </si>
  <si>
    <t>PROD7234</t>
  </si>
  <si>
    <t>Headphones</t>
  </si>
  <si>
    <t>Tennessee</t>
  </si>
  <si>
    <t>Campbellburgh</t>
  </si>
  <si>
    <t>Credit card</t>
  </si>
  <si>
    <t>Murphy-Nicholson</t>
  </si>
  <si>
    <t>wilkinsmartha@sutton-melendez.com</t>
  </si>
  <si>
    <t>ORD1005</t>
  </si>
  <si>
    <t>CUST761</t>
  </si>
  <si>
    <t>Valerie Reyes</t>
  </si>
  <si>
    <t>PROD9984</t>
  </si>
  <si>
    <t>Montana</t>
  </si>
  <si>
    <t>West Jim</t>
  </si>
  <si>
    <t>Cancelled</t>
  </si>
  <si>
    <t>Noble Inc</t>
  </si>
  <si>
    <t>wmoore@watts-moore.net</t>
  </si>
  <si>
    <t>ORD1006</t>
  </si>
  <si>
    <t>CUST198</t>
  </si>
  <si>
    <t>Lisa Ayala</t>
  </si>
  <si>
    <t>Consumer</t>
  </si>
  <si>
    <t>PROD1084</t>
  </si>
  <si>
    <t>West</t>
  </si>
  <si>
    <t>Arizona</t>
  </si>
  <si>
    <t>Conradchester</t>
  </si>
  <si>
    <t>Net Banking</t>
  </si>
  <si>
    <t>Huffman-Donovan</t>
  </si>
  <si>
    <t>sawyeranne@monroe.biz</t>
  </si>
  <si>
    <t>ORD1007</t>
  </si>
  <si>
    <t>CUST653</t>
  </si>
  <si>
    <t>Joshua Martin</t>
  </si>
  <si>
    <t>PROD1045</t>
  </si>
  <si>
    <t>Sofa</t>
  </si>
  <si>
    <t>Furniture</t>
  </si>
  <si>
    <t>Wyoming</t>
  </si>
  <si>
    <t>Brendanbury</t>
  </si>
  <si>
    <t>Franklin-Chavez</t>
  </si>
  <si>
    <t>powellbradley@young.com</t>
  </si>
  <si>
    <t>ORD1008</t>
  </si>
  <si>
    <t>CUST739</t>
  </si>
  <si>
    <t>Jerry Williams</t>
  </si>
  <si>
    <t>PROD4244</t>
  </si>
  <si>
    <t>Dining Table</t>
  </si>
  <si>
    <t>East</t>
  </si>
  <si>
    <t>Maine</t>
  </si>
  <si>
    <t>Williamsland</t>
  </si>
  <si>
    <t>Evans-Thomas</t>
  </si>
  <si>
    <t>alexander05@ford-garza.com</t>
  </si>
  <si>
    <t>ORD1009</t>
  </si>
  <si>
    <t>CUST129</t>
  </si>
  <si>
    <t>Tony Ruiz</t>
  </si>
  <si>
    <t>PROD8938</t>
  </si>
  <si>
    <t>Monitor</t>
  </si>
  <si>
    <t>Alabama</t>
  </si>
  <si>
    <t>Lake Jason</t>
  </si>
  <si>
    <t>Stevens, Baldwin and Wright</t>
  </si>
  <si>
    <t>carrolladrienne@jones.biz</t>
  </si>
  <si>
    <t>ORD1010</t>
  </si>
  <si>
    <t>CUST269</t>
  </si>
  <si>
    <t>Brian Oneal</t>
  </si>
  <si>
    <t>PROD4046</t>
  </si>
  <si>
    <t>Rice Bag</t>
  </si>
  <si>
    <t>Grocery</t>
  </si>
  <si>
    <t>Missouri</t>
  </si>
  <si>
    <t>South Scott</t>
  </si>
  <si>
    <t>Returned</t>
  </si>
  <si>
    <t>Nunez, Arellano and Gomez</t>
  </si>
  <si>
    <t>smithpamela@powell.com</t>
  </si>
  <si>
    <t>ORD1011</t>
  </si>
  <si>
    <t>CUST329</t>
  </si>
  <si>
    <t>Sandra Caldwell</t>
  </si>
  <si>
    <t>PROD9339</t>
  </si>
  <si>
    <t>Daviesville</t>
  </si>
  <si>
    <t>Summers Inc</t>
  </si>
  <si>
    <t>michael34@allen.com</t>
  </si>
  <si>
    <t>ORD1012</t>
  </si>
  <si>
    <t>CUST980</t>
  </si>
  <si>
    <t>Todd Nelson</t>
  </si>
  <si>
    <t>PROD1188</t>
  </si>
  <si>
    <t>Cooking oil</t>
  </si>
  <si>
    <t>Delaware</t>
  </si>
  <si>
    <t>Cohentown</t>
  </si>
  <si>
    <t>Anderson PLC</t>
  </si>
  <si>
    <t>alison96@walsh.com</t>
  </si>
  <si>
    <t>ORD1013</t>
  </si>
  <si>
    <t>CUST636</t>
  </si>
  <si>
    <t>John Moore</t>
  </si>
  <si>
    <t>PROD7608</t>
  </si>
  <si>
    <t>Office Chair</t>
  </si>
  <si>
    <t>New York</t>
  </si>
  <si>
    <t>Lake David</t>
  </si>
  <si>
    <t>Williams Ltd</t>
  </si>
  <si>
    <t>timothy74@lynn.biz</t>
  </si>
  <si>
    <t>ORD1014</t>
  </si>
  <si>
    <t>CUST910</t>
  </si>
  <si>
    <t>Elizabeth Hawkins</t>
  </si>
  <si>
    <t>PROD9353</t>
  </si>
  <si>
    <t>Laptop</t>
  </si>
  <si>
    <t>New Jersey</t>
  </si>
  <si>
    <t>East Mark</t>
  </si>
  <si>
    <t>Hughes PLC</t>
  </si>
  <si>
    <t>stephaniemartinez@olson.com</t>
  </si>
  <si>
    <t>ORD1015</t>
  </si>
  <si>
    <t>CUST755</t>
  </si>
  <si>
    <t>Stacy Rasmussen</t>
  </si>
  <si>
    <t>PROD1156</t>
  </si>
  <si>
    <t>North Carolina</t>
  </si>
  <si>
    <t>Feliciahaven</t>
  </si>
  <si>
    <t>Perez, Morgan and Bennett</t>
  </si>
  <si>
    <t>ralphgarcia@flores-levy.com</t>
  </si>
  <si>
    <t>ORD1016</t>
  </si>
  <si>
    <t>CUST271</t>
  </si>
  <si>
    <t>William Ayala</t>
  </si>
  <si>
    <t>PROD4701</t>
  </si>
  <si>
    <t>Bookshell</t>
  </si>
  <si>
    <t>South Carolina</t>
  </si>
  <si>
    <t>Franklinport</t>
  </si>
  <si>
    <t>Hayes Inc</t>
  </si>
  <si>
    <t>yperry@johnson-chavez.com</t>
  </si>
  <si>
    <t>ORD1017</t>
  </si>
  <si>
    <t>CUST493</t>
  </si>
  <si>
    <t>Kimberly Francis</t>
  </si>
  <si>
    <t>PROD3689</t>
  </si>
  <si>
    <t>Stapler</t>
  </si>
  <si>
    <t>Oklahoma</t>
  </si>
  <si>
    <t>East Troy</t>
  </si>
  <si>
    <t>Frank LLC</t>
  </si>
  <si>
    <t>johnsonalicia@lewis-kennedy.com</t>
  </si>
  <si>
    <t>ORD1018</t>
  </si>
  <si>
    <t>John Martin PhD</t>
  </si>
  <si>
    <t>PROD5202</t>
  </si>
  <si>
    <t>File Folder</t>
  </si>
  <si>
    <t>Massachusetts</t>
  </si>
  <si>
    <t>Heatherberg</t>
  </si>
  <si>
    <t>Thomas, Mccormick and Nelson</t>
  </si>
  <si>
    <t>lbarnett@reid.com</t>
  </si>
  <si>
    <t>ORD1019</t>
  </si>
  <si>
    <t>CUST441</t>
  </si>
  <si>
    <t>Hannah Hansen</t>
  </si>
  <si>
    <t>PROD4257</t>
  </si>
  <si>
    <t>East Angela</t>
  </si>
  <si>
    <t>Tran-Cohen</t>
  </si>
  <si>
    <t>tfrazier@smith.info</t>
  </si>
  <si>
    <t>ORD1020</t>
  </si>
  <si>
    <t>CUST790</t>
  </si>
  <si>
    <t>William Price</t>
  </si>
  <si>
    <t>PROD6153</t>
  </si>
  <si>
    <t>Kentucky</t>
  </si>
  <si>
    <t>Jonesburgh</t>
  </si>
  <si>
    <t>Nelson LLC</t>
  </si>
  <si>
    <t>jacob82@macdonald.org</t>
  </si>
  <si>
    <t>ORD1021</t>
  </si>
  <si>
    <t>CUST715</t>
  </si>
  <si>
    <t>Lee Kemp</t>
  </si>
  <si>
    <t>PROD8664</t>
  </si>
  <si>
    <t>Sugar</t>
  </si>
  <si>
    <t>California</t>
  </si>
  <si>
    <t>West Marissa</t>
  </si>
  <si>
    <t>Mills-Brown</t>
  </si>
  <si>
    <t>dbaldwin@anderson-jones.com</t>
  </si>
  <si>
    <t>ORD1022</t>
  </si>
  <si>
    <t>CUST293</t>
  </si>
  <si>
    <t>Tammy Marks</t>
  </si>
  <si>
    <t>PROD2151</t>
  </si>
  <si>
    <t>Texas</t>
  </si>
  <si>
    <t>Lake Kristishire</t>
  </si>
  <si>
    <t>Lee, Leblanc and Shepherd</t>
  </si>
  <si>
    <t>robertsonanthony@gray-baker.com</t>
  </si>
  <si>
    <t>ORD1023</t>
  </si>
  <si>
    <t>CUST970</t>
  </si>
  <si>
    <t>Sara Lee</t>
  </si>
  <si>
    <t>PROD8667</t>
  </si>
  <si>
    <t>Minnesota</t>
  </si>
  <si>
    <t>Kelleyberg</t>
  </si>
  <si>
    <t>Tucker, Riley and Lane</t>
  </si>
  <si>
    <t>christinamccormick@miller-hebert.com</t>
  </si>
  <si>
    <t>ORD1024</t>
  </si>
  <si>
    <t>CUST733</t>
  </si>
  <si>
    <t>Mark Alvarez</t>
  </si>
  <si>
    <t>PROD2501</t>
  </si>
  <si>
    <t>Lauramouth</t>
  </si>
  <si>
    <t>Huynh, Roman and Johnson</t>
  </si>
  <si>
    <t>jennysimon@vazquez-woods.com</t>
  </si>
  <si>
    <t>ORD1025</t>
  </si>
  <si>
    <t>CUST974</t>
  </si>
  <si>
    <t>Elizabeth Hernandez MD</t>
  </si>
  <si>
    <t>PROD6439</t>
  </si>
  <si>
    <t>New Vincent</t>
  </si>
  <si>
    <t>Valdez, Patton and Barrett</t>
  </si>
  <si>
    <t>billywalker@bullock-wagner.com</t>
  </si>
  <si>
    <t>ORD1026</t>
  </si>
  <si>
    <t>CUST676</t>
  </si>
  <si>
    <t>William Gilbert</t>
  </si>
  <si>
    <t>PROD1916</t>
  </si>
  <si>
    <t>Port Nancy</t>
  </si>
  <si>
    <t>Parker, Brown and Anderson</t>
  </si>
  <si>
    <t>cindywood@hines-gardner.com</t>
  </si>
  <si>
    <t>ORD1027</t>
  </si>
  <si>
    <t>CUST107</t>
  </si>
  <si>
    <t>Mr. John Rodgers</t>
  </si>
  <si>
    <t>PROD4229</t>
  </si>
  <si>
    <t>Port Nancytown</t>
  </si>
  <si>
    <t>Scott-Johnson</t>
  </si>
  <si>
    <t>hickmanjohn@rios-kemp.com</t>
  </si>
  <si>
    <t>ORD1028</t>
  </si>
  <si>
    <t>CUST805</t>
  </si>
  <si>
    <t>Lauren Ramirez</t>
  </si>
  <si>
    <t>PROD5414</t>
  </si>
  <si>
    <t>Keyboard</t>
  </si>
  <si>
    <t>Stanleyberg</t>
  </si>
  <si>
    <t>Lopez and Sons</t>
  </si>
  <si>
    <t>martinezjasmine@terry.com</t>
  </si>
  <si>
    <t>ORD1029</t>
  </si>
  <si>
    <t>CUST246</t>
  </si>
  <si>
    <t>Bradley Cameron</t>
  </si>
  <si>
    <t>PROD4502</t>
  </si>
  <si>
    <t>Timothystad</t>
  </si>
  <si>
    <t>Hodge Ltd</t>
  </si>
  <si>
    <t>reynoldsricky@jackson-benson.com</t>
  </si>
  <si>
    <t>ORD1030</t>
  </si>
  <si>
    <t>CUST464</t>
  </si>
  <si>
    <t>Logan Cruz</t>
  </si>
  <si>
    <t>PROD6700</t>
  </si>
  <si>
    <t>Hooperland</t>
  </si>
  <si>
    <t>Williams, Wagner and Richard</t>
  </si>
  <si>
    <t>joannajefferson@aguilar.com</t>
  </si>
  <si>
    <t>ORD1031</t>
  </si>
  <si>
    <t>CUST658</t>
  </si>
  <si>
    <t>Lynn Allison</t>
  </si>
  <si>
    <t>PROD5873</t>
  </si>
  <si>
    <t>Tiffanyburgh</t>
  </si>
  <si>
    <t>Ross, Walker and Jones</t>
  </si>
  <si>
    <t>othomas@villanueva.com</t>
  </si>
  <si>
    <t>ORD1032</t>
  </si>
  <si>
    <t>CUST737</t>
  </si>
  <si>
    <t>Stacey Diaz</t>
  </si>
  <si>
    <t>PROD4613</t>
  </si>
  <si>
    <t>Wisconsin</t>
  </si>
  <si>
    <t>Port Benjamin</t>
  </si>
  <si>
    <t>Espinoza, Lawson and Scott</t>
  </si>
  <si>
    <t>petersonsharon@levy.com</t>
  </si>
  <si>
    <t>ORD1033</t>
  </si>
  <si>
    <t>CUST423</t>
  </si>
  <si>
    <t>Michael Salinas</t>
  </si>
  <si>
    <t>PROD4175</t>
  </si>
  <si>
    <t>Juice Pack</t>
  </si>
  <si>
    <t>Shanemouth</t>
  </si>
  <si>
    <t>Herring PLC</t>
  </si>
  <si>
    <t>jpayne@welch.com</t>
  </si>
  <si>
    <t>ORD1034</t>
  </si>
  <si>
    <t>Karen Chan</t>
  </si>
  <si>
    <t>PROD1197</t>
  </si>
  <si>
    <t>Lake Susanburgh</t>
  </si>
  <si>
    <t>Williamson-Gray</t>
  </si>
  <si>
    <t>dwayne37@mason.com</t>
  </si>
  <si>
    <t>ORD1035</t>
  </si>
  <si>
    <t>CUST997</t>
  </si>
  <si>
    <t>Catherine Case</t>
  </si>
  <si>
    <t>PROD8933</t>
  </si>
  <si>
    <t>Study Table</t>
  </si>
  <si>
    <t>New Jeffrey</t>
  </si>
  <si>
    <t>Gray-Martinez</t>
  </si>
  <si>
    <t>melody29@phillips.com</t>
  </si>
  <si>
    <t>ORD1036</t>
  </si>
  <si>
    <t>CUST190</t>
  </si>
  <si>
    <t>Matthew Tran</t>
  </si>
  <si>
    <t>PROD3979</t>
  </si>
  <si>
    <t>Lake Lorimouth</t>
  </si>
  <si>
    <t>Turner and Sons</t>
  </si>
  <si>
    <t>awilliams@steele-kim.com</t>
  </si>
  <si>
    <t>ORD1037</t>
  </si>
  <si>
    <t>CUST529</t>
  </si>
  <si>
    <t>Kevin Galloway</t>
  </si>
  <si>
    <t>PROD4710</t>
  </si>
  <si>
    <t>South Dakota</t>
  </si>
  <si>
    <t>Tiffanyborough</t>
  </si>
  <si>
    <t>Wall Inc</t>
  </si>
  <si>
    <t>lhuff@washington.biz</t>
  </si>
  <si>
    <t>ORD1038</t>
  </si>
  <si>
    <t>CUST208</t>
  </si>
  <si>
    <t>Michael Robles</t>
  </si>
  <si>
    <t>PROD2188</t>
  </si>
  <si>
    <t>Lopezside</t>
  </si>
  <si>
    <t>Aguilar-Anderson</t>
  </si>
  <si>
    <t>margaret78@simon-rice.net</t>
  </si>
  <si>
    <t>ORD1039</t>
  </si>
  <si>
    <t>CUST796</t>
  </si>
  <si>
    <t>James Fritz</t>
  </si>
  <si>
    <t>PROD3729</t>
  </si>
  <si>
    <t>Snacks</t>
  </si>
  <si>
    <t>Melissaborough</t>
  </si>
  <si>
    <t>Morris Ltd</t>
  </si>
  <si>
    <t>michael29@gray.info</t>
  </si>
  <si>
    <t>ORD1040</t>
  </si>
  <si>
    <t>CUST576</t>
  </si>
  <si>
    <t>Anthony Todd</t>
  </si>
  <si>
    <t>PROD2907</t>
  </si>
  <si>
    <t>West Brittanyville</t>
  </si>
  <si>
    <t>Bentley PLC</t>
  </si>
  <si>
    <t>elizabeth50@fisher.com</t>
  </si>
  <si>
    <t>ORD1041</t>
  </si>
  <si>
    <t>CUST986</t>
  </si>
  <si>
    <t>Dennis Jackson</t>
  </si>
  <si>
    <t>PROD1873</t>
  </si>
  <si>
    <t>West Maxwellville</t>
  </si>
  <si>
    <t>Marsh, Jackson and Foster</t>
  </si>
  <si>
    <t>brandymendoza@harmon.com</t>
  </si>
  <si>
    <t>ORD1042</t>
  </si>
  <si>
    <t>CUST484</t>
  </si>
  <si>
    <t>Douglas Edwards</t>
  </si>
  <si>
    <t>PROD2993</t>
  </si>
  <si>
    <t>Oliviachester</t>
  </si>
  <si>
    <t>Werner LLC</t>
  </si>
  <si>
    <t>davisvictoria@jones.org</t>
  </si>
  <si>
    <t>ORD1043</t>
  </si>
  <si>
    <t>CUST521</t>
  </si>
  <si>
    <t>Crystal Knight</t>
  </si>
  <si>
    <t>PROD9713</t>
  </si>
  <si>
    <t>Brianachester</t>
  </si>
  <si>
    <t>Parks, Gonzalez and Martinez</t>
  </si>
  <si>
    <t>shawchristopher@jimenez.biz</t>
  </si>
  <si>
    <t>ORD1044</t>
  </si>
  <si>
    <t>CUST333</t>
  </si>
  <si>
    <t>Loretta Harrison</t>
  </si>
  <si>
    <t>PROD4511</t>
  </si>
  <si>
    <t>Nevada</t>
  </si>
  <si>
    <t>Lake Jessica</t>
  </si>
  <si>
    <t>Garcia Ltd</t>
  </si>
  <si>
    <t>maldonadojohn@cortez-acevedo.com</t>
  </si>
  <si>
    <t>ORD1045</t>
  </si>
  <si>
    <t>CUST420</t>
  </si>
  <si>
    <t>Mark Williams</t>
  </si>
  <si>
    <t>PROD4431</t>
  </si>
  <si>
    <t>Patrickport</t>
  </si>
  <si>
    <t>Fox-Gomez</t>
  </si>
  <si>
    <t>lisagardner@marks.net</t>
  </si>
  <si>
    <t>ORD1046</t>
  </si>
  <si>
    <t>CUST730</t>
  </si>
  <si>
    <t>Pamela Smith</t>
  </si>
  <si>
    <t>PROD2082</t>
  </si>
  <si>
    <t>Mississippi</t>
  </si>
  <si>
    <t>Floreschester</t>
  </si>
  <si>
    <t>Church-Thomas</t>
  </si>
  <si>
    <t>caroline42@thompson.org</t>
  </si>
  <si>
    <t>ORD1047</t>
  </si>
  <si>
    <t>CUST325</t>
  </si>
  <si>
    <t>Anthony Chapman</t>
  </si>
  <si>
    <t>PROD1199</t>
  </si>
  <si>
    <t>Richardfurt</t>
  </si>
  <si>
    <t>Watson, Aguilar and Patel</t>
  </si>
  <si>
    <t>howardkyle@hawkins.net</t>
  </si>
  <si>
    <t>ORD1048</t>
  </si>
  <si>
    <t>CUST971</t>
  </si>
  <si>
    <t>Melanie Chaney</t>
  </si>
  <si>
    <t>PROD4516</t>
  </si>
  <si>
    <t>Alaska</t>
  </si>
  <si>
    <t>Buchananport</t>
  </si>
  <si>
    <t>Jordan Ltd</t>
  </si>
  <si>
    <t>jared61@warren.info</t>
  </si>
  <si>
    <t>ORD1049</t>
  </si>
  <si>
    <t>CUST562</t>
  </si>
  <si>
    <t>Laura Hanson</t>
  </si>
  <si>
    <t>PROD5183</t>
  </si>
  <si>
    <t>Port Jonathanland</t>
  </si>
  <si>
    <t>Turner Group</t>
  </si>
  <si>
    <t>jeremyconner@michael.com</t>
  </si>
  <si>
    <t>ORD1050</t>
  </si>
  <si>
    <t>CUST163</t>
  </si>
  <si>
    <t>Lacey Stephens</t>
  </si>
  <si>
    <t>PROD4197</t>
  </si>
  <si>
    <t>East Alexanderland</t>
  </si>
  <si>
    <t>Luna, Davies and Nichols</t>
  </si>
  <si>
    <t>seth34@ibarra-jones.com</t>
  </si>
  <si>
    <t>ORD1051</t>
  </si>
  <si>
    <t>CUST745</t>
  </si>
  <si>
    <t>Kristi Graves</t>
  </si>
  <si>
    <t>PROD7276</t>
  </si>
  <si>
    <t>South Linda</t>
  </si>
  <si>
    <t>Hoover, Howell and Robbins</t>
  </si>
  <si>
    <t>kelsey91@harrison-walker.com</t>
  </si>
  <si>
    <t>ORD1052</t>
  </si>
  <si>
    <t>CUST153</t>
  </si>
  <si>
    <t>Shelley Fowler</t>
  </si>
  <si>
    <t>PROD4870</t>
  </si>
  <si>
    <t>West Melissa</t>
  </si>
  <si>
    <t>Wells and Sons</t>
  </si>
  <si>
    <t>dominguezkenneth@jennings-booth.biz</t>
  </si>
  <si>
    <t>ORD1053</t>
  </si>
  <si>
    <t>CUST385</t>
  </si>
  <si>
    <t>Renee Olson</t>
  </si>
  <si>
    <t>PROD3324</t>
  </si>
  <si>
    <t>Michigan</t>
  </si>
  <si>
    <t>West Jeffrey</t>
  </si>
  <si>
    <t>Castro-Baxter</t>
  </si>
  <si>
    <t>michelle66@rice-johnston.com</t>
  </si>
  <si>
    <t>ORD1054</t>
  </si>
  <si>
    <t>CUST729</t>
  </si>
  <si>
    <t>Christopher Haley Jr.</t>
  </si>
  <si>
    <t>PROD3610</t>
  </si>
  <si>
    <t>Iowa</t>
  </si>
  <si>
    <t>North Cynthiafort</t>
  </si>
  <si>
    <t>Green PLC</t>
  </si>
  <si>
    <t>kellygary@wilcox.com</t>
  </si>
  <si>
    <t>ORD1055</t>
  </si>
  <si>
    <t>CUST252</t>
  </si>
  <si>
    <t>David Chung</t>
  </si>
  <si>
    <t>PROD3781</t>
  </si>
  <si>
    <t>Utah</t>
  </si>
  <si>
    <t>Jonathanstad</t>
  </si>
  <si>
    <t>Bailey-Baker</t>
  </si>
  <si>
    <t>mitchell00@martin.com</t>
  </si>
  <si>
    <t>ORD1056</t>
  </si>
  <si>
    <t>CUST688</t>
  </si>
  <si>
    <t>Nancy Jones</t>
  </si>
  <si>
    <t>PROD3468</t>
  </si>
  <si>
    <t>Lisaview</t>
  </si>
  <si>
    <t>Mata-Williams</t>
  </si>
  <si>
    <t>megan45@holt-moore.org</t>
  </si>
  <si>
    <t>ORD1057</t>
  </si>
  <si>
    <t>Matthew Herring</t>
  </si>
  <si>
    <t>PROD2136</t>
  </si>
  <si>
    <t>Sanchezshire</t>
  </si>
  <si>
    <t>Burton Ltd</t>
  </si>
  <si>
    <t>nhuynh@gonzalez.com</t>
  </si>
  <si>
    <t>ORD1058</t>
  </si>
  <si>
    <t>CUST250</t>
  </si>
  <si>
    <t>David Ball</t>
  </si>
  <si>
    <t>PROD6606</t>
  </si>
  <si>
    <t>East Natalieburgh</t>
  </si>
  <si>
    <t>Ware, Schultz and Wilkerson</t>
  </si>
  <si>
    <t>jack28@wright-trujillo.biz</t>
  </si>
  <si>
    <t>ORD1059</t>
  </si>
  <si>
    <t>CUST692</t>
  </si>
  <si>
    <t>Robert Conrad</t>
  </si>
  <si>
    <t>PROD5009</t>
  </si>
  <si>
    <t>West Ianchester</t>
  </si>
  <si>
    <t>Wilson, Webb and Francis</t>
  </si>
  <si>
    <t>lyonssteven@green-hull.net</t>
  </si>
  <si>
    <t>ORD1060</t>
  </si>
  <si>
    <t>CUST314</t>
  </si>
  <si>
    <t>Kaitlin Murphy</t>
  </si>
  <si>
    <t>PROD5685</t>
  </si>
  <si>
    <t>Lake Robertville</t>
  </si>
  <si>
    <t>Garcia, Bryan and Ferrell</t>
  </si>
  <si>
    <t>garciafrancisco@molina.com</t>
  </si>
  <si>
    <t>ORD1061</t>
  </si>
  <si>
    <t>CUST915</t>
  </si>
  <si>
    <t>Andrea Nelson</t>
  </si>
  <si>
    <t>PROD3942</t>
  </si>
  <si>
    <t>Rhode Island</t>
  </si>
  <si>
    <t>North Caitlinmouth</t>
  </si>
  <si>
    <t>Young and Sons</t>
  </si>
  <si>
    <t>meganmorris@long-lopez.com</t>
  </si>
  <si>
    <t>ORD1062</t>
  </si>
  <si>
    <t>CUST584</t>
  </si>
  <si>
    <t>Darlene Stephens</t>
  </si>
  <si>
    <t>PROD4605</t>
  </si>
  <si>
    <t>Idaho</t>
  </si>
  <si>
    <t>Davidstad</t>
  </si>
  <si>
    <t>Fields, Aguilar and Gonzales</t>
  </si>
  <si>
    <t>kyle28@yang.info</t>
  </si>
  <si>
    <t>ORD1063</t>
  </si>
  <si>
    <t>CUST311</t>
  </si>
  <si>
    <t>Tonya Villarreal</t>
  </si>
  <si>
    <t>PROD9332</t>
  </si>
  <si>
    <t>South Stevenberg</t>
  </si>
  <si>
    <t>Crawford and Sons</t>
  </si>
  <si>
    <t>lucasvanessa@ramirez-johnson.com</t>
  </si>
  <si>
    <t>ORD1064</t>
  </si>
  <si>
    <t>CUST571</t>
  </si>
  <si>
    <t>Amanda Ellis</t>
  </si>
  <si>
    <t>PROD1110</t>
  </si>
  <si>
    <t>Ohio</t>
  </si>
  <si>
    <t>West Davidtown</t>
  </si>
  <si>
    <t>Flores and Sons</t>
  </si>
  <si>
    <t>bstark@strickland.info</t>
  </si>
  <si>
    <t>ORD1065</t>
  </si>
  <si>
    <t>CUST257</t>
  </si>
  <si>
    <t>Joy Lane</t>
  </si>
  <si>
    <t>PROD1652</t>
  </si>
  <si>
    <t>North Chrisville</t>
  </si>
  <si>
    <t>Warren, Brown and Welch</t>
  </si>
  <si>
    <t>hmarshall@hull.info</t>
  </si>
  <si>
    <t>ORD1066</t>
  </si>
  <si>
    <t>CUST801</t>
  </si>
  <si>
    <t>Jodi Warren</t>
  </si>
  <si>
    <t>PROD3294</t>
  </si>
  <si>
    <t>Louisiana</t>
  </si>
  <si>
    <t>Lake Sarah</t>
  </si>
  <si>
    <t>Reid, Roberts and Anthony</t>
  </si>
  <si>
    <t>marshalljimmy@keller-welch.com</t>
  </si>
  <si>
    <t>ORD1067</t>
  </si>
  <si>
    <t>CUST534</t>
  </si>
  <si>
    <t>Marissa Williams</t>
  </si>
  <si>
    <t>PROD1538</t>
  </si>
  <si>
    <t>Lake Barbara</t>
  </si>
  <si>
    <t>Lane LLC</t>
  </si>
  <si>
    <t>richard41@ortiz-wallace.com</t>
  </si>
  <si>
    <t>ORD1068</t>
  </si>
  <si>
    <t>CUST135</t>
  </si>
  <si>
    <t>Angela Cantu</t>
  </si>
  <si>
    <t>PROD4478</t>
  </si>
  <si>
    <t>West Rita</t>
  </si>
  <si>
    <t>Jackson, Smith and Berry</t>
  </si>
  <si>
    <t>johnsondaisy@nelson-matthews.com</t>
  </si>
  <si>
    <t>ORD1069</t>
  </si>
  <si>
    <t>CUST723</t>
  </si>
  <si>
    <t>Melissa Bailey</t>
  </si>
  <si>
    <t>PROD3388</t>
  </si>
  <si>
    <t>Blairland</t>
  </si>
  <si>
    <t>Silva-Martinez</t>
  </si>
  <si>
    <t>joshuagarrett@lynch.com</t>
  </si>
  <si>
    <t>ORD1070</t>
  </si>
  <si>
    <t>CUST759</t>
  </si>
  <si>
    <t>Kristen Wilson</t>
  </si>
  <si>
    <t>PROD2116</t>
  </si>
  <si>
    <t>Sandraport</t>
  </si>
  <si>
    <t>Higgins-Scott</t>
  </si>
  <si>
    <t>johnrose@bush.com</t>
  </si>
  <si>
    <t>ORD1071</t>
  </si>
  <si>
    <t>CUST777</t>
  </si>
  <si>
    <t>Donna Romero</t>
  </si>
  <si>
    <t>PROD6544</t>
  </si>
  <si>
    <t>Vermont</t>
  </si>
  <si>
    <t>Port Ronald</t>
  </si>
  <si>
    <t>Nielsen PLC</t>
  </si>
  <si>
    <t>allendanielle@allen.com</t>
  </si>
  <si>
    <t>ORD1072</t>
  </si>
  <si>
    <t>CUST873</t>
  </si>
  <si>
    <t>Erica Hayes</t>
  </si>
  <si>
    <t>PROD5389</t>
  </si>
  <si>
    <t>Montoyaburgh</t>
  </si>
  <si>
    <t>Cobb, Huffman and Moreno</t>
  </si>
  <si>
    <t>petersingleton@stone-hodges.info</t>
  </si>
  <si>
    <t>ORD1073</t>
  </si>
  <si>
    <t>CUST532</t>
  </si>
  <si>
    <t>Tamara Ramsey</t>
  </si>
  <si>
    <t>PROD4210</t>
  </si>
  <si>
    <t>Port Markmouth</t>
  </si>
  <si>
    <t>Whitney, James and Jimenez</t>
  </si>
  <si>
    <t>nolanisaac@macias.com</t>
  </si>
  <si>
    <t>ORD1074</t>
  </si>
  <si>
    <t>CUST239</t>
  </si>
  <si>
    <t>Gary Daniels</t>
  </si>
  <si>
    <t>PROD1528</t>
  </si>
  <si>
    <t>South Davidfort</t>
  </si>
  <si>
    <t>Anderson-Mccoy</t>
  </si>
  <si>
    <t>pcarr@adams.com</t>
  </si>
  <si>
    <t>ORD1075</t>
  </si>
  <si>
    <t>CUST102</t>
  </si>
  <si>
    <t>David Frank</t>
  </si>
  <si>
    <t>PROD7027</t>
  </si>
  <si>
    <t>Lake Martin</t>
  </si>
  <si>
    <t>Hooper, Cannon and Kerr</t>
  </si>
  <si>
    <t>qbrown@morris-reed.com</t>
  </si>
  <si>
    <t>ORD1076</t>
  </si>
  <si>
    <t>CUST664</t>
  </si>
  <si>
    <t>Leslie Williamson</t>
  </si>
  <si>
    <t>PROD3477</t>
  </si>
  <si>
    <t>Brianland</t>
  </si>
  <si>
    <t>Clark-Rodriguez</t>
  </si>
  <si>
    <t>sandralloyd@garcia.net</t>
  </si>
  <si>
    <t>ORD1077</t>
  </si>
  <si>
    <t>CUST893</t>
  </si>
  <si>
    <t>Tina Holden</t>
  </si>
  <si>
    <t>PROD5440</t>
  </si>
  <si>
    <t>Gillchester</t>
  </si>
  <si>
    <t>Walker, Anderson and Hinton</t>
  </si>
  <si>
    <t>xsmith@maldonado.org</t>
  </si>
  <si>
    <t>ORD1078</t>
  </si>
  <si>
    <t>CUST516</t>
  </si>
  <si>
    <t>Heather Gonzalez</t>
  </si>
  <si>
    <t>PROD3431</t>
  </si>
  <si>
    <t>Oregon</t>
  </si>
  <si>
    <t>Biancaville</t>
  </si>
  <si>
    <t>Nguyen PLC</t>
  </si>
  <si>
    <t>gonzalezrebecca@sanchez-pitts.biz</t>
  </si>
  <si>
    <t>ORD1079</t>
  </si>
  <si>
    <t>CUST200</t>
  </si>
  <si>
    <t>Patrick Peterson</t>
  </si>
  <si>
    <t>PROD5204</t>
  </si>
  <si>
    <t>Carlaland</t>
  </si>
  <si>
    <t>Cole Ltd</t>
  </si>
  <si>
    <t>allenjustin@singh.com</t>
  </si>
  <si>
    <t>ORD1080</t>
  </si>
  <si>
    <t>James Yang</t>
  </si>
  <si>
    <t>PROD5957</t>
  </si>
  <si>
    <t>Georgia</t>
  </si>
  <si>
    <t>Port Lindsey</t>
  </si>
  <si>
    <t>Hernandez Ltd</t>
  </si>
  <si>
    <t>bjones@harris.org</t>
  </si>
  <si>
    <t>ORD1081</t>
  </si>
  <si>
    <t>CUST281</t>
  </si>
  <si>
    <t>Sarah Harris</t>
  </si>
  <si>
    <t>PROD9346</t>
  </si>
  <si>
    <t>New Jennifer</t>
  </si>
  <si>
    <t>Townsend-Rodriguez</t>
  </si>
  <si>
    <t>daniel50@green-terrell.net</t>
  </si>
  <si>
    <t>ORD1082</t>
  </si>
  <si>
    <t>CUST279</t>
  </si>
  <si>
    <t>Kelly Romero</t>
  </si>
  <si>
    <t>PROD3224</t>
  </si>
  <si>
    <t>Ryanborough</t>
  </si>
  <si>
    <t>Lucas, Franklin and Mullins</t>
  </si>
  <si>
    <t>williamsmelanie@ali.biz</t>
  </si>
  <si>
    <t>ORD1083</t>
  </si>
  <si>
    <t>CUST353</t>
  </si>
  <si>
    <t>Tony Green</t>
  </si>
  <si>
    <t>PROD9185</t>
  </si>
  <si>
    <t>Lake Sara</t>
  </si>
  <si>
    <t>Johnson, Stevenson and Marshall</t>
  </si>
  <si>
    <t>spencersanders@smith.com</t>
  </si>
  <si>
    <t>ORD1084</t>
  </si>
  <si>
    <t>CUST557</t>
  </si>
  <si>
    <t>Rhonda Woodard</t>
  </si>
  <si>
    <t>PROD1763</t>
  </si>
  <si>
    <t>Connecticut</t>
  </si>
  <si>
    <t>Port Heatherside</t>
  </si>
  <si>
    <t>Orr-Cox</t>
  </si>
  <si>
    <t>joneselizabeth@landry.info</t>
  </si>
  <si>
    <t>ORD1085</t>
  </si>
  <si>
    <t>CUST497</t>
  </si>
  <si>
    <t>Dennis Ellis</t>
  </si>
  <si>
    <t>PROD2875</t>
  </si>
  <si>
    <t>Arkansas</t>
  </si>
  <si>
    <t>Tiffanystad</t>
  </si>
  <si>
    <t>Davis-Chapman</t>
  </si>
  <si>
    <t>christina65@morton-wheeler.com</t>
  </si>
  <si>
    <t>ORD1086</t>
  </si>
  <si>
    <t>Teresa Phillips DVM</t>
  </si>
  <si>
    <t>PROD7797</t>
  </si>
  <si>
    <t>North Dakota</t>
  </si>
  <si>
    <t>Lake Lawrenceberg</t>
  </si>
  <si>
    <t>Spears, Wood and Thomas</t>
  </si>
  <si>
    <t>thomas14@sanders-maynard.com</t>
  </si>
  <si>
    <t>ORD1087</t>
  </si>
  <si>
    <t>CUST543</t>
  </si>
  <si>
    <t>Brandon Thomas</t>
  </si>
  <si>
    <t>PROD8842</t>
  </si>
  <si>
    <t>Nebraska</t>
  </si>
  <si>
    <t>East Gloria</t>
  </si>
  <si>
    <t>Perez, Rodgers and Parker</t>
  </si>
  <si>
    <t>romerojack@snyder-munoz.org</t>
  </si>
  <si>
    <t>ORD1088</t>
  </si>
  <si>
    <t>CUST823</t>
  </si>
  <si>
    <t>Austin Newton</t>
  </si>
  <si>
    <t>PROD7697</t>
  </si>
  <si>
    <t>Adkinsborough</t>
  </si>
  <si>
    <t>Martinez-Flores</t>
  </si>
  <si>
    <t>kimberly09@rodriguez.net</t>
  </si>
  <si>
    <t>ORD1089</t>
  </si>
  <si>
    <t>CUST527</t>
  </si>
  <si>
    <t>Travis Martinez</t>
  </si>
  <si>
    <t>PROD9454</t>
  </si>
  <si>
    <t>Allenmouth</t>
  </si>
  <si>
    <t>Jones, Mann and Stanton</t>
  </si>
  <si>
    <t>tricia27@wood.com</t>
  </si>
  <si>
    <t>ORD1090</t>
  </si>
  <si>
    <t>CUST359</t>
  </si>
  <si>
    <t>Kristen Dalton</t>
  </si>
  <si>
    <t>PROD3427</t>
  </si>
  <si>
    <t>Whitemouth</t>
  </si>
  <si>
    <t>Nguyen-Cooper</t>
  </si>
  <si>
    <t>robert62@hernandez.com</t>
  </si>
  <si>
    <t>ORD1091</t>
  </si>
  <si>
    <t>CUST409</t>
  </si>
  <si>
    <t>Karen Zamora</t>
  </si>
  <si>
    <t>PROD1312</t>
  </si>
  <si>
    <t>East Wendy</t>
  </si>
  <si>
    <t>Moore and Sons</t>
  </si>
  <si>
    <t>benjamin24@rodriguez.com</t>
  </si>
  <si>
    <t>ORD1092</t>
  </si>
  <si>
    <t>CUST332</t>
  </si>
  <si>
    <t>Megan Edwards MD</t>
  </si>
  <si>
    <t>PROD3000</t>
  </si>
  <si>
    <t>New Mexico</t>
  </si>
  <si>
    <t>New Frederick</t>
  </si>
  <si>
    <t>Cooper and Sons</t>
  </si>
  <si>
    <t>andreastone@torres.com</t>
  </si>
  <si>
    <t>ORD1093</t>
  </si>
  <si>
    <t>CUST170</t>
  </si>
  <si>
    <t>Kelsey Lopez</t>
  </si>
  <si>
    <t>PROD3591</t>
  </si>
  <si>
    <t>Valeriebury</t>
  </si>
  <si>
    <t>Sims, Cruz and Shelton</t>
  </si>
  <si>
    <t>olewis@anthony.com</t>
  </si>
  <si>
    <t>ORD1094</t>
  </si>
  <si>
    <t>CUST740</t>
  </si>
  <si>
    <t>Lisa White</t>
  </si>
  <si>
    <t>PROD4133</t>
  </si>
  <si>
    <t>South Kelly</t>
  </si>
  <si>
    <t>Butler LLC</t>
  </si>
  <si>
    <t>matthew94@tran.info</t>
  </si>
  <si>
    <t>ORD1095</t>
  </si>
  <si>
    <t>CUST403</t>
  </si>
  <si>
    <t>Anthony Shepard</t>
  </si>
  <si>
    <t>PROD6063</t>
  </si>
  <si>
    <t>Brettfurt</t>
  </si>
  <si>
    <t>Moon and Sons</t>
  </si>
  <si>
    <t>amitchell@allen-mcbride.biz</t>
  </si>
  <si>
    <t>ORD1096</t>
  </si>
  <si>
    <t>CUST530</t>
  </si>
  <si>
    <t>Elizabeth Christensen</t>
  </si>
  <si>
    <t>PROD7910</t>
  </si>
  <si>
    <t>Perrystad</t>
  </si>
  <si>
    <t>Gray, Gibson and Nguyen</t>
  </si>
  <si>
    <t>andres01@johnson-johnson.com</t>
  </si>
  <si>
    <t>ORD1097</t>
  </si>
  <si>
    <t>CUST514</t>
  </si>
  <si>
    <t>Angela Whitney</t>
  </si>
  <si>
    <t>PROD4385</t>
  </si>
  <si>
    <t>Illinois</t>
  </si>
  <si>
    <t>East Tyler</t>
  </si>
  <si>
    <t>Chase-Garcia</t>
  </si>
  <si>
    <t>samuelbeck@adkins-lam.com</t>
  </si>
  <si>
    <t>ORD1098</t>
  </si>
  <si>
    <t>CUST683</t>
  </si>
  <si>
    <t>Tina Murray</t>
  </si>
  <si>
    <t>PROD6270</t>
  </si>
  <si>
    <t>North Cassidytown</t>
  </si>
  <si>
    <t>Maldonado, Blankenship and Mcdowell</t>
  </si>
  <si>
    <t>collinstravis@irwin.com</t>
  </si>
  <si>
    <t>ORD1099</t>
  </si>
  <si>
    <t>CUST349</t>
  </si>
  <si>
    <t>John Stark</t>
  </si>
  <si>
    <t>PROD2430</t>
  </si>
  <si>
    <t>New Renee</t>
  </si>
  <si>
    <t>Powell-Johnson</t>
  </si>
  <si>
    <t>sjohnson@gonzales-hardin.com</t>
  </si>
  <si>
    <t>ORD1100</t>
  </si>
  <si>
    <t>CUST523</t>
  </si>
  <si>
    <t>James Hill</t>
  </si>
  <si>
    <t>PROD9962</t>
  </si>
  <si>
    <t>Andrewside</t>
  </si>
  <si>
    <t>Kelly, Williams and Lewis</t>
  </si>
  <si>
    <t>chopkins@mccoy-boyd.net</t>
  </si>
  <si>
    <t>ORD1101</t>
  </si>
  <si>
    <t>CUST217</t>
  </si>
  <si>
    <t>Michelle Li DDS</t>
  </si>
  <si>
    <t>PROD5442</t>
  </si>
  <si>
    <t>Edwardshire</t>
  </si>
  <si>
    <t>Mcdaniel, Jenkins and Hurley</t>
  </si>
  <si>
    <t>omitchell@miller.com</t>
  </si>
  <si>
    <t>ORD1102</t>
  </si>
  <si>
    <t>CUST818</t>
  </si>
  <si>
    <t>David Johnston</t>
  </si>
  <si>
    <t>PROD4206</t>
  </si>
  <si>
    <t>Bergborough</t>
  </si>
  <si>
    <t>Young-Martin</t>
  </si>
  <si>
    <t>jeffrey56@burns-lewis.com</t>
  </si>
  <si>
    <t>ORD1103</t>
  </si>
  <si>
    <t>CUST820</t>
  </si>
  <si>
    <t>Robert Molina</t>
  </si>
  <si>
    <t>PROD6352</t>
  </si>
  <si>
    <t>Chaseberg</t>
  </si>
  <si>
    <t>Nelson-Arnold</t>
  </si>
  <si>
    <t>lmarshall@hicks.org</t>
  </si>
  <si>
    <t>ORD1104</t>
  </si>
  <si>
    <t>CUST165</t>
  </si>
  <si>
    <t>Patricia Goodman</t>
  </si>
  <si>
    <t>PROD5487</t>
  </si>
  <si>
    <t>Lake Rickyside</t>
  </si>
  <si>
    <t>Burke, Miller and Bartlett</t>
  </si>
  <si>
    <t>bairdvictor@williams.com</t>
  </si>
  <si>
    <t>ORD1105</t>
  </si>
  <si>
    <t>CUST621</t>
  </si>
  <si>
    <t>Samuel Sanchez</t>
  </si>
  <si>
    <t>PROD1166</t>
  </si>
  <si>
    <t>West Lori</t>
  </si>
  <si>
    <t>Wells, Hardy and Scott</t>
  </si>
  <si>
    <t>christopher48@garcia-myers.info</t>
  </si>
  <si>
    <t>ORD1106</t>
  </si>
  <si>
    <t>CUST542</t>
  </si>
  <si>
    <t>Catherine Morgan</t>
  </si>
  <si>
    <t>PROD3315</t>
  </si>
  <si>
    <t>West Jessicaview</t>
  </si>
  <si>
    <t>Scott-Aguirre</t>
  </si>
  <si>
    <t>michaelconley@torres.org</t>
  </si>
  <si>
    <t>ORD1107</t>
  </si>
  <si>
    <t>CUST964</t>
  </si>
  <si>
    <t>Brittany Barber</t>
  </si>
  <si>
    <t>PROD4299</t>
  </si>
  <si>
    <t>Rebeccaview</t>
  </si>
  <si>
    <t>Carter PLC</t>
  </si>
  <si>
    <t>xerickson@navarro-bell.net</t>
  </si>
  <si>
    <t>ORD1108</t>
  </si>
  <si>
    <t>CUST638</t>
  </si>
  <si>
    <t>Katrina Brooks</t>
  </si>
  <si>
    <t>PROD6517</t>
  </si>
  <si>
    <t>West Rebecca</t>
  </si>
  <si>
    <t>Ellison, Vasquez and Williams</t>
  </si>
  <si>
    <t>rossmichelle@bennett.com</t>
  </si>
  <si>
    <t>ORD1109</t>
  </si>
  <si>
    <t>CUST978</t>
  </si>
  <si>
    <t>Jessica Hernandez</t>
  </si>
  <si>
    <t>PROD3962</t>
  </si>
  <si>
    <t>South Sheilatown</t>
  </si>
  <si>
    <t>Patterson-Shepard</t>
  </si>
  <si>
    <t>ryan75@kelly.info</t>
  </si>
  <si>
    <t>ORD1110</t>
  </si>
  <si>
    <t>CUST262</t>
  </si>
  <si>
    <t>Sara Moore</t>
  </si>
  <si>
    <t>PROD3575</t>
  </si>
  <si>
    <t>Port Ryanborough</t>
  </si>
  <si>
    <t>Pruitt, Reyes and Perez</t>
  </si>
  <si>
    <t>melanie38@pacheco.com</t>
  </si>
  <si>
    <t>ORD1111</t>
  </si>
  <si>
    <t>CUST470</t>
  </si>
  <si>
    <t>Thomas Miller</t>
  </si>
  <si>
    <t>PROD3148</t>
  </si>
  <si>
    <t>Virginia</t>
  </si>
  <si>
    <t>Darinport</t>
  </si>
  <si>
    <t>Johnson, Graves and Pruitt</t>
  </si>
  <si>
    <t>patrickchristina@jones.com</t>
  </si>
  <si>
    <t>ORD1112</t>
  </si>
  <si>
    <t>CUST379</t>
  </si>
  <si>
    <t>Raymond Phillips</t>
  </si>
  <si>
    <t>PROD7605</t>
  </si>
  <si>
    <t>New Jamesport</t>
  </si>
  <si>
    <t>Escobar-Hull</t>
  </si>
  <si>
    <t>dawngoodwin@long.net</t>
  </si>
  <si>
    <t>ORD1113</t>
  </si>
  <si>
    <t>CUST821</t>
  </si>
  <si>
    <t>Becky Watson</t>
  </si>
  <si>
    <t>PROD5063</t>
  </si>
  <si>
    <t>North Timothymouth</t>
  </si>
  <si>
    <t>Mcdonald and Sons</t>
  </si>
  <si>
    <t>perkinsbryan@smith.com</t>
  </si>
  <si>
    <t>ORD1114</t>
  </si>
  <si>
    <t>CUST372</t>
  </si>
  <si>
    <t>Johnathan Berry</t>
  </si>
  <si>
    <t>PROD4962</t>
  </si>
  <si>
    <t>Deborahfurt</t>
  </si>
  <si>
    <t>Gutierrez, Robinson and Glenn</t>
  </si>
  <si>
    <t>bryanmurray@lloyd.net</t>
  </si>
  <si>
    <t>ORD1115</t>
  </si>
  <si>
    <t>Christopher Butler MD</t>
  </si>
  <si>
    <t>PROD6919</t>
  </si>
  <si>
    <t>North Stephanieburgh</t>
  </si>
  <si>
    <t>Harrison, White and Kelly</t>
  </si>
  <si>
    <t>qbrown@martin-cruz.com</t>
  </si>
  <si>
    <t>ORD1116</t>
  </si>
  <si>
    <t>CUST800</t>
  </si>
  <si>
    <t>Chad Thomas</t>
  </si>
  <si>
    <t>PROD3401</t>
  </si>
  <si>
    <t>Kevinport</t>
  </si>
  <si>
    <t>Moore, Brown and Guerrero</t>
  </si>
  <si>
    <t>hendrixleah@fisher-wright.com</t>
  </si>
  <si>
    <t>ORD1117</t>
  </si>
  <si>
    <t>CUST637</t>
  </si>
  <si>
    <t>Kimberly Williams</t>
  </si>
  <si>
    <t>PROD9598</t>
  </si>
  <si>
    <t>Kansas</t>
  </si>
  <si>
    <t>Danaville</t>
  </si>
  <si>
    <t>Munoz-Daniels</t>
  </si>
  <si>
    <t>eric63@allen.com</t>
  </si>
  <si>
    <t>ORD1118</t>
  </si>
  <si>
    <t>CUST457</t>
  </si>
  <si>
    <t>Pamela Miller</t>
  </si>
  <si>
    <t>PROD6107</t>
  </si>
  <si>
    <t>North Allison</t>
  </si>
  <si>
    <t>Trujillo PLC</t>
  </si>
  <si>
    <t>karina07@lopez-orozco.biz</t>
  </si>
  <si>
    <t>ORD1119</t>
  </si>
  <si>
    <t>CUST764</t>
  </si>
  <si>
    <t>Elizabeth Weeks</t>
  </si>
  <si>
    <t>PROD4900</t>
  </si>
  <si>
    <t>Shelbyland</t>
  </si>
  <si>
    <t>Cunningham and Sons</t>
  </si>
  <si>
    <t>garzaheather@garcia.com</t>
  </si>
  <si>
    <t>ORD1120</t>
  </si>
  <si>
    <t>CUST874</t>
  </si>
  <si>
    <t>Darrell Ford</t>
  </si>
  <si>
    <t>PROD4924</t>
  </si>
  <si>
    <t>South Penny</t>
  </si>
  <si>
    <t>Carroll, Johnson and Miller</t>
  </si>
  <si>
    <t>john47@ward-kramer.com</t>
  </si>
  <si>
    <t>ORD1121</t>
  </si>
  <si>
    <t>CUST785</t>
  </si>
  <si>
    <t>Becky Jimenez</t>
  </si>
  <si>
    <t>PROD9820</t>
  </si>
  <si>
    <t>Smithfort</t>
  </si>
  <si>
    <t>Morgan-Nicholson</t>
  </si>
  <si>
    <t>sharon74@clark.com</t>
  </si>
  <si>
    <t>ORD1122</t>
  </si>
  <si>
    <t>CUST462</t>
  </si>
  <si>
    <t>Charles Williams</t>
  </si>
  <si>
    <t>PROD6782</t>
  </si>
  <si>
    <t>Kristinmouth</t>
  </si>
  <si>
    <t>Smith, Watkins and Harris</t>
  </si>
  <si>
    <t>marydickson@stevens.com</t>
  </si>
  <si>
    <t>ORD1123</t>
  </si>
  <si>
    <t>CUST767</t>
  </si>
  <si>
    <t>William Miller</t>
  </si>
  <si>
    <t>PROD7768</t>
  </si>
  <si>
    <t>Hawaii</t>
  </si>
  <si>
    <t>Roachview</t>
  </si>
  <si>
    <t>Mayo Ltd</t>
  </si>
  <si>
    <t>hstein@adams.com</t>
  </si>
  <si>
    <t>ORD1124</t>
  </si>
  <si>
    <t>CUST509</t>
  </si>
  <si>
    <t>Gilbert Taylor</t>
  </si>
  <si>
    <t>PROD8202</t>
  </si>
  <si>
    <t>Smithberg</t>
  </si>
  <si>
    <t>Fowler, Norris and Diaz</t>
  </si>
  <si>
    <t>epitts@olsen.info</t>
  </si>
  <si>
    <t>ORD1125</t>
  </si>
  <si>
    <t>CUST286</t>
  </si>
  <si>
    <t>John Ford</t>
  </si>
  <si>
    <t>PROD2336</t>
  </si>
  <si>
    <t>New Timothyshire</t>
  </si>
  <si>
    <t>Perry, Moore and Monroe</t>
  </si>
  <si>
    <t>samantha66@matthews-sanchez.com</t>
  </si>
  <si>
    <t>ORD1126</t>
  </si>
  <si>
    <t>CUST183</t>
  </si>
  <si>
    <t>Sara Castro</t>
  </si>
  <si>
    <t>PROD6626</t>
  </si>
  <si>
    <t>Indiana</t>
  </si>
  <si>
    <t>Matthewstad</t>
  </si>
  <si>
    <t>Manning-White</t>
  </si>
  <si>
    <t>bnixon@castro.com</t>
  </si>
  <si>
    <t>ORD1127</t>
  </si>
  <si>
    <t>Sarah Reynolds</t>
  </si>
  <si>
    <t>PROD6202</t>
  </si>
  <si>
    <t>South Sharon</t>
  </si>
  <si>
    <t>Nelson-Jones</t>
  </si>
  <si>
    <t>becky64@decker.com</t>
  </si>
  <si>
    <t>ORD1128</t>
  </si>
  <si>
    <t>CUST339</t>
  </si>
  <si>
    <t>Patrick Meadows</t>
  </si>
  <si>
    <t>PROD2865</t>
  </si>
  <si>
    <t>Shelbyberg</t>
  </si>
  <si>
    <t>Kemp, Carter and Lowery</t>
  </si>
  <si>
    <t>robert04@adams.net</t>
  </si>
  <si>
    <t>ORD1129</t>
  </si>
  <si>
    <t>CUST350</t>
  </si>
  <si>
    <t>Michael Kerr</t>
  </si>
  <si>
    <t>PROD3026</t>
  </si>
  <si>
    <t>Port Cynthia</t>
  </si>
  <si>
    <t>Ramirez PLC</t>
  </si>
  <si>
    <t>xavierparsons@castro-small.info</t>
  </si>
  <si>
    <t>ORD1130</t>
  </si>
  <si>
    <t>CUST136</t>
  </si>
  <si>
    <t>Richard Martinez</t>
  </si>
  <si>
    <t>PROD4129</t>
  </si>
  <si>
    <t>Mackmouth</t>
  </si>
  <si>
    <t>Walker and Sons</t>
  </si>
  <si>
    <t>devinlarson@kelley.com</t>
  </si>
  <si>
    <t>ORD1131</t>
  </si>
  <si>
    <t>CUST273</t>
  </si>
  <si>
    <t>Emily Hall</t>
  </si>
  <si>
    <t>PROD8632</t>
  </si>
  <si>
    <t>Barrerafort</t>
  </si>
  <si>
    <t>Marshall-Mclean</t>
  </si>
  <si>
    <t>suttonjason@thompson.com</t>
  </si>
  <si>
    <t>ORD1132</t>
  </si>
  <si>
    <t>CUST975</t>
  </si>
  <si>
    <t>Lisa Harris</t>
  </si>
  <si>
    <t>PROD6083</t>
  </si>
  <si>
    <t>Noble-Williams</t>
  </si>
  <si>
    <t>ysheppard@ortiz-gonzales.info</t>
  </si>
  <si>
    <t>ORD1133</t>
  </si>
  <si>
    <t>CUST686</t>
  </si>
  <si>
    <t>Crystal Travis</t>
  </si>
  <si>
    <t>PROD6809</t>
  </si>
  <si>
    <t>South Johntown</t>
  </si>
  <si>
    <t>Price PLC</t>
  </si>
  <si>
    <t>lonnie76@baker-jenkins.com</t>
  </si>
  <si>
    <t>ORD1134</t>
  </si>
  <si>
    <t>Katrina Ball</t>
  </si>
  <si>
    <t>PROD6018</t>
  </si>
  <si>
    <t>Jeffreychester</t>
  </si>
  <si>
    <t>Mueller Group</t>
  </si>
  <si>
    <t>barrysanchez@lynch.com</t>
  </si>
  <si>
    <t>ORD1135</t>
  </si>
  <si>
    <t>CUST159</t>
  </si>
  <si>
    <t>Eric Larson</t>
  </si>
  <si>
    <t>PROD5572</t>
  </si>
  <si>
    <t>North Loretta</t>
  </si>
  <si>
    <t>Young, Johnson and Walker</t>
  </si>
  <si>
    <t>marshallchristopher@stephenson.org</t>
  </si>
  <si>
    <t>ORD1136</t>
  </si>
  <si>
    <t>CUST577</t>
  </si>
  <si>
    <t>Bianca Valencia</t>
  </si>
  <si>
    <t>PROD3872</t>
  </si>
  <si>
    <t>Ryanside</t>
  </si>
  <si>
    <t>Clark, Adams and King</t>
  </si>
  <si>
    <t>robertscristian@johnson.com</t>
  </si>
  <si>
    <t>ORD1137</t>
  </si>
  <si>
    <t>CUST780</t>
  </si>
  <si>
    <t>Joy Johnson</t>
  </si>
  <si>
    <t>PROD5339</t>
  </si>
  <si>
    <t>Kevinland</t>
  </si>
  <si>
    <t>Carroll-Maxwell</t>
  </si>
  <si>
    <t>regina32@hamilton-small.com</t>
  </si>
  <si>
    <t>ORD1138</t>
  </si>
  <si>
    <t>CUST205</t>
  </si>
  <si>
    <t>Jodi Watson</t>
  </si>
  <si>
    <t>PROD3216</t>
  </si>
  <si>
    <t>Aguirreberg</t>
  </si>
  <si>
    <t>Cohen, Williams and Ford</t>
  </si>
  <si>
    <t>tammy74@hancock.com</t>
  </si>
  <si>
    <t>ORD1139</t>
  </si>
  <si>
    <t>CUST855</t>
  </si>
  <si>
    <t>Ann Moore</t>
  </si>
  <si>
    <t>PROD8626</t>
  </si>
  <si>
    <t>Kendraport</t>
  </si>
  <si>
    <t>Brown Inc</t>
  </si>
  <si>
    <t>phebert@mcintosh.com</t>
  </si>
  <si>
    <t>ORD1140</t>
  </si>
  <si>
    <t>CUST376</t>
  </si>
  <si>
    <t>Ellen Ho</t>
  </si>
  <si>
    <t>PROD5984</t>
  </si>
  <si>
    <t>West Virginia</t>
  </si>
  <si>
    <t>Francisbury</t>
  </si>
  <si>
    <t>Carpenter, Curtis and Moore</t>
  </si>
  <si>
    <t>rebecca33@martinez.com</t>
  </si>
  <si>
    <t>ORD1141</t>
  </si>
  <si>
    <t>CUST657</t>
  </si>
  <si>
    <t>Anthony Fowler</t>
  </si>
  <si>
    <t>PROD7540</t>
  </si>
  <si>
    <t>Erinshire</t>
  </si>
  <si>
    <t>Matthews Ltd</t>
  </si>
  <si>
    <t>jerrymercado@hampton.com</t>
  </si>
  <si>
    <t>ORD1142</t>
  </si>
  <si>
    <t>CUST888</t>
  </si>
  <si>
    <t>Mark Garrett</t>
  </si>
  <si>
    <t>PROD5103</t>
  </si>
  <si>
    <t>New Jesusstad</t>
  </si>
  <si>
    <t>Russell, Green and Herring</t>
  </si>
  <si>
    <t>robertsclarence@smith-king.net</t>
  </si>
  <si>
    <t>ORD1143</t>
  </si>
  <si>
    <t>CUST672</t>
  </si>
  <si>
    <t>Jeffrey Wilkerson</t>
  </si>
  <si>
    <t>PROD6641</t>
  </si>
  <si>
    <t>Courtneychester</t>
  </si>
  <si>
    <t>Hale-Higgins</t>
  </si>
  <si>
    <t>jackmorris@hernandez-rhodes.org</t>
  </si>
  <si>
    <t>ORD1144</t>
  </si>
  <si>
    <t>CUST988</t>
  </si>
  <si>
    <t>Tony Freeman</t>
  </si>
  <si>
    <t>PROD8974</t>
  </si>
  <si>
    <t>Port Timothyburgh</t>
  </si>
  <si>
    <t>Frazier, Castro and Phillips</t>
  </si>
  <si>
    <t>cmartinez@pratt.com</t>
  </si>
  <si>
    <t>ORD1145</t>
  </si>
  <si>
    <t>CUST758</t>
  </si>
  <si>
    <t>David Russell</t>
  </si>
  <si>
    <t>PROD5222</t>
  </si>
  <si>
    <t>Loribury</t>
  </si>
  <si>
    <t>Joyce-Yoder</t>
  </si>
  <si>
    <t>twagner@ellison.org</t>
  </si>
  <si>
    <t>ORD1146</t>
  </si>
  <si>
    <t>CUST581</t>
  </si>
  <si>
    <t>Mr. Alexander Boyd II</t>
  </si>
  <si>
    <t>PROD7509</t>
  </si>
  <si>
    <t>West Michelle</t>
  </si>
  <si>
    <t>Cole and Sons</t>
  </si>
  <si>
    <t>nunezshannon@brooks-blanchard.com</t>
  </si>
  <si>
    <t>ORD1147</t>
  </si>
  <si>
    <t>CUST654</t>
  </si>
  <si>
    <t>Kyle Myers</t>
  </si>
  <si>
    <t>PROD6125</t>
  </si>
  <si>
    <t>West Marie</t>
  </si>
  <si>
    <t>Hardy-Mathews</t>
  </si>
  <si>
    <t>gward@gonzalez.com</t>
  </si>
  <si>
    <t>ORD1148</t>
  </si>
  <si>
    <t>CUST298</t>
  </si>
  <si>
    <t>Kenneth Green</t>
  </si>
  <si>
    <t>PROD2605</t>
  </si>
  <si>
    <t>Yeseniaport</t>
  </si>
  <si>
    <t>Delgado, Garcia and Gonzalez</t>
  </si>
  <si>
    <t>myerstommy@thompson-johnson.com</t>
  </si>
  <si>
    <t>ORD1149</t>
  </si>
  <si>
    <t>William Vaughn</t>
  </si>
  <si>
    <t>PROD6365</t>
  </si>
  <si>
    <t>South Gabriella</t>
  </si>
  <si>
    <t>Mcgee-Newton</t>
  </si>
  <si>
    <t>amywilliams@holt.com</t>
  </si>
  <si>
    <t>ORD1150</t>
  </si>
  <si>
    <t>CUST732</t>
  </si>
  <si>
    <t>Jason Jackson</t>
  </si>
  <si>
    <t>PROD3614</t>
  </si>
  <si>
    <t>West Justin</t>
  </si>
  <si>
    <t>Rodriguez, Harris and Green</t>
  </si>
  <si>
    <t>christopher76@fowler.org</t>
  </si>
  <si>
    <t>ORD1151</t>
  </si>
  <si>
    <t>CUST197</t>
  </si>
  <si>
    <t>Nichole Taylor</t>
  </si>
  <si>
    <t>PROD6191</t>
  </si>
  <si>
    <t>Jacksonbury</t>
  </si>
  <si>
    <t>Evans LLC</t>
  </si>
  <si>
    <t>ublanchard@murphy.org</t>
  </si>
  <si>
    <t>ORD1152</t>
  </si>
  <si>
    <t>CUST368</t>
  </si>
  <si>
    <t>Jennifer Nelson</t>
  </si>
  <si>
    <t>PROD6157</t>
  </si>
  <si>
    <t>Tonymouth</t>
  </si>
  <si>
    <t>Moore, Baker and Garcia</t>
  </si>
  <si>
    <t>crystalgutierrez@beard.info</t>
  </si>
  <si>
    <t>ORD1153</t>
  </si>
  <si>
    <t>CUST305</t>
  </si>
  <si>
    <t>Michael Ball</t>
  </si>
  <si>
    <t>PROD6247</t>
  </si>
  <si>
    <t>North Amy</t>
  </si>
  <si>
    <t>Mccullough, Mathews and Ramirez</t>
  </si>
  <si>
    <t>andrewschristopher@beard.com</t>
  </si>
  <si>
    <t>ORD1154</t>
  </si>
  <si>
    <t>CUST596</t>
  </si>
  <si>
    <t>Michael Davis</t>
  </si>
  <si>
    <t>PROD6182</t>
  </si>
  <si>
    <t>Petersville</t>
  </si>
  <si>
    <t>Peterson and Sons</t>
  </si>
  <si>
    <t>gonzalescorey@murphy.com</t>
  </si>
  <si>
    <t>ORD1155</t>
  </si>
  <si>
    <t>CUST757</t>
  </si>
  <si>
    <t>Mrs. Nina Cherry MD</t>
  </si>
  <si>
    <t>PROD2945</t>
  </si>
  <si>
    <t>Edwardshaven</t>
  </si>
  <si>
    <t>Moore, Lopez and Robinson</t>
  </si>
  <si>
    <t>mayssusan@crosby-hernandez.com</t>
  </si>
  <si>
    <t>ORD1156</t>
  </si>
  <si>
    <t>CUST847</t>
  </si>
  <si>
    <t>Jeremy Burns</t>
  </si>
  <si>
    <t>PROD5789</t>
  </si>
  <si>
    <t>West Georgebury</t>
  </si>
  <si>
    <t>Porter, Mitchell and Rivers</t>
  </si>
  <si>
    <t>nlopez@ramirez-rogers.org</t>
  </si>
  <si>
    <t>ORD1157</t>
  </si>
  <si>
    <t>CUST659</t>
  </si>
  <si>
    <t>Andrea Hernandez</t>
  </si>
  <si>
    <t>PROD2210</t>
  </si>
  <si>
    <t>New Keithland</t>
  </si>
  <si>
    <t>Williams Group</t>
  </si>
  <si>
    <t>teresa90@johnson-payne.net</t>
  </si>
  <si>
    <t>ORD1158</t>
  </si>
  <si>
    <t>CUST696</t>
  </si>
  <si>
    <t>Lisa Silva</t>
  </si>
  <si>
    <t>PROD4538</t>
  </si>
  <si>
    <t>East Cameronbury</t>
  </si>
  <si>
    <t>Thompson and Sons</t>
  </si>
  <si>
    <t>juan66@glover-carter.org</t>
  </si>
  <si>
    <t>ORD1159</t>
  </si>
  <si>
    <t>CUST181</t>
  </si>
  <si>
    <t>Alexander Johnson</t>
  </si>
  <si>
    <t>PROD5399</t>
  </si>
  <si>
    <t>East David</t>
  </si>
  <si>
    <t>Gonzalez-Gray</t>
  </si>
  <si>
    <t>jasondavis@todd-roach.com</t>
  </si>
  <si>
    <t>ORD1160</t>
  </si>
  <si>
    <t>Alex Yang</t>
  </si>
  <si>
    <t>PROD4397</t>
  </si>
  <si>
    <t>South Adamhaven</t>
  </si>
  <si>
    <t>Fitzgerald Ltd</t>
  </si>
  <si>
    <t>prattwilliam@brown.com</t>
  </si>
  <si>
    <t>ORD1161</t>
  </si>
  <si>
    <t>CUST602</t>
  </si>
  <si>
    <t>Ryan Dorsey</t>
  </si>
  <si>
    <t>PROD1203</t>
  </si>
  <si>
    <t>Jacksonfort</t>
  </si>
  <si>
    <t>Garcia-Burke</t>
  </si>
  <si>
    <t>danielsjimmy@watts.com</t>
  </si>
  <si>
    <t>ORD1162</t>
  </si>
  <si>
    <t>Gabrielle Evans</t>
  </si>
  <si>
    <t>PROD5113</t>
  </si>
  <si>
    <t>East Samuel</t>
  </si>
  <si>
    <t>Brown-Collins</t>
  </si>
  <si>
    <t>kmendez@brown.com</t>
  </si>
  <si>
    <t>ORD1163</t>
  </si>
  <si>
    <t>CUST962</t>
  </si>
  <si>
    <t>Stephanie Guerra</t>
  </si>
  <si>
    <t>PROD4715</t>
  </si>
  <si>
    <t>North Jason</t>
  </si>
  <si>
    <t>Moore-Campbell</t>
  </si>
  <si>
    <t>zhunter@johnson-mcbride.com</t>
  </si>
  <si>
    <t>ORD1164</t>
  </si>
  <si>
    <t>CUST244</t>
  </si>
  <si>
    <t>Scott Hardin</t>
  </si>
  <si>
    <t>PROD8565</t>
  </si>
  <si>
    <t>Port Aaron</t>
  </si>
  <si>
    <t>Miller, Luna and Ortiz</t>
  </si>
  <si>
    <t>jennifer44@english-evans.info</t>
  </si>
  <si>
    <t>ORD1165</t>
  </si>
  <si>
    <t>CUST630</t>
  </si>
  <si>
    <t>Richard Coleman</t>
  </si>
  <si>
    <t>PROD1038</t>
  </si>
  <si>
    <t>Elizabethfort</t>
  </si>
  <si>
    <t>Carter Group</t>
  </si>
  <si>
    <t>mary50@gonzales.com</t>
  </si>
  <si>
    <t>ORD1166</t>
  </si>
  <si>
    <t>CUST749</t>
  </si>
  <si>
    <t>Wendy Salinas</t>
  </si>
  <si>
    <t>PROD9842</t>
  </si>
  <si>
    <t>North Thomasland</t>
  </si>
  <si>
    <t>Moore Ltd</t>
  </si>
  <si>
    <t>laura24@thompson-zamora.com</t>
  </si>
  <si>
    <t>ORD1167</t>
  </si>
  <si>
    <t>CUST297</t>
  </si>
  <si>
    <t>Ronald Garner</t>
  </si>
  <si>
    <t>PROD6060</t>
  </si>
  <si>
    <t>New Hampshire</t>
  </si>
  <si>
    <t>West Johnstad</t>
  </si>
  <si>
    <t>Blair-Cisneros</t>
  </si>
  <si>
    <t>troy57@maldonado.net</t>
  </si>
  <si>
    <t>ORD1168</t>
  </si>
  <si>
    <t>CUST582</t>
  </si>
  <si>
    <t>Amy Lewis</t>
  </si>
  <si>
    <t>PROD6001</t>
  </si>
  <si>
    <t>Jamesside</t>
  </si>
  <si>
    <t>Gaines PLC</t>
  </si>
  <si>
    <t>noblemichelle@french.com</t>
  </si>
  <si>
    <t>ORD1169</t>
  </si>
  <si>
    <t>CUST626</t>
  </si>
  <si>
    <t>Jennifer Hill</t>
  </si>
  <si>
    <t>PROD8605</t>
  </si>
  <si>
    <t>Theresaborough</t>
  </si>
  <si>
    <t>Duran-Smith</t>
  </si>
  <si>
    <t>steven01@chavez-townsend.net</t>
  </si>
  <si>
    <t>ORD1170</t>
  </si>
  <si>
    <t>CUST419</t>
  </si>
  <si>
    <t>Erin Frederick</t>
  </si>
  <si>
    <t>PROD7755</t>
  </si>
  <si>
    <t>South Lisafort</t>
  </si>
  <si>
    <t>Walsh-Dickerson</t>
  </si>
  <si>
    <t>bryanrosario@bridges-martin.biz</t>
  </si>
  <si>
    <t>ORD1171</t>
  </si>
  <si>
    <t>CUST788</t>
  </si>
  <si>
    <t>Ronald Murray</t>
  </si>
  <si>
    <t>PROD1628</t>
  </si>
  <si>
    <t>Johnsonbury</t>
  </si>
  <si>
    <t>Becker Inc</t>
  </si>
  <si>
    <t>jgreen@parker.com</t>
  </si>
  <si>
    <t>ORD1172</t>
  </si>
  <si>
    <t>CUST632</t>
  </si>
  <si>
    <t>Tara Johnson</t>
  </si>
  <si>
    <t>PROD6808</t>
  </si>
  <si>
    <t>Pereztown</t>
  </si>
  <si>
    <t>Le-Benton</t>
  </si>
  <si>
    <t>adamdavis@cohen-rodriguez.org</t>
  </si>
  <si>
    <t>ORD1173</t>
  </si>
  <si>
    <t>CUST808</t>
  </si>
  <si>
    <t>Yolanda Parker</t>
  </si>
  <si>
    <t>PROD3162</t>
  </si>
  <si>
    <t>East Bryan</t>
  </si>
  <si>
    <t>Kelley Group</t>
  </si>
  <si>
    <t>heather11@foster-howell.com</t>
  </si>
  <si>
    <t>ORD1174</t>
  </si>
  <si>
    <t>CUST589</t>
  </si>
  <si>
    <t>Bryan Monroe</t>
  </si>
  <si>
    <t>PROD3255</t>
  </si>
  <si>
    <t>Coxtown</t>
  </si>
  <si>
    <t>Dennis Ltd</t>
  </si>
  <si>
    <t>johnvance@marquez.info</t>
  </si>
  <si>
    <t>ORD1175</t>
  </si>
  <si>
    <t>CUST846</t>
  </si>
  <si>
    <t>William Rivera</t>
  </si>
  <si>
    <t>PROD2342</t>
  </si>
  <si>
    <t>Nicholechester</t>
  </si>
  <si>
    <t>Davidson, Brown and Green</t>
  </si>
  <si>
    <t>robertmiller@conner.net</t>
  </si>
  <si>
    <t>ORD1176</t>
  </si>
  <si>
    <t>CUST417</t>
  </si>
  <si>
    <t>Courtney Frank</t>
  </si>
  <si>
    <t>PROD6214</t>
  </si>
  <si>
    <t>South Raymondchester</t>
  </si>
  <si>
    <t>Edwards PLC</t>
  </si>
  <si>
    <t>james40@blankenship.net</t>
  </si>
  <si>
    <t>ORD1177</t>
  </si>
  <si>
    <t>CUST640</t>
  </si>
  <si>
    <t>Andrew Black</t>
  </si>
  <si>
    <t>PROD9025</t>
  </si>
  <si>
    <t>West Carlos</t>
  </si>
  <si>
    <t>Henderson Inc</t>
  </si>
  <si>
    <t>ndavis@dodson.com</t>
  </si>
  <si>
    <t>ORD1178</t>
  </si>
  <si>
    <t>CUST771</t>
  </si>
  <si>
    <t>Cynthia Gillespie</t>
  </si>
  <si>
    <t>PROD4218</t>
  </si>
  <si>
    <t>New Jenniferburgh</t>
  </si>
  <si>
    <t>Martinez and Sons</t>
  </si>
  <si>
    <t>lloydjoshua@raymond.net</t>
  </si>
  <si>
    <t>ORD1179</t>
  </si>
  <si>
    <t>CUST722</t>
  </si>
  <si>
    <t>Summer Murray</t>
  </si>
  <si>
    <t>PROD2631</t>
  </si>
  <si>
    <t>Erintown</t>
  </si>
  <si>
    <t>Garrett LLC</t>
  </si>
  <si>
    <t>bonniewagner@bauer.net</t>
  </si>
  <si>
    <t>ORD1180</t>
  </si>
  <si>
    <t>Brian Nash</t>
  </si>
  <si>
    <t>PROD8267</t>
  </si>
  <si>
    <t>East Sheilaville</t>
  </si>
  <si>
    <t>Mcdonald, Perez and Morgan</t>
  </si>
  <si>
    <t>imcdowell@smith-schmitt.com</t>
  </si>
  <si>
    <t>ORD1181</t>
  </si>
  <si>
    <t>CUST960</t>
  </si>
  <si>
    <t>Charles Ryan</t>
  </si>
  <si>
    <t>PROD7864</t>
  </si>
  <si>
    <t>Jonesmouth</t>
  </si>
  <si>
    <t>Brown LLC</t>
  </si>
  <si>
    <t>diana63@adkins.org</t>
  </si>
  <si>
    <t>ORD1182</t>
  </si>
  <si>
    <t>CUST991</t>
  </si>
  <si>
    <t>Matthew Dominguez MD</t>
  </si>
  <si>
    <t>PROD1416</t>
  </si>
  <si>
    <t>Port Oliviafort</t>
  </si>
  <si>
    <t>Wells-Rodriguez</t>
  </si>
  <si>
    <t>bsmith@mays.com</t>
  </si>
  <si>
    <t>ORD1183</t>
  </si>
  <si>
    <t>CUST666</t>
  </si>
  <si>
    <t>Mary Hendrix</t>
  </si>
  <si>
    <t>PROD8241</t>
  </si>
  <si>
    <t>Smithstad</t>
  </si>
  <si>
    <t>Cox, Harris and Wilson</t>
  </si>
  <si>
    <t>scottstevenson@mccarty-hammond.com</t>
  </si>
  <si>
    <t>ORD1184</t>
  </si>
  <si>
    <t>CUST556</t>
  </si>
  <si>
    <t>Jason Daniel</t>
  </si>
  <si>
    <t>PROD6273</t>
  </si>
  <si>
    <t>Thomasview</t>
  </si>
  <si>
    <t>Cook, Gonzalez and Barnett</t>
  </si>
  <si>
    <t>chernandez@vincent.info</t>
  </si>
  <si>
    <t>ORD1185</t>
  </si>
  <si>
    <t>CUST605</t>
  </si>
  <si>
    <t>Jenny Clark</t>
  </si>
  <si>
    <t>PROD4603</t>
  </si>
  <si>
    <t>Port Rachelton</t>
  </si>
  <si>
    <t>Jordan, Mcdowell and Jones</t>
  </si>
  <si>
    <t>christy27@villa-barker.org</t>
  </si>
  <si>
    <t>ORD1186</t>
  </si>
  <si>
    <t>CUST160</t>
  </si>
  <si>
    <t>Savannah Martin</t>
  </si>
  <si>
    <t>PROD2256</t>
  </si>
  <si>
    <t>Wattsland</t>
  </si>
  <si>
    <t>Rogers Group</t>
  </si>
  <si>
    <t>mariaoliver@hughes.com</t>
  </si>
  <si>
    <t>ORD1187</t>
  </si>
  <si>
    <t>CUST118</t>
  </si>
  <si>
    <t>Brian Miller</t>
  </si>
  <si>
    <t>PROD1656</t>
  </si>
  <si>
    <t>South Robertburgh</t>
  </si>
  <si>
    <t>Lucas PLC</t>
  </si>
  <si>
    <t>scottwilliam@boyle.org</t>
  </si>
  <si>
    <t>ORD1188</t>
  </si>
  <si>
    <t>CUST241</t>
  </si>
  <si>
    <t>Kelsey Jones</t>
  </si>
  <si>
    <t>PROD9485</t>
  </si>
  <si>
    <t>West Brianna</t>
  </si>
  <si>
    <t>Doyle, Williams and Davis</t>
  </si>
  <si>
    <t>gdaniels@castillo.com</t>
  </si>
  <si>
    <t>ORD1189</t>
  </si>
  <si>
    <t>CUST133</t>
  </si>
  <si>
    <t>Audrey Brown</t>
  </si>
  <si>
    <t>PROD1561</t>
  </si>
  <si>
    <t>Abigailfurt</t>
  </si>
  <si>
    <t>Hendricks, Whitaker and Cox</t>
  </si>
  <si>
    <t>ramirezkaren@martinez-henson.com</t>
  </si>
  <si>
    <t>ORD1190</t>
  </si>
  <si>
    <t>CUST951</t>
  </si>
  <si>
    <t>Donna Vargas</t>
  </si>
  <si>
    <t>PROD4696</t>
  </si>
  <si>
    <t>South Lisamouth</t>
  </si>
  <si>
    <t>Morris-Evans</t>
  </si>
  <si>
    <t>egarcia@gaines.biz</t>
  </si>
  <si>
    <t>ORD1191</t>
  </si>
  <si>
    <t>CUST141</t>
  </si>
  <si>
    <t>Kelsey Leonard</t>
  </si>
  <si>
    <t>PROD3280</t>
  </si>
  <si>
    <t>Lake Timothychester</t>
  </si>
  <si>
    <t>Kelley, Salazar and Mcmahon</t>
  </si>
  <si>
    <t>braunalbert@castillo.com</t>
  </si>
  <si>
    <t>ORD1192</t>
  </si>
  <si>
    <t>CUST288</t>
  </si>
  <si>
    <t>Daniel Oliver</t>
  </si>
  <si>
    <t>PROD9501</t>
  </si>
  <si>
    <t>Lake Edwardmouth</t>
  </si>
  <si>
    <t>Wang, Nguyen and Tucker</t>
  </si>
  <si>
    <t>jesseellis@scott.com</t>
  </si>
  <si>
    <t>ORD1193</t>
  </si>
  <si>
    <t>Dakota Henry</t>
  </si>
  <si>
    <t>PROD8644</t>
  </si>
  <si>
    <t>East Veronica</t>
  </si>
  <si>
    <t>Hill, Byrd and Johnson</t>
  </si>
  <si>
    <t>qbooker@hopkins.com</t>
  </si>
  <si>
    <t>ORD1194</t>
  </si>
  <si>
    <t>CUST802</t>
  </si>
  <si>
    <t>Trevor Walker</t>
  </si>
  <si>
    <t>PROD9101</t>
  </si>
  <si>
    <t>Stephensmouth</t>
  </si>
  <si>
    <t>Little, Delgado and Reed</t>
  </si>
  <si>
    <t>matthewharper@sheppard.com</t>
  </si>
  <si>
    <t>ORD1195</t>
  </si>
  <si>
    <t>CUST775</t>
  </si>
  <si>
    <t>David Townsend</t>
  </si>
  <si>
    <t>PROD7448</t>
  </si>
  <si>
    <t>East Douglas</t>
  </si>
  <si>
    <t>King Ltd</t>
  </si>
  <si>
    <t>renee51@russo.com</t>
  </si>
  <si>
    <t>ORD1196</t>
  </si>
  <si>
    <t>CUST266</t>
  </si>
  <si>
    <t>Donna Lynn</t>
  </si>
  <si>
    <t>PROD6856</t>
  </si>
  <si>
    <t>West Jessica</t>
  </si>
  <si>
    <t>Atkinson-Crawford</t>
  </si>
  <si>
    <t>melendezbreanna@stanley.com</t>
  </si>
  <si>
    <t>ORD1197</t>
  </si>
  <si>
    <t>CUST628</t>
  </si>
  <si>
    <t>Karen Walker</t>
  </si>
  <si>
    <t>PROD7973</t>
  </si>
  <si>
    <t>Kennethmouth</t>
  </si>
  <si>
    <t>Bishop, Smith and Huff</t>
  </si>
  <si>
    <t>ashleyreed@james.com</t>
  </si>
  <si>
    <t>ORD1198</t>
  </si>
  <si>
    <t>CUST678</t>
  </si>
  <si>
    <t>Daniel Howell</t>
  </si>
  <si>
    <t>PROD1937</t>
  </si>
  <si>
    <t>East Heidibury</t>
  </si>
  <si>
    <t>Page and Sons</t>
  </si>
  <si>
    <t>oroberts@parrish.com</t>
  </si>
  <si>
    <t>ORD1199</t>
  </si>
  <si>
    <t>CUST661</t>
  </si>
  <si>
    <t>Tony Turner</t>
  </si>
  <si>
    <t>PROD3357</t>
  </si>
  <si>
    <t>Bennettfort</t>
  </si>
  <si>
    <t>Hurst and Sons</t>
  </si>
  <si>
    <t>tgibson@glass-may.biz</t>
  </si>
  <si>
    <t>ORD1200</t>
  </si>
  <si>
    <t>CUST984</t>
  </si>
  <si>
    <t>Samantha Price</t>
  </si>
  <si>
    <t>PROD1207</t>
  </si>
  <si>
    <t>Pricemouth</t>
  </si>
  <si>
    <t>Rodriguez-Horton</t>
  </si>
  <si>
    <t>olewis@figueroa.biz</t>
  </si>
  <si>
    <t>ORD1201</t>
  </si>
  <si>
    <t>CUST726</t>
  </si>
  <si>
    <t>Becky Thompson</t>
  </si>
  <si>
    <t>PROD6496</t>
  </si>
  <si>
    <t>South Melissa</t>
  </si>
  <si>
    <t>Davis-White</t>
  </si>
  <si>
    <t>cody77@dickerson.org</t>
  </si>
  <si>
    <t>ORD1202</t>
  </si>
  <si>
    <t>James Ellis</t>
  </si>
  <si>
    <t>PROD9289</t>
  </si>
  <si>
    <t>East Kevin</t>
  </si>
  <si>
    <t>Hall-Morris</t>
  </si>
  <si>
    <t>edwardcruz@simon-ramirez.com</t>
  </si>
  <si>
    <t>ORD1203</t>
  </si>
  <si>
    <t>CUST167</t>
  </si>
  <si>
    <t>Thomas Young</t>
  </si>
  <si>
    <t>PROD2503</t>
  </si>
  <si>
    <t>Anthonyville</t>
  </si>
  <si>
    <t>Martinez Ltd</t>
  </si>
  <si>
    <t>sara33@baker.org</t>
  </si>
  <si>
    <t>ORD1204</t>
  </si>
  <si>
    <t>CUST853</t>
  </si>
  <si>
    <t>Mary Clarke</t>
  </si>
  <si>
    <t>PROD9776</t>
  </si>
  <si>
    <t>Nelsonland</t>
  </si>
  <si>
    <t>Dunn, Duran and Carr</t>
  </si>
  <si>
    <t>susan45@davidson.biz</t>
  </si>
  <si>
    <t>ORD1205</t>
  </si>
  <si>
    <t>CUST948</t>
  </si>
  <si>
    <t>Kyle Vaughn</t>
  </si>
  <si>
    <t>PROD3753</t>
  </si>
  <si>
    <t>Doyleborough</t>
  </si>
  <si>
    <t>Black, Nelson and Turner</t>
  </si>
  <si>
    <t>nphillips@hernandez-garrett.org</t>
  </si>
  <si>
    <t>ORD1206</t>
  </si>
  <si>
    <t>Glenn Moran</t>
  </si>
  <si>
    <t>PROD2441</t>
  </si>
  <si>
    <t>West Francestown</t>
  </si>
  <si>
    <t>Garcia-Smith</t>
  </si>
  <si>
    <t>lauriekelley@harris-hammond.com</t>
  </si>
  <si>
    <t>ORD1207</t>
  </si>
  <si>
    <t>Katelyn Wallace</t>
  </si>
  <si>
    <t>PROD5499</t>
  </si>
  <si>
    <t>South Williamtown</t>
  </si>
  <si>
    <t>Villanueva, Perry and Moore</t>
  </si>
  <si>
    <t>perezmichelle@wong-king.net</t>
  </si>
  <si>
    <t>ORD1208</t>
  </si>
  <si>
    <t>CUST852</t>
  </si>
  <si>
    <t>Paul Salas</t>
  </si>
  <si>
    <t>PROD3180</t>
  </si>
  <si>
    <t>East Dianafurt</t>
  </si>
  <si>
    <t>Serrano Ltd</t>
  </si>
  <si>
    <t>daviscorey@king.info</t>
  </si>
  <si>
    <t>ORD1209</t>
  </si>
  <si>
    <t>CUST151</t>
  </si>
  <si>
    <t>Shelly Delgado</t>
  </si>
  <si>
    <t>PROD8704</t>
  </si>
  <si>
    <t>Martinberg</t>
  </si>
  <si>
    <t>Johnson, Davis and Lin</t>
  </si>
  <si>
    <t>williamsbobby@clark.info</t>
  </si>
  <si>
    <t>ORD1210</t>
  </si>
  <si>
    <t>CUST472</t>
  </si>
  <si>
    <t>Katherine Martinez</t>
  </si>
  <si>
    <t>PROD7535</t>
  </si>
  <si>
    <t>Corychester</t>
  </si>
  <si>
    <t>Hampton, Atkinson and Nichols</t>
  </si>
  <si>
    <t>qcastillo@mayo.com</t>
  </si>
  <si>
    <t>ORD1211</t>
  </si>
  <si>
    <t>Timothy Jimenez</t>
  </si>
  <si>
    <t>PROD8466</t>
  </si>
  <si>
    <t>New Racheltown</t>
  </si>
  <si>
    <t>Ortiz and Sons</t>
  </si>
  <si>
    <t>rebecca51@carter-campbell.info</t>
  </si>
  <si>
    <t>ORD1212</t>
  </si>
  <si>
    <t>CUST952</t>
  </si>
  <si>
    <t>Haley Cook</t>
  </si>
  <si>
    <t>PROD4954</t>
  </si>
  <si>
    <t>Port Hannahchester</t>
  </si>
  <si>
    <t>Lambert Inc</t>
  </si>
  <si>
    <t>huntwilliam@clark-nunez.biz</t>
  </si>
  <si>
    <t>ORD1213</t>
  </si>
  <si>
    <t>CUST301</t>
  </si>
  <si>
    <t>Ashley Stevenson</t>
  </si>
  <si>
    <t>PROD3170</t>
  </si>
  <si>
    <t>Lake Patrickberg</t>
  </si>
  <si>
    <t>Robertson, Bell and Curtis</t>
  </si>
  <si>
    <t>mmorgan@crawford.com</t>
  </si>
  <si>
    <t>ORD1214</t>
  </si>
  <si>
    <t>CUST795</t>
  </si>
  <si>
    <t>John Trevino</t>
  </si>
  <si>
    <t>PROD4676</t>
  </si>
  <si>
    <t>Bennettmouth</t>
  </si>
  <si>
    <t>Singleton, Leach and Jackson</t>
  </si>
  <si>
    <t>hgregory@smith-gonzalez.com</t>
  </si>
  <si>
    <t>ORD1215</t>
  </si>
  <si>
    <t>CUST513</t>
  </si>
  <si>
    <t>Calvin Mullins</t>
  </si>
  <si>
    <t>PROD1657</t>
  </si>
  <si>
    <t>Lake Donna</t>
  </si>
  <si>
    <t>Lewis-Holmes</t>
  </si>
  <si>
    <t>kevinhughes@english.biz</t>
  </si>
  <si>
    <t>ORD1216</t>
  </si>
  <si>
    <t>CUST432</t>
  </si>
  <si>
    <t>Joel Cherry</t>
  </si>
  <si>
    <t>PROD6226</t>
  </si>
  <si>
    <t>South Joe</t>
  </si>
  <si>
    <t>Middleton PLC</t>
  </si>
  <si>
    <t>richardsuarez@reid.com</t>
  </si>
  <si>
    <t>ORD1217</t>
  </si>
  <si>
    <t>CUST959</t>
  </si>
  <si>
    <t>Kristina Bender</t>
  </si>
  <si>
    <t>PROD1735</t>
  </si>
  <si>
    <t>East Jeffrey</t>
  </si>
  <si>
    <t>Ray, Miller and Nichols</t>
  </si>
  <si>
    <t>woodswesley@bailey-anderson.net</t>
  </si>
  <si>
    <t>ORD1218</t>
  </si>
  <si>
    <t>CUST590</t>
  </si>
  <si>
    <t>Kyle Lambert</t>
  </si>
  <si>
    <t>PROD4872</t>
  </si>
  <si>
    <t>East Brentview</t>
  </si>
  <si>
    <t>Mills-Matthews</t>
  </si>
  <si>
    <t>pmccormick@ferguson.org</t>
  </si>
  <si>
    <t>ORD1219</t>
  </si>
  <si>
    <t>CUST784</t>
  </si>
  <si>
    <t>Chris Mills</t>
  </si>
  <si>
    <t>PROD3607</t>
  </si>
  <si>
    <t>Stantonfort</t>
  </si>
  <si>
    <t>Johnson-Stephens</t>
  </si>
  <si>
    <t>kaitlynvaldez@stevens.com</t>
  </si>
  <si>
    <t>ORD1220</t>
  </si>
  <si>
    <t>CUST850</t>
  </si>
  <si>
    <t>Rebecca Winters</t>
  </si>
  <si>
    <t>PROD9367</t>
  </si>
  <si>
    <t>Stevenview</t>
  </si>
  <si>
    <t>Moreno-Sanders</t>
  </si>
  <si>
    <t>davisdebra@james.com</t>
  </si>
  <si>
    <t>ORD1221</t>
  </si>
  <si>
    <t>CUST902</t>
  </si>
  <si>
    <t>Melanie Mullen</t>
  </si>
  <si>
    <t>PROD9382</t>
  </si>
  <si>
    <t>East Kathryn</t>
  </si>
  <si>
    <t>Sanchez Ltd</t>
  </si>
  <si>
    <t>amanda69@powell.com</t>
  </si>
  <si>
    <t>ORD1222</t>
  </si>
  <si>
    <t>Destiny Austin</t>
  </si>
  <si>
    <t>PROD4887</t>
  </si>
  <si>
    <t>Taylorberg</t>
  </si>
  <si>
    <t>Lee, Martin and Ramirez</t>
  </si>
  <si>
    <t>oestrada@hall.com</t>
  </si>
  <si>
    <t>ORD1223</t>
  </si>
  <si>
    <t>CUST258</t>
  </si>
  <si>
    <t>Mary Mitchell</t>
  </si>
  <si>
    <t>PROD2162</t>
  </si>
  <si>
    <t>Taylorton</t>
  </si>
  <si>
    <t>Mitchell Inc</t>
  </si>
  <si>
    <t>bhawkins@wheeler.org</t>
  </si>
  <si>
    <t>ORD1224</t>
  </si>
  <si>
    <t>CUST720</t>
  </si>
  <si>
    <t>Stacey Stone</t>
  </si>
  <si>
    <t>PROD9547</t>
  </si>
  <si>
    <t>New Catherine</t>
  </si>
  <si>
    <t>Jones and Sons</t>
  </si>
  <si>
    <t>aimee48@montes.com</t>
  </si>
  <si>
    <t>ORD1225</t>
  </si>
  <si>
    <t>CUST684</t>
  </si>
  <si>
    <t>Michael Rubio</t>
  </si>
  <si>
    <t>PROD4985</t>
  </si>
  <si>
    <t>Garciatown</t>
  </si>
  <si>
    <t>Richards, Soto and Clark</t>
  </si>
  <si>
    <t>bentonsusan@black.com</t>
  </si>
  <si>
    <t>ORD1226</t>
  </si>
  <si>
    <t>CUST599</t>
  </si>
  <si>
    <t>Leah Price</t>
  </si>
  <si>
    <t>PROD3507</t>
  </si>
  <si>
    <t>Gutierrezchester</t>
  </si>
  <si>
    <t>Lewis, Fry and Wilson</t>
  </si>
  <si>
    <t>joyce63@jones.com</t>
  </si>
  <si>
    <t>ORD1227</t>
  </si>
  <si>
    <t>Courtney Chandler</t>
  </si>
  <si>
    <t>PROD2351</t>
  </si>
  <si>
    <t>Thompson-Pittman</t>
  </si>
  <si>
    <t>tiffany13@pratt.com</t>
  </si>
  <si>
    <t>ORD1228</t>
  </si>
  <si>
    <t>CUST238</t>
  </si>
  <si>
    <t>Caitlin Nelson</t>
  </si>
  <si>
    <t>PROD8833</t>
  </si>
  <si>
    <t>Sanchezberg</t>
  </si>
  <si>
    <t>Smith-Wall</t>
  </si>
  <si>
    <t>hannahsmith@jennings.com</t>
  </si>
  <si>
    <t>ORD1229</t>
  </si>
  <si>
    <t>CUST296</t>
  </si>
  <si>
    <t>Sara Miller</t>
  </si>
  <si>
    <t>PROD5743</t>
  </si>
  <si>
    <t>Fullerland</t>
  </si>
  <si>
    <t>Garza-Chang</t>
  </si>
  <si>
    <t>laramichael@rios.biz</t>
  </si>
  <si>
    <t>ORD1230</t>
  </si>
  <si>
    <t>CUST750</t>
  </si>
  <si>
    <t>Dr. Johnny Compton</t>
  </si>
  <si>
    <t>PROD4392</t>
  </si>
  <si>
    <t>North Catherineview</t>
  </si>
  <si>
    <t>Ochoa-Gallagher</t>
  </si>
  <si>
    <t>dboyd@wilson.net</t>
  </si>
  <si>
    <t>ORD1231</t>
  </si>
  <si>
    <t>Kristie Brown</t>
  </si>
  <si>
    <t>PROD4199</t>
  </si>
  <si>
    <t>East Destiny</t>
  </si>
  <si>
    <t>Taylor-Jennings</t>
  </si>
  <si>
    <t>millerbrittany@wang.com</t>
  </si>
  <si>
    <t>ORD1232</t>
  </si>
  <si>
    <t>CUST949</t>
  </si>
  <si>
    <t>Katherine Hamilton</t>
  </si>
  <si>
    <t>PROD1959</t>
  </si>
  <si>
    <t>South Charles</t>
  </si>
  <si>
    <t>Mills-Garcia</t>
  </si>
  <si>
    <t>patricia64@osborne-waters.info</t>
  </si>
  <si>
    <t>ORD1233</t>
  </si>
  <si>
    <t>CUST149</t>
  </si>
  <si>
    <t>Charles Moore</t>
  </si>
  <si>
    <t>PROD3568</t>
  </si>
  <si>
    <t>New Pamelaborough</t>
  </si>
  <si>
    <t>Trevino and Sons</t>
  </si>
  <si>
    <t>steelebrittany@hernandez.com</t>
  </si>
  <si>
    <t>ORD1234</t>
  </si>
  <si>
    <t>Michael Lopez</t>
  </si>
  <si>
    <t>PROD3795</t>
  </si>
  <si>
    <t>New Matthew</t>
  </si>
  <si>
    <t>Brooks-Morales</t>
  </si>
  <si>
    <t>gregory74@stafford-smith.com</t>
  </si>
  <si>
    <t>ORD1235</t>
  </si>
  <si>
    <t>Jennifer Roberts</t>
  </si>
  <si>
    <t>PROD8258</t>
  </si>
  <si>
    <t>Alexanderfurt</t>
  </si>
  <si>
    <t>Walls, Carter and Knapp</t>
  </si>
  <si>
    <t>dixonlaura@guerrero-miller.com</t>
  </si>
  <si>
    <t>ORD1236</t>
  </si>
  <si>
    <t>CUST579</t>
  </si>
  <si>
    <t>Mark Wise</t>
  </si>
  <si>
    <t>PROD7971</t>
  </si>
  <si>
    <t>New Manuelfort</t>
  </si>
  <si>
    <t>King, Perry and Jennings</t>
  </si>
  <si>
    <t>ntaylor@hall-mills.com</t>
  </si>
  <si>
    <t>ORD1237</t>
  </si>
  <si>
    <t>CUST918</t>
  </si>
  <si>
    <t>Sean Hernandez</t>
  </si>
  <si>
    <t>PROD9761</t>
  </si>
  <si>
    <t>Wrightshire</t>
  </si>
  <si>
    <t>Stevens, Thompson and Ball</t>
  </si>
  <si>
    <t>karen44@anderson.com</t>
  </si>
  <si>
    <t>ORD1238</t>
  </si>
  <si>
    <t>CUST738</t>
  </si>
  <si>
    <t>Lisa Alexander</t>
  </si>
  <si>
    <t>PROD5950</t>
  </si>
  <si>
    <t>West Jason</t>
  </si>
  <si>
    <t>Hurst Group</t>
  </si>
  <si>
    <t>wrightnicholas@huang.com</t>
  </si>
  <si>
    <t>ORD1239</t>
  </si>
  <si>
    <t>CUST993</t>
  </si>
  <si>
    <t>Norma Mccullough</t>
  </si>
  <si>
    <t>PROD4953</t>
  </si>
  <si>
    <t>Deborahside</t>
  </si>
  <si>
    <t>Franklin-Barker</t>
  </si>
  <si>
    <t>khobbs@white.org</t>
  </si>
  <si>
    <t>ORD1240</t>
  </si>
  <si>
    <t>CUST627</t>
  </si>
  <si>
    <t>David Olson</t>
  </si>
  <si>
    <t>PROD7425</t>
  </si>
  <si>
    <t>Lindseyborough</t>
  </si>
  <si>
    <t>Nunez-Jones</t>
  </si>
  <si>
    <t>scottkelly@jensen.info</t>
  </si>
  <si>
    <t>ORD1241</t>
  </si>
  <si>
    <t>CUST747</t>
  </si>
  <si>
    <t>Kimberly Warner</t>
  </si>
  <si>
    <t>PROD7549</t>
  </si>
  <si>
    <t>West Julie</t>
  </si>
  <si>
    <t>Black, Fowler and Edwards</t>
  </si>
  <si>
    <t>wgarcia@reed.org</t>
  </si>
  <si>
    <t>ORD1242</t>
  </si>
  <si>
    <t>CUST357</t>
  </si>
  <si>
    <t>Jason Clark</t>
  </si>
  <si>
    <t>PROD4972</t>
  </si>
  <si>
    <t>Wrightfort</t>
  </si>
  <si>
    <t>Smith-Munoz</t>
  </si>
  <si>
    <t>jason95@martin-chen.info</t>
  </si>
  <si>
    <t>ORD1243</t>
  </si>
  <si>
    <t>CUST191</t>
  </si>
  <si>
    <t>David Wolfe</t>
  </si>
  <si>
    <t>PROD5875</t>
  </si>
  <si>
    <t>New Donnabury</t>
  </si>
  <si>
    <t>Davidson-Ayala</t>
  </si>
  <si>
    <t>pwells@silva-shields.com</t>
  </si>
  <si>
    <t>ORD1244</t>
  </si>
  <si>
    <t>Nicholas Roberts</t>
  </si>
  <si>
    <t>PROD8581</t>
  </si>
  <si>
    <t>East Dianaborough</t>
  </si>
  <si>
    <t>Stone, White and Chavez</t>
  </si>
  <si>
    <t>emilyhays@diaz-sanders.com</t>
  </si>
  <si>
    <t>ORD1245</t>
  </si>
  <si>
    <t>Gary Melton</t>
  </si>
  <si>
    <t>PROD5594</t>
  </si>
  <si>
    <t>New Logan</t>
  </si>
  <si>
    <t>Doyle, Flores and Hines</t>
  </si>
  <si>
    <t>collinsangela@chang.info</t>
  </si>
  <si>
    <t>ORD1246</t>
  </si>
  <si>
    <t>CUST662</t>
  </si>
  <si>
    <t>Samantha Cohen</t>
  </si>
  <si>
    <t>PROD2790</t>
  </si>
  <si>
    <t>East Lynnmouth</t>
  </si>
  <si>
    <t>Bush-Jones</t>
  </si>
  <si>
    <t>lauraanderson@gibbs.com</t>
  </si>
  <si>
    <t>ORD1247</t>
  </si>
  <si>
    <t>CUST240</t>
  </si>
  <si>
    <t>Craig Martinez</t>
  </si>
  <si>
    <t>PROD1132</t>
  </si>
  <si>
    <t>Robinsonstad</t>
  </si>
  <si>
    <t>Bowman Group</t>
  </si>
  <si>
    <t>castanedajessica@reynolds.com</t>
  </si>
  <si>
    <t>ORD1248</t>
  </si>
  <si>
    <t>Carl Frost</t>
  </si>
  <si>
    <t>PROD6179</t>
  </si>
  <si>
    <t>West Sarabury</t>
  </si>
  <si>
    <t>parksean@gardner-williams.com</t>
  </si>
  <si>
    <t>ORD1249</t>
  </si>
  <si>
    <t>CUST792</t>
  </si>
  <si>
    <t>Jennifer Lopez</t>
  </si>
  <si>
    <t>PROD7948</t>
  </si>
  <si>
    <t>Pachecoberg</t>
  </si>
  <si>
    <t>Moore-Thomas</t>
  </si>
  <si>
    <t>sandra47@wang.com</t>
  </si>
  <si>
    <t>ORD1250</t>
  </si>
  <si>
    <t>Nicole Ruiz</t>
  </si>
  <si>
    <t>PROD1672</t>
  </si>
  <si>
    <t>Baileyfurt</t>
  </si>
  <si>
    <t>Santos, Holland and Nichols</t>
  </si>
  <si>
    <t>burnettmichael@gamble-sullivan.com</t>
  </si>
  <si>
    <t>ORD1251</t>
  </si>
  <si>
    <t>CUST830</t>
  </si>
  <si>
    <t>Karen Wells</t>
  </si>
  <si>
    <t>PROD2428</t>
  </si>
  <si>
    <t>Hudsonshire</t>
  </si>
  <si>
    <t>Lopez-Willis</t>
  </si>
  <si>
    <t>swilliams@beck.com</t>
  </si>
  <si>
    <t>ORD1252</t>
  </si>
  <si>
    <t>Yvette Lopez</t>
  </si>
  <si>
    <t>PROD8589</t>
  </si>
  <si>
    <t>Port Jacobtown</t>
  </si>
  <si>
    <t>Sampson PLC</t>
  </si>
  <si>
    <t>david99@walker-torres.info</t>
  </si>
  <si>
    <t>ORD1253</t>
  </si>
  <si>
    <t>CUST716</t>
  </si>
  <si>
    <t>James Mcgrath</t>
  </si>
  <si>
    <t>PROD4665</t>
  </si>
  <si>
    <t>West Kevinside</t>
  </si>
  <si>
    <t>Turner, Moore and Arias</t>
  </si>
  <si>
    <t>christina28@roberts.com</t>
  </si>
  <si>
    <t>ORD1254</t>
  </si>
  <si>
    <t>Sonya Griffin</t>
  </si>
  <si>
    <t>PROD6503</t>
  </si>
  <si>
    <t>West Allison</t>
  </si>
  <si>
    <t>Howard-Proctor</t>
  </si>
  <si>
    <t>owensvickie@stone-johnson.net</t>
  </si>
  <si>
    <t>ORD1255</t>
  </si>
  <si>
    <t>Lawrence Owens</t>
  </si>
  <si>
    <t>PROD9602</t>
  </si>
  <si>
    <t>West Saraberg</t>
  </si>
  <si>
    <t>Arroyo LLC</t>
  </si>
  <si>
    <t>felicia03@moreno-wilson.com</t>
  </si>
  <si>
    <t>ORD1256</t>
  </si>
  <si>
    <t>CUST549</t>
  </si>
  <si>
    <t>Katelyn Cooper</t>
  </si>
  <si>
    <t>South Christine</t>
  </si>
  <si>
    <t>Camacho-Moore</t>
  </si>
  <si>
    <t>denisevalencia@lyons.com</t>
  </si>
  <si>
    <t>ORD1257</t>
  </si>
  <si>
    <t>CUST504</t>
  </si>
  <si>
    <t>Matthew Hill</t>
  </si>
  <si>
    <t>PROD3157</t>
  </si>
  <si>
    <t>Williamstown</t>
  </si>
  <si>
    <t>Roberts, Barnes and Allen</t>
  </si>
  <si>
    <t>martinrichard@lucas.biz</t>
  </si>
  <si>
    <t>ORD1258</t>
  </si>
  <si>
    <t>CUST620</t>
  </si>
  <si>
    <t>Walter Moore</t>
  </si>
  <si>
    <t>PROD1924</t>
  </si>
  <si>
    <t>Wilsonport</t>
  </si>
  <si>
    <t>Lee-Hill</t>
  </si>
  <si>
    <t>benjamin67@hicks.com</t>
  </si>
  <si>
    <t>ORD1259</t>
  </si>
  <si>
    <t>Isaac Booth</t>
  </si>
  <si>
    <t>PROD6661</t>
  </si>
  <si>
    <t>Colorado</t>
  </si>
  <si>
    <t>Reynoldsstad</t>
  </si>
  <si>
    <t>Miller-Thornton</t>
  </si>
  <si>
    <t>curtis77@harrison.org</t>
  </si>
  <si>
    <t>ORD1260</t>
  </si>
  <si>
    <t>CUST843</t>
  </si>
  <si>
    <t>Alexandra Roy</t>
  </si>
  <si>
    <t>PROD7623</t>
  </si>
  <si>
    <t>Riveraport</t>
  </si>
  <si>
    <t>Pittman-Harris</t>
  </si>
  <si>
    <t>gware@davenport.org</t>
  </si>
  <si>
    <t>ORD1261</t>
  </si>
  <si>
    <t>CUST400</t>
  </si>
  <si>
    <t>Anna Martin</t>
  </si>
  <si>
    <t>PROD8536</t>
  </si>
  <si>
    <t>Thompsonton</t>
  </si>
  <si>
    <t>Rodriguez-Garrett</t>
  </si>
  <si>
    <t>jonestina@alexander.org</t>
  </si>
  <si>
    <t>ORD1262</t>
  </si>
  <si>
    <t>Todd Guzman</t>
  </si>
  <si>
    <t>PROD4166</t>
  </si>
  <si>
    <t>Josephchester</t>
  </si>
  <si>
    <t>Lam-Ball</t>
  </si>
  <si>
    <t>princerodney@powell.info</t>
  </si>
  <si>
    <t>ORD1263</t>
  </si>
  <si>
    <t>CUST882</t>
  </si>
  <si>
    <t>Kristen Rodriguez</t>
  </si>
  <si>
    <t>PROD8229</t>
  </si>
  <si>
    <t>Taylorside</t>
  </si>
  <si>
    <t>Prince PLC</t>
  </si>
  <si>
    <t>davidcarter@johnson.com</t>
  </si>
  <si>
    <t>ORD1264</t>
  </si>
  <si>
    <t>Daniel Campbell</t>
  </si>
  <si>
    <t>PROD9586</t>
  </si>
  <si>
    <t>New Angel</t>
  </si>
  <si>
    <t>Harris, Hernandez and Armstrong</t>
  </si>
  <si>
    <t>maria93@dunn.net</t>
  </si>
  <si>
    <t>ORD1265</t>
  </si>
  <si>
    <t>CUST437</t>
  </si>
  <si>
    <t>Katherine Horn</t>
  </si>
  <si>
    <t>PROD5236</t>
  </si>
  <si>
    <t>West Andrew</t>
  </si>
  <si>
    <t>Tate PLC</t>
  </si>
  <si>
    <t>maria49@brown-lloyd.biz</t>
  </si>
  <si>
    <t>ORD1266</t>
  </si>
  <si>
    <t>CUST769</t>
  </si>
  <si>
    <t>Michele House</t>
  </si>
  <si>
    <t>PROD6229</t>
  </si>
  <si>
    <t>Lake Adam</t>
  </si>
  <si>
    <t>Moreno Inc</t>
  </si>
  <si>
    <t>ystewart@costa.biz</t>
  </si>
  <si>
    <t>ORD1267</t>
  </si>
  <si>
    <t>CUST321</t>
  </si>
  <si>
    <t>Charles Smith</t>
  </si>
  <si>
    <t>PROD3684</t>
  </si>
  <si>
    <t>New Michaelfort</t>
  </si>
  <si>
    <t>Allen, Jackson and Cook</t>
  </si>
  <si>
    <t>elizabeth66@mathis.com</t>
  </si>
  <si>
    <t>ORD1268</t>
  </si>
  <si>
    <t>CUST612</t>
  </si>
  <si>
    <t>Lori Newman</t>
  </si>
  <si>
    <t>PROD3141</t>
  </si>
  <si>
    <t>Mathewsstad</t>
  </si>
  <si>
    <t>Manning, Mcdonald and Schultz</t>
  </si>
  <si>
    <t>tammy07@li-johnson.org</t>
  </si>
  <si>
    <t>ORD1269</t>
  </si>
  <si>
    <t>CUST381</t>
  </si>
  <si>
    <t>Mrs. Kelly Mills</t>
  </si>
  <si>
    <t>PROD9630</t>
  </si>
  <si>
    <t>East Corey</t>
  </si>
  <si>
    <t>Kelly LLC</t>
  </si>
  <si>
    <t>mckinneyerika@brown.info</t>
  </si>
  <si>
    <t>ORD1270</t>
  </si>
  <si>
    <t>CUST442</t>
  </si>
  <si>
    <t>David Baldwin</t>
  </si>
  <si>
    <t>PROD4477</t>
  </si>
  <si>
    <t>East Allison</t>
  </si>
  <si>
    <t>Decker-Walker</t>
  </si>
  <si>
    <t>harpermeghan@smith-young.com</t>
  </si>
  <si>
    <t>ORD1271</t>
  </si>
  <si>
    <t>Carlos Mathews</t>
  </si>
  <si>
    <t>PROD3143</t>
  </si>
  <si>
    <t>Maxshire</t>
  </si>
  <si>
    <t>Mitchell-Williams</t>
  </si>
  <si>
    <t>ashleyorr@harrington.com</t>
  </si>
  <si>
    <t>ORD1272</t>
  </si>
  <si>
    <t>Sarah Cantu</t>
  </si>
  <si>
    <t>PROD8253</t>
  </si>
  <si>
    <t>Port Richard</t>
  </si>
  <si>
    <t>Villarreal, Smith and Sawyer</t>
  </si>
  <si>
    <t>usmith@thompson.com</t>
  </si>
  <si>
    <t>ORD1273</t>
  </si>
  <si>
    <t>CUST919</t>
  </si>
  <si>
    <t>Gina Young</t>
  </si>
  <si>
    <t>PROD2494</t>
  </si>
  <si>
    <t>West Laurenton</t>
  </si>
  <si>
    <t>Hicks-Evans</t>
  </si>
  <si>
    <t>sylvia07@pierce-parker.com</t>
  </si>
  <si>
    <t>ORD1274</t>
  </si>
  <si>
    <t>CUST642</t>
  </si>
  <si>
    <t>Eric Mathis</t>
  </si>
  <si>
    <t>PROD1352</t>
  </si>
  <si>
    <t>Cisnerosburgh</t>
  </si>
  <si>
    <t>Sullivan-Williams</t>
  </si>
  <si>
    <t>shunter@hall.biz</t>
  </si>
  <si>
    <t>ORD1275</t>
  </si>
  <si>
    <t>Traci Boyd</t>
  </si>
  <si>
    <t>PROD1908</t>
  </si>
  <si>
    <t>Amymouth</t>
  </si>
  <si>
    <t>Stephens, Singleton and Mason</t>
  </si>
  <si>
    <t>simpsonrobert@jones.com</t>
  </si>
  <si>
    <t>ORD1276</t>
  </si>
  <si>
    <t>CUST689</t>
  </si>
  <si>
    <t>John Stevenson</t>
  </si>
  <si>
    <t>PROD7036</t>
  </si>
  <si>
    <t>West Brenda</t>
  </si>
  <si>
    <t>Stone and Sons</t>
  </si>
  <si>
    <t>jeffreycastillo@macias.biz</t>
  </si>
  <si>
    <t>ORD1277</t>
  </si>
  <si>
    <t>CUST330</t>
  </si>
  <si>
    <t>Shawn Taylor</t>
  </si>
  <si>
    <t>PROD5013</t>
  </si>
  <si>
    <t>Youngmouth</t>
  </si>
  <si>
    <t>Green, Christian and Perkins</t>
  </si>
  <si>
    <t>teresa93@lyons-hernandez.info</t>
  </si>
  <si>
    <t>ORD1278</t>
  </si>
  <si>
    <t>CUST365</t>
  </si>
  <si>
    <t>Kristina Juarez</t>
  </si>
  <si>
    <t>PROD8363</t>
  </si>
  <si>
    <t>Port Daryltown</t>
  </si>
  <si>
    <t>qthomas@hernandez.net</t>
  </si>
  <si>
    <t>ORD1279</t>
  </si>
  <si>
    <t>CUST944</t>
  </si>
  <si>
    <t>Samantha Larsen</t>
  </si>
  <si>
    <t>PROD6991</t>
  </si>
  <si>
    <t>North David</t>
  </si>
  <si>
    <t>Wade-Mcgee</t>
  </si>
  <si>
    <t>donaldjohnson@nguyen-miller.info</t>
  </si>
  <si>
    <t>ORD1280</t>
  </si>
  <si>
    <t>Joann Zamora</t>
  </si>
  <si>
    <t>PROD5965</t>
  </si>
  <si>
    <t>East Steven</t>
  </si>
  <si>
    <t>Gonzales, Mcintosh and Johnson</t>
  </si>
  <si>
    <t>shellythomas@shields-phillips.net</t>
  </si>
  <si>
    <t>ORD1281</t>
  </si>
  <si>
    <t>CUST857</t>
  </si>
  <si>
    <t>Makayla Jacobs</t>
  </si>
  <si>
    <t>PROD1404</t>
  </si>
  <si>
    <t>Kennethstad</t>
  </si>
  <si>
    <t>Michael-Koch</t>
  </si>
  <si>
    <t>jamieluna@weber.com</t>
  </si>
  <si>
    <t>ORD1282</t>
  </si>
  <si>
    <t>CUST256</t>
  </si>
  <si>
    <t>Peter Harding</t>
  </si>
  <si>
    <t>PROD4893</t>
  </si>
  <si>
    <t>North Nathanside</t>
  </si>
  <si>
    <t>Taylor PLC</t>
  </si>
  <si>
    <t>kristine39@ford.net</t>
  </si>
  <si>
    <t>ORD1283</t>
  </si>
  <si>
    <t>CUST897</t>
  </si>
  <si>
    <t>Gina Powell</t>
  </si>
  <si>
    <t>PROD6996</t>
  </si>
  <si>
    <t>Katieville</t>
  </si>
  <si>
    <t>West, Jacobs and Griffin</t>
  </si>
  <si>
    <t>thomas82@rivera.com</t>
  </si>
  <si>
    <t>ORD1284</t>
  </si>
  <si>
    <t>Ryan Peterson</t>
  </si>
  <si>
    <t>PROD6415</t>
  </si>
  <si>
    <t>Port Mark</t>
  </si>
  <si>
    <t>Young-Boyd</t>
  </si>
  <si>
    <t>lisajones@harris-wilson.biz</t>
  </si>
  <si>
    <t>ORD1285</t>
  </si>
  <si>
    <t>CUST188</t>
  </si>
  <si>
    <t>Karen Ochoa</t>
  </si>
  <si>
    <t>PROD6901</t>
  </si>
  <si>
    <t>North Sandra</t>
  </si>
  <si>
    <t>Smith-Miranda</t>
  </si>
  <si>
    <t>colemiguel@pham.biz</t>
  </si>
  <si>
    <t>ORD1286</t>
  </si>
  <si>
    <t>CUST201</t>
  </si>
  <si>
    <t>Nicholas Oconnor</t>
  </si>
  <si>
    <t>PROD2640</t>
  </si>
  <si>
    <t>Walshtown</t>
  </si>
  <si>
    <t>Tate, Rodriguez and Harris</t>
  </si>
  <si>
    <t>samantha97@skinner.info</t>
  </si>
  <si>
    <t>ORD1287</t>
  </si>
  <si>
    <t>CUST652</t>
  </si>
  <si>
    <t>Kenneth Bennett</t>
  </si>
  <si>
    <t>PROD4623</t>
  </si>
  <si>
    <t>East Anthonyfurt</t>
  </si>
  <si>
    <t>Spencer-Williams</t>
  </si>
  <si>
    <t>newtonmichelle@hoffman.net</t>
  </si>
  <si>
    <t>ORD1288</t>
  </si>
  <si>
    <t>CUST864</t>
  </si>
  <si>
    <t>Makayla Anderson</t>
  </si>
  <si>
    <t>PROD7193</t>
  </si>
  <si>
    <t>Joseshire</t>
  </si>
  <si>
    <t>Sexton PLC</t>
  </si>
  <si>
    <t>matthew89@reese-walker.com</t>
  </si>
  <si>
    <t>ORD1289</t>
  </si>
  <si>
    <t>Joseph Smith</t>
  </si>
  <si>
    <t>PROD1807</t>
  </si>
  <si>
    <t>New Angelahaven</t>
  </si>
  <si>
    <t>Castro, Miles and Burns</t>
  </si>
  <si>
    <t>iguerra@wu-li.com</t>
  </si>
  <si>
    <t>ORD1290</t>
  </si>
  <si>
    <t>CUST936</t>
  </si>
  <si>
    <t>Mrs. Renee Jones</t>
  </si>
  <si>
    <t>PROD5368</t>
  </si>
  <si>
    <t>Harrington-Moreno</t>
  </si>
  <si>
    <t>rwolf@jones.com</t>
  </si>
  <si>
    <t>ORD1291</t>
  </si>
  <si>
    <t>CUST849</t>
  </si>
  <si>
    <t>Michael Gardner</t>
  </si>
  <si>
    <t>PROD4270</t>
  </si>
  <si>
    <t>Logan-Nelson</t>
  </si>
  <si>
    <t>josephday@lewis.net</t>
  </si>
  <si>
    <t>ORD1292</t>
  </si>
  <si>
    <t>CUST998</t>
  </si>
  <si>
    <t>Stephanie Bass</t>
  </si>
  <si>
    <t>PROD4116</t>
  </si>
  <si>
    <t>Howestad</t>
  </si>
  <si>
    <t>Huber PLC</t>
  </si>
  <si>
    <t>aoneal@taylor-marks.com</t>
  </si>
  <si>
    <t>ORD1293</t>
  </si>
  <si>
    <t>CUST816</t>
  </si>
  <si>
    <t>Vanessa Velasquez</t>
  </si>
  <si>
    <t>PROD7571</t>
  </si>
  <si>
    <t>Stoneborough</t>
  </si>
  <si>
    <t>Oconnell-Green</t>
  </si>
  <si>
    <t>hannahsanchez@marshall.com</t>
  </si>
  <si>
    <t>ORD1294</t>
  </si>
  <si>
    <t>CUST968</t>
  </si>
  <si>
    <t>James Perez</t>
  </si>
  <si>
    <t>PROD4343</t>
  </si>
  <si>
    <t>Edwardfort</t>
  </si>
  <si>
    <t>Long and Sons</t>
  </si>
  <si>
    <t>staylor@fletcher-mills.com</t>
  </si>
  <si>
    <t>ORD1295</t>
  </si>
  <si>
    <t>CUST506</t>
  </si>
  <si>
    <t>Katelyn Manning</t>
  </si>
  <si>
    <t>PROD9867</t>
  </si>
  <si>
    <t>Samanthaton</t>
  </si>
  <si>
    <t>Bates-Bennett</t>
  </si>
  <si>
    <t>christinekrueger@webster-villanueva.com</t>
  </si>
  <si>
    <t>ORD1296</t>
  </si>
  <si>
    <t>CUST282</t>
  </si>
  <si>
    <t>Michael Martinez</t>
  </si>
  <si>
    <t>PROD3899</t>
  </si>
  <si>
    <t>Ayershaven</t>
  </si>
  <si>
    <t>Fox LLC</t>
  </si>
  <si>
    <t>qoconnell@frederick.com</t>
  </si>
  <si>
    <t>ORD1297</t>
  </si>
  <si>
    <t>Heather French</t>
  </si>
  <si>
    <t>PROD2764</t>
  </si>
  <si>
    <t>Guzmanville</t>
  </si>
  <si>
    <t>Hill-Roberts</t>
  </si>
  <si>
    <t>joelmcdaniel@conrad.com</t>
  </si>
  <si>
    <t>ORD1298</t>
  </si>
  <si>
    <t>CUST461</t>
  </si>
  <si>
    <t>Andrea Patterson</t>
  </si>
  <si>
    <t>PROD7947</t>
  </si>
  <si>
    <t>Rivasmouth</t>
  </si>
  <si>
    <t>Thomas-Miller</t>
  </si>
  <si>
    <t>carlparker@carter-reeves.com</t>
  </si>
  <si>
    <t>ORD1299</t>
  </si>
  <si>
    <t>Karen Moore</t>
  </si>
  <si>
    <t>PROD6488</t>
  </si>
  <si>
    <t>Vargas-Travis</t>
  </si>
  <si>
    <t>rebeccaevans@miller.info</t>
  </si>
  <si>
    <t>ORD1300</t>
  </si>
  <si>
    <t>CUST416</t>
  </si>
  <si>
    <t>Timothy Ferguson</t>
  </si>
  <si>
    <t>PROD1548</t>
  </si>
  <si>
    <t>Garciaton</t>
  </si>
  <si>
    <t>Hill, Lewis and Gonzalez</t>
  </si>
  <si>
    <t>kayla09@hanson-bennett.net</t>
  </si>
  <si>
    <t>ORD1301</t>
  </si>
  <si>
    <t>CUST113</t>
  </si>
  <si>
    <t>Aaron Bryant</t>
  </si>
  <si>
    <t>PROD6114</t>
  </si>
  <si>
    <t>Shieldsmouth</t>
  </si>
  <si>
    <t>Barnes, Morgan and Bauer</t>
  </si>
  <si>
    <t>sarahescobar@huber.com</t>
  </si>
  <si>
    <t>ORD1302</t>
  </si>
  <si>
    <t>Stephanie Jones</t>
  </si>
  <si>
    <t>PROD6082</t>
  </si>
  <si>
    <t>Mcintyrechester</t>
  </si>
  <si>
    <t>Hicks, Taylor and Harris</t>
  </si>
  <si>
    <t>kevinpalmer@hart.com</t>
  </si>
  <si>
    <t>ORD1303</t>
  </si>
  <si>
    <t>Rose Hunter</t>
  </si>
  <si>
    <t>PROD4890</t>
  </si>
  <si>
    <t>Leeburgh</t>
  </si>
  <si>
    <t>Ellis Group</t>
  </si>
  <si>
    <t>heather24@harris.net</t>
  </si>
  <si>
    <t>ORD1304</t>
  </si>
  <si>
    <t>Kevin Davis</t>
  </si>
  <si>
    <t>PROD4930</t>
  </si>
  <si>
    <t>Forbes, Buchanan and George</t>
  </si>
  <si>
    <t>pho@gates.net</t>
  </si>
  <si>
    <t>ORD1305</t>
  </si>
  <si>
    <t>CUST103</t>
  </si>
  <si>
    <t>Keith Bailey</t>
  </si>
  <si>
    <t>PROD4240</t>
  </si>
  <si>
    <t>Stewarttown</t>
  </si>
  <si>
    <t>Tucker-Paul</t>
  </si>
  <si>
    <t>erica15@weiss-andrews.com</t>
  </si>
  <si>
    <t>ORD1306</t>
  </si>
  <si>
    <t>CUST176</t>
  </si>
  <si>
    <t>Chad Dunn</t>
  </si>
  <si>
    <t>PROD4807</t>
  </si>
  <si>
    <t>Alexanderland</t>
  </si>
  <si>
    <t>Collins-Bush</t>
  </si>
  <si>
    <t>martinhenry@farrell-alvarado.net</t>
  </si>
  <si>
    <t>ORD1307</t>
  </si>
  <si>
    <t>Douglas Burns</t>
  </si>
  <si>
    <t>PROD7221</t>
  </si>
  <si>
    <t>Blackfort</t>
  </si>
  <si>
    <t>Clayton-Hunter</t>
  </si>
  <si>
    <t>kendra64@perez.com</t>
  </si>
  <si>
    <t>ORD1308</t>
  </si>
  <si>
    <t>Sara Walker</t>
  </si>
  <si>
    <t>PROD2878</t>
  </si>
  <si>
    <t>Joshuaberg</t>
  </si>
  <si>
    <t>bjohnson@park-jackson.info</t>
  </si>
  <si>
    <t>ORD1309</t>
  </si>
  <si>
    <t>CUST877</t>
  </si>
  <si>
    <t>Charles Acevedo</t>
  </si>
  <si>
    <t>PROD8759</t>
  </si>
  <si>
    <t>Lake Shelbyborough</t>
  </si>
  <si>
    <t>Perry-Rose</t>
  </si>
  <si>
    <t>jacquelinetran@doyle.org</t>
  </si>
  <si>
    <t>ORD1310</t>
  </si>
  <si>
    <t>CUST209</t>
  </si>
  <si>
    <t>Jordan Campbell</t>
  </si>
  <si>
    <t>PROD8490</t>
  </si>
  <si>
    <t>Kimberlybury</t>
  </si>
  <si>
    <t>Bowen, Acosta and Gutierrez</t>
  </si>
  <si>
    <t>robertwade@flores-church.info</t>
  </si>
  <si>
    <t>ORD1311</t>
  </si>
  <si>
    <t>CUST169</t>
  </si>
  <si>
    <t>Tim Nelson</t>
  </si>
  <si>
    <t>PROD7097</t>
  </si>
  <si>
    <t>Cookville</t>
  </si>
  <si>
    <t>Robinson-Cruz</t>
  </si>
  <si>
    <t>daniel72@bell.org</t>
  </si>
  <si>
    <t>ORD1312</t>
  </si>
  <si>
    <t>Michelle Fox</t>
  </si>
  <si>
    <t>PROD2314</t>
  </si>
  <si>
    <t>Port Nicoleburgh</t>
  </si>
  <si>
    <t>West LLC</t>
  </si>
  <si>
    <t>elizabethharris@valenzuela.com</t>
  </si>
  <si>
    <t>ORD1313</t>
  </si>
  <si>
    <t>CUST184</t>
  </si>
  <si>
    <t>Carrie Hurley</t>
  </si>
  <si>
    <t>PROD6530</t>
  </si>
  <si>
    <t>Collinsstad</t>
  </si>
  <si>
    <t>Daniels-Flores</t>
  </si>
  <si>
    <t>shannoncole@leon.com</t>
  </si>
  <si>
    <t>ORD1314</t>
  </si>
  <si>
    <t>CUST592</t>
  </si>
  <si>
    <t>Michael Brown</t>
  </si>
  <si>
    <t>PROD1364</t>
  </si>
  <si>
    <t>Lake Johnnyhaven</t>
  </si>
  <si>
    <t>Kirk, Anderson and Franklin</t>
  </si>
  <si>
    <t>nolanjesse@higgins-lopez.biz</t>
  </si>
  <si>
    <t>ORD1315</t>
  </si>
  <si>
    <t>Mrs. Julie Scott</t>
  </si>
  <si>
    <t>PROD8250</t>
  </si>
  <si>
    <t>East Clifford</t>
  </si>
  <si>
    <t>Mendez LLC</t>
  </si>
  <si>
    <t>sandovaljeffery@mccarty-cochran.com</t>
  </si>
  <si>
    <t>ORD1316</t>
  </si>
  <si>
    <t>Anthony Murphy</t>
  </si>
  <si>
    <t>PROD6494</t>
  </si>
  <si>
    <t>Smithview</t>
  </si>
  <si>
    <t>Walters-Robertson</t>
  </si>
  <si>
    <t>tammy47@fowler-herring.org</t>
  </si>
  <si>
    <t>ORD1317</t>
  </si>
  <si>
    <t>CUST285</t>
  </si>
  <si>
    <t>Paul Stevenson</t>
  </si>
  <si>
    <t>PROD5961</t>
  </si>
  <si>
    <t>West Dawnview</t>
  </si>
  <si>
    <t>Carter and Sons</t>
  </si>
  <si>
    <t>lodonnell@jacobs.com</t>
  </si>
  <si>
    <t>ORD1318</t>
  </si>
  <si>
    <t>Cheyenne Butler</t>
  </si>
  <si>
    <t>PROD7795</t>
  </si>
  <si>
    <t>North Paige</t>
  </si>
  <si>
    <t>Boyle, Smith and Miller</t>
  </si>
  <si>
    <t>floresrandy@lee.biz</t>
  </si>
  <si>
    <t>ORD1319</t>
  </si>
  <si>
    <t>CUST389</t>
  </si>
  <si>
    <t>Scott Pineda</t>
  </si>
  <si>
    <t>PROD1597</t>
  </si>
  <si>
    <t>New Melissa</t>
  </si>
  <si>
    <t>Garza and Sons</t>
  </si>
  <si>
    <t>charles21@murphy.biz</t>
  </si>
  <si>
    <t>ORD1320</t>
  </si>
  <si>
    <t>CUST699</t>
  </si>
  <si>
    <t>Alexander Johnson DVM</t>
  </si>
  <si>
    <t>PROD1124</t>
  </si>
  <si>
    <t>Timberg</t>
  </si>
  <si>
    <t>Ford-Olsen</t>
  </si>
  <si>
    <t>martinezchristopher@vaughan.org</t>
  </si>
  <si>
    <t>ORD1321</t>
  </si>
  <si>
    <t>CUST485</t>
  </si>
  <si>
    <t>Paul Arroyo</t>
  </si>
  <si>
    <t>PROD5805</t>
  </si>
  <si>
    <t>Murraytown</t>
  </si>
  <si>
    <t>Barry-Carroll</t>
  </si>
  <si>
    <t>vking@young.com</t>
  </si>
  <si>
    <t>ORD1322</t>
  </si>
  <si>
    <t>Nichole Garner</t>
  </si>
  <si>
    <t>PROD4680</t>
  </si>
  <si>
    <t>New Christophermouth</t>
  </si>
  <si>
    <t>Moore-Nelson</t>
  </si>
  <si>
    <t>david19@tucker-martinez.com</t>
  </si>
  <si>
    <t>ORD1323</t>
  </si>
  <si>
    <t>CUST304</t>
  </si>
  <si>
    <t>Brandon Wright</t>
  </si>
  <si>
    <t>PROD6236</t>
  </si>
  <si>
    <t>Stevensport</t>
  </si>
  <si>
    <t>Fowler, Smith and Fuentes</t>
  </si>
  <si>
    <t>janicemartin@scott.com</t>
  </si>
  <si>
    <t>ORD1324</t>
  </si>
  <si>
    <t>Reginald Greene</t>
  </si>
  <si>
    <t>PROD6584</t>
  </si>
  <si>
    <t>Brooksburgh</t>
  </si>
  <si>
    <t>Medina and Sons</t>
  </si>
  <si>
    <t>jenniferanderson@stokes-garza.com</t>
  </si>
  <si>
    <t>ORD1325</t>
  </si>
  <si>
    <t>Carrie Cobb</t>
  </si>
  <si>
    <t>PROD6203</t>
  </si>
  <si>
    <t>East Terriberg</t>
  </si>
  <si>
    <t>Miller, Lee and Beck</t>
  </si>
  <si>
    <t>patricialowe@gould.com</t>
  </si>
  <si>
    <t>ORD1326</t>
  </si>
  <si>
    <t>CUST185</t>
  </si>
  <si>
    <t>Blake Lopez</t>
  </si>
  <si>
    <t>PROD2826</t>
  </si>
  <si>
    <t>Cruzshire</t>
  </si>
  <si>
    <t>Deleon-Kelley</t>
  </si>
  <si>
    <t>cwolfe@taylor.com</t>
  </si>
  <si>
    <t>ORD1327</t>
  </si>
  <si>
    <t>CUST866</t>
  </si>
  <si>
    <t>Roberto Long</t>
  </si>
  <si>
    <t>PROD5910</t>
  </si>
  <si>
    <t>Melissatown</t>
  </si>
  <si>
    <t>Arnold-Cameron</t>
  </si>
  <si>
    <t>emorse@lewis.net</t>
  </si>
  <si>
    <t>ORD1328</t>
  </si>
  <si>
    <t>Brian Strickland</t>
  </si>
  <si>
    <t>PROD6244</t>
  </si>
  <si>
    <t>Brooksstad</t>
  </si>
  <si>
    <t>Powell PLC</t>
  </si>
  <si>
    <t>qthompson@potter-hardy.com</t>
  </si>
  <si>
    <t>ORD1329</t>
  </si>
  <si>
    <t>Kara Carter</t>
  </si>
  <si>
    <t>PROD8645</t>
  </si>
  <si>
    <t>Lisahaven</t>
  </si>
  <si>
    <t>Haas, Long and Wheeler</t>
  </si>
  <si>
    <t>brandonskinner@berry.com</t>
  </si>
  <si>
    <t>ORD1330</t>
  </si>
  <si>
    <t>CUST407</t>
  </si>
  <si>
    <t>Alexis Nixon</t>
  </si>
  <si>
    <t>PROD4878</t>
  </si>
  <si>
    <t>Lake Clayton</t>
  </si>
  <si>
    <t>Larson, Hays and Schmidt</t>
  </si>
  <si>
    <t>reillydavid@dyer.com</t>
  </si>
  <si>
    <t>ORD1331</t>
  </si>
  <si>
    <t>CUST806</t>
  </si>
  <si>
    <t>Kenneth Luna</t>
  </si>
  <si>
    <t>PROD2752</t>
  </si>
  <si>
    <t>West Andrewburgh</t>
  </si>
  <si>
    <t>Hall, Smith and Matthews</t>
  </si>
  <si>
    <t>castillostuart@lee.com</t>
  </si>
  <si>
    <t>ORD1332</t>
  </si>
  <si>
    <t>Kaitlyn Huang</t>
  </si>
  <si>
    <t>PROD3487</t>
  </si>
  <si>
    <t>Davidsonville</t>
  </si>
  <si>
    <t>Foster, Andrews and Huffman</t>
  </si>
  <si>
    <t>melanie74@sellers.net</t>
  </si>
  <si>
    <t>ORD1333</t>
  </si>
  <si>
    <t>CUST482</t>
  </si>
  <si>
    <t>Mark Fields</t>
  </si>
  <si>
    <t>PROD8770</t>
  </si>
  <si>
    <t>North Graceport</t>
  </si>
  <si>
    <t>Sullivan-Obrien</t>
  </si>
  <si>
    <t>crystal54@matthews.com</t>
  </si>
  <si>
    <t>ORD1334</t>
  </si>
  <si>
    <t>CUST679</t>
  </si>
  <si>
    <t>Melissa Williams</t>
  </si>
  <si>
    <t>PROD3985</t>
  </si>
  <si>
    <t>Port Danielleborough</t>
  </si>
  <si>
    <t>Hull-Miller</t>
  </si>
  <si>
    <t>amyjacobs@sellers.net</t>
  </si>
  <si>
    <t>ORD1335</t>
  </si>
  <si>
    <t>CUST422</t>
  </si>
  <si>
    <t>Jeffery Mccall</t>
  </si>
  <si>
    <t>PROD8421</t>
  </si>
  <si>
    <t>New Alexandershire</t>
  </si>
  <si>
    <t>Yates-Griffin</t>
  </si>
  <si>
    <t>hansonamanda@harris.info</t>
  </si>
  <si>
    <t>ORD1336</t>
  </si>
  <si>
    <t>Mr. James Hamilton</t>
  </si>
  <si>
    <t>PROD5663</t>
  </si>
  <si>
    <t>North Coryfurt</t>
  </si>
  <si>
    <t>Potter and Sons</t>
  </si>
  <si>
    <t>alexander31@moore.com</t>
  </si>
  <si>
    <t>ORD1337</t>
  </si>
  <si>
    <t>CUST435</t>
  </si>
  <si>
    <t>Kristin Williamson</t>
  </si>
  <si>
    <t>PROD6727</t>
  </si>
  <si>
    <t>Lake Joshua</t>
  </si>
  <si>
    <t>Fisher, Combs and English</t>
  </si>
  <si>
    <t>nathancurry@elliott.com</t>
  </si>
  <si>
    <t>ORD1338</t>
  </si>
  <si>
    <t>James Sanchez</t>
  </si>
  <si>
    <t>PROD4684</t>
  </si>
  <si>
    <t>New Johnny</t>
  </si>
  <si>
    <t>Pearson-Newman</t>
  </si>
  <si>
    <t>mcgeesydney@perez.com</t>
  </si>
  <si>
    <t>ORD1339</t>
  </si>
  <si>
    <t>Jessica Campbell</t>
  </si>
  <si>
    <t>PROD9854</t>
  </si>
  <si>
    <t>Port Andreamouth</t>
  </si>
  <si>
    <t>Ferguson-Harrison</t>
  </si>
  <si>
    <t>charles36@collins.com</t>
  </si>
  <si>
    <t>ORD1340</t>
  </si>
  <si>
    <t>Steven Parrish</t>
  </si>
  <si>
    <t>PROD7614</t>
  </si>
  <si>
    <t>Vincentside</t>
  </si>
  <si>
    <t>Pittman Ltd</t>
  </si>
  <si>
    <t>evelyn78@mayo.com</t>
  </si>
  <si>
    <t>ORD1341</t>
  </si>
  <si>
    <t>CUST727</t>
  </si>
  <si>
    <t>Jonathan Smith</t>
  </si>
  <si>
    <t>PROD9338</t>
  </si>
  <si>
    <t>South Jeremy</t>
  </si>
  <si>
    <t>Weiss, Francis and Flores</t>
  </si>
  <si>
    <t>jvilla@moore.com</t>
  </si>
  <si>
    <t>ORD1342</t>
  </si>
  <si>
    <t>CUST322</t>
  </si>
  <si>
    <t>Raymond Love</t>
  </si>
  <si>
    <t>PROD9082</t>
  </si>
  <si>
    <t>West Deborahchester</t>
  </si>
  <si>
    <t>Meyer-Baker</t>
  </si>
  <si>
    <t>patrickdean@cherry-taylor.info</t>
  </si>
  <si>
    <t>ORD1343</t>
  </si>
  <si>
    <t>CUST384</t>
  </si>
  <si>
    <t>John Garza</t>
  </si>
  <si>
    <t>PROD9695</t>
  </si>
  <si>
    <t>Anthonyfort</t>
  </si>
  <si>
    <t>Ryan, Johnson and Brown</t>
  </si>
  <si>
    <t>barbara55@sparks-rodriguez.org</t>
  </si>
  <si>
    <t>ORD1344</t>
  </si>
  <si>
    <t>Marcus Hayes</t>
  </si>
  <si>
    <t>South Alanburgh</t>
  </si>
  <si>
    <t>Phillips, Flores and Barron</t>
  </si>
  <si>
    <t>robert40@choi.com</t>
  </si>
  <si>
    <t>ORD1345</t>
  </si>
  <si>
    <t>Brittany Ward</t>
  </si>
  <si>
    <t>PROD7685</t>
  </si>
  <si>
    <t>Jamestown</t>
  </si>
  <si>
    <t>Simpson, Moore and Ross</t>
  </si>
  <si>
    <t>hjackson@barton-jones.biz</t>
  </si>
  <si>
    <t>ORD1346</t>
  </si>
  <si>
    <t>CUST760</t>
  </si>
  <si>
    <t>Valerie Wilkerson</t>
  </si>
  <si>
    <t>PROD5381</t>
  </si>
  <si>
    <t>South Ronaldshire</t>
  </si>
  <si>
    <t>Campbell Group</t>
  </si>
  <si>
    <t>mark97@kelly-stevens.com</t>
  </si>
  <si>
    <t>ORD1347</t>
  </si>
  <si>
    <t>CUST634</t>
  </si>
  <si>
    <t>John West</t>
  </si>
  <si>
    <t>PROD3342</t>
  </si>
  <si>
    <t>Duanetown</t>
  </si>
  <si>
    <t>Hopkins-Lee</t>
  </si>
  <si>
    <t>jerryflynn@wright.com</t>
  </si>
  <si>
    <t>ORD1348</t>
  </si>
  <si>
    <t>CUST156</t>
  </si>
  <si>
    <t>Christina Martin</t>
  </si>
  <si>
    <t>PROD4610</t>
  </si>
  <si>
    <t>Brown-Miller</t>
  </si>
  <si>
    <t>nicole88@alexander.net</t>
  </si>
  <si>
    <t>ORD1349</t>
  </si>
  <si>
    <t>CUST791</t>
  </si>
  <si>
    <t>Courtney Casey</t>
  </si>
  <si>
    <t>PROD4998</t>
  </si>
  <si>
    <t>Port Charlesmouth</t>
  </si>
  <si>
    <t>Manning Inc</t>
  </si>
  <si>
    <t>russellamy@carney.com</t>
  </si>
  <si>
    <t>ORD1350</t>
  </si>
  <si>
    <t>Jonathan Allen</t>
  </si>
  <si>
    <t>PROD2693</t>
  </si>
  <si>
    <t>Frederickmouth</t>
  </si>
  <si>
    <t>Holden-Nguyen</t>
  </si>
  <si>
    <t>leeconway@collins-johnson.info</t>
  </si>
  <si>
    <t>ORD1351</t>
  </si>
  <si>
    <t>CUST906</t>
  </si>
  <si>
    <t>Derek Potter</t>
  </si>
  <si>
    <t>PROD3526</t>
  </si>
  <si>
    <t>Lake Jessicaport</t>
  </si>
  <si>
    <t>Smith-Gordon</t>
  </si>
  <si>
    <t>michellegray@edwards.com</t>
  </si>
  <si>
    <t>ORD1352</t>
  </si>
  <si>
    <t>Michael Mitchell</t>
  </si>
  <si>
    <t>PROD9452</t>
  </si>
  <si>
    <t>New Elizabeth</t>
  </si>
  <si>
    <t>Gomez-Nelson</t>
  </si>
  <si>
    <t>scarrillo@stewart.com</t>
  </si>
  <si>
    <t>ORD1353</t>
  </si>
  <si>
    <t>Susan Dominguez</t>
  </si>
  <si>
    <t>PROD4449</t>
  </si>
  <si>
    <t>North Tonyport</t>
  </si>
  <si>
    <t>Leach-Padilla</t>
  </si>
  <si>
    <t>kwells@shelton-mcclain.com</t>
  </si>
  <si>
    <t>ORD1354</t>
  </si>
  <si>
    <t>April Benitez</t>
  </si>
  <si>
    <t>PROD1982</t>
  </si>
  <si>
    <t>Port Heidiview</t>
  </si>
  <si>
    <t>Wilson, Mullen and Love</t>
  </si>
  <si>
    <t>wilsonphilip@alexander-hall.com</t>
  </si>
  <si>
    <t>ORD1355</t>
  </si>
  <si>
    <t>CUST594</t>
  </si>
  <si>
    <t>Glenda Chapman</t>
  </si>
  <si>
    <t>PROD8418</t>
  </si>
  <si>
    <t>South Amandamouth</t>
  </si>
  <si>
    <t>Potter Ltd</t>
  </si>
  <si>
    <t>lewismichael@dean.com</t>
  </si>
  <si>
    <t>ORD1356</t>
  </si>
  <si>
    <t>CUST570</t>
  </si>
  <si>
    <t>Anthony Mitchell MD</t>
  </si>
  <si>
    <t>PROD2571</t>
  </si>
  <si>
    <t>Lake Zacharyborough</t>
  </si>
  <si>
    <t>Mooney Group</t>
  </si>
  <si>
    <t>rwright@johnson.com</t>
  </si>
  <si>
    <t>ORD1357</t>
  </si>
  <si>
    <t>CUST405</t>
  </si>
  <si>
    <t>Julie Baker</t>
  </si>
  <si>
    <t>PROD6519</t>
  </si>
  <si>
    <t>Brandymouth</t>
  </si>
  <si>
    <t>Ali, Cox and King</t>
  </si>
  <si>
    <t>ross26@clark-williams.info</t>
  </si>
  <si>
    <t>ORD1358</t>
  </si>
  <si>
    <t>CUST137</t>
  </si>
  <si>
    <t>Megan Lucas</t>
  </si>
  <si>
    <t>PROD4808</t>
  </si>
  <si>
    <t>Lake Jackberg</t>
  </si>
  <si>
    <t>Hamilton-Little</t>
  </si>
  <si>
    <t>elizabethday@acosta.info</t>
  </si>
  <si>
    <t>ORD1359</t>
  </si>
  <si>
    <t>CUST987</t>
  </si>
  <si>
    <t>Kim Anderson</t>
  </si>
  <si>
    <t>PROD6068</t>
  </si>
  <si>
    <t>Port Kelseyborough</t>
  </si>
  <si>
    <t>Wilkinson, Hoover and Cox</t>
  </si>
  <si>
    <t>lsaunders@west.info</t>
  </si>
  <si>
    <t>ORD1360</t>
  </si>
  <si>
    <t>Erik Smith</t>
  </si>
  <si>
    <t>PROD4202</t>
  </si>
  <si>
    <t>Mcclainstad</t>
  </si>
  <si>
    <t>Le-Patrick</t>
  </si>
  <si>
    <t>marcusmiller@thompson.com</t>
  </si>
  <si>
    <t>ORD1361</t>
  </si>
  <si>
    <t>CUST173</t>
  </si>
  <si>
    <t>Gabriel Ford</t>
  </si>
  <si>
    <t>PROD4827</t>
  </si>
  <si>
    <t>Charlesfurt</t>
  </si>
  <si>
    <t>Jackson, Elliott and Martin</t>
  </si>
  <si>
    <t>jamiepearson@griffin.com</t>
  </si>
  <si>
    <t>ORD1362</t>
  </si>
  <si>
    <t>CUST774</t>
  </si>
  <si>
    <t>Alexandra Rocha</t>
  </si>
  <si>
    <t>PROD5739</t>
  </si>
  <si>
    <t>New Jimberg</t>
  </si>
  <si>
    <t>Rodgers, Stephens and Green</t>
  </si>
  <si>
    <t>williamsjustin@williams-davis.com</t>
  </si>
  <si>
    <t>ORD1363</t>
  </si>
  <si>
    <t>CUST885</t>
  </si>
  <si>
    <t>James Diaz</t>
  </si>
  <si>
    <t>PROD5768</t>
  </si>
  <si>
    <t>Hansonview</t>
  </si>
  <si>
    <t>Murray-Griffin</t>
  </si>
  <si>
    <t>whitekaitlyn@reid-mccoy.com</t>
  </si>
  <si>
    <t>ORD1364</t>
  </si>
  <si>
    <t>CUST538</t>
  </si>
  <si>
    <t>Keith Cook</t>
  </si>
  <si>
    <t>PROD3362</t>
  </si>
  <si>
    <t>Smithville</t>
  </si>
  <si>
    <t>Perry-Marquez</t>
  </si>
  <si>
    <t>bethanyclark@washington-frazier.net</t>
  </si>
  <si>
    <t>ORD1365</t>
  </si>
  <si>
    <t>CUST898</t>
  </si>
  <si>
    <t>Matthew Fernandez</t>
  </si>
  <si>
    <t>PROD5370</t>
  </si>
  <si>
    <t>Lake Joelmouth</t>
  </si>
  <si>
    <t>Miller-Johnson</t>
  </si>
  <si>
    <t>clairebeltran@hernandez.com</t>
  </si>
  <si>
    <t>ORD1366</t>
  </si>
  <si>
    <t>CUST922</t>
  </si>
  <si>
    <t>Ryan Murray</t>
  </si>
  <si>
    <t>PROD2646</t>
  </si>
  <si>
    <t>Lake Sharon</t>
  </si>
  <si>
    <t>Schwartz, Ramirez and Fields</t>
  </si>
  <si>
    <t>bcarter@chang.biz</t>
  </si>
  <si>
    <t>ORD1367</t>
  </si>
  <si>
    <t>Brittany Short</t>
  </si>
  <si>
    <t>PROD5735</t>
  </si>
  <si>
    <t>South Andreatown</t>
  </si>
  <si>
    <t>Calhoun, Reed and Rasmussen</t>
  </si>
  <si>
    <t>michael61@schwartz.info</t>
  </si>
  <si>
    <t>ORD1368</t>
  </si>
  <si>
    <t>CUST178</t>
  </si>
  <si>
    <t>Lori Mooney</t>
  </si>
  <si>
    <t>PROD8115</t>
  </si>
  <si>
    <t>Arnoldland</t>
  </si>
  <si>
    <t>Webster, Bailey and Fisher</t>
  </si>
  <si>
    <t>ununez@neal-whitehead.com</t>
  </si>
  <si>
    <t>ORD1369</t>
  </si>
  <si>
    <t>CUST236</t>
  </si>
  <si>
    <t>Matthew Clark</t>
  </si>
  <si>
    <t>PROD8296</t>
  </si>
  <si>
    <t>West Jeffery</t>
  </si>
  <si>
    <t>Clarke Group</t>
  </si>
  <si>
    <t>wking@cohen-conley.com</t>
  </si>
  <si>
    <t>ORD1370</t>
  </si>
  <si>
    <t>CUST741</t>
  </si>
  <si>
    <t>Nicole Cruz</t>
  </si>
  <si>
    <t>PROD9134</t>
  </si>
  <si>
    <t>Danielberg</t>
  </si>
  <si>
    <t>Ochoa Ltd</t>
  </si>
  <si>
    <t>alexander15@tucker-skinner.net</t>
  </si>
  <si>
    <t>ORD1371</t>
  </si>
  <si>
    <t>CUST404</t>
  </si>
  <si>
    <t>Lindsey Lopez</t>
  </si>
  <si>
    <t>PROD2529</t>
  </si>
  <si>
    <t>Arnoldburgh</t>
  </si>
  <si>
    <t>Cunningham-Phillips</t>
  </si>
  <si>
    <t>rollinsheather@berry.com</t>
  </si>
  <si>
    <t>ORD1372</t>
  </si>
  <si>
    <t>Phillip Bishop</t>
  </si>
  <si>
    <t>PROD3554</t>
  </si>
  <si>
    <t>Coxmouth</t>
  </si>
  <si>
    <t>Jones-Hurst</t>
  </si>
  <si>
    <t>gregorymegan@thomas.info</t>
  </si>
  <si>
    <t>ORD1373</t>
  </si>
  <si>
    <t>CUST152</t>
  </si>
  <si>
    <t>Kristi Richard</t>
  </si>
  <si>
    <t>PROD6139</t>
  </si>
  <si>
    <t>Veronicaport</t>
  </si>
  <si>
    <t>Taylor-Pierce</t>
  </si>
  <si>
    <t>loretta30@sanders.com</t>
  </si>
  <si>
    <t>ORD1374</t>
  </si>
  <si>
    <t>CUST451</t>
  </si>
  <si>
    <t>Sheila Rogers</t>
  </si>
  <si>
    <t>PROD5502</t>
  </si>
  <si>
    <t>West Traceyside</t>
  </si>
  <si>
    <t>Thomas, Cantu and Dalton</t>
  </si>
  <si>
    <t>shannon65@shepherd-johnson.com</t>
  </si>
  <si>
    <t>ORD1375</t>
  </si>
  <si>
    <t>CUST782</t>
  </si>
  <si>
    <t>Anthony Murray</t>
  </si>
  <si>
    <t>PROD7827</t>
  </si>
  <si>
    <t>Michaelville</t>
  </si>
  <si>
    <t>Finley, Benjamin and Duncan</t>
  </si>
  <si>
    <t>nicolesmith@newton.org</t>
  </si>
  <si>
    <t>ORD1376</t>
  </si>
  <si>
    <t>CUST673</t>
  </si>
  <si>
    <t>Mr. Marcus Burton MD</t>
  </si>
  <si>
    <t>PROD1395</t>
  </si>
  <si>
    <t>South April</t>
  </si>
  <si>
    <t>Barnes and Sons</t>
  </si>
  <si>
    <t>shelby18@cox.com</t>
  </si>
  <si>
    <t>ORD1377</t>
  </si>
  <si>
    <t>Tyler Farley</t>
  </si>
  <si>
    <t>PROD9588</t>
  </si>
  <si>
    <t>Riverafort</t>
  </si>
  <si>
    <t>Barnes PLC</t>
  </si>
  <si>
    <t>daniellenewton@oliver.com</t>
  </si>
  <si>
    <t>ORD1378</t>
  </si>
  <si>
    <t>CUST162</t>
  </si>
  <si>
    <t>Michelle Bailey</t>
  </si>
  <si>
    <t>PROD9919</t>
  </si>
  <si>
    <t>East Melindastad</t>
  </si>
  <si>
    <t>Thompson, Simpson and Cook</t>
  </si>
  <si>
    <t>adamatkins@johnston.com</t>
  </si>
  <si>
    <t>ORD1379</t>
  </si>
  <si>
    <t>Karen Rodriguez</t>
  </si>
  <si>
    <t>PROD6340</t>
  </si>
  <si>
    <t>Chambersbury</t>
  </si>
  <si>
    <t>Hays, Andrade and Brown</t>
  </si>
  <si>
    <t>tammyhill@barker.biz</t>
  </si>
  <si>
    <t>ORD1380</t>
  </si>
  <si>
    <t>CUST798</t>
  </si>
  <si>
    <t>PROD9778</t>
  </si>
  <si>
    <t>Dawsonberg</t>
  </si>
  <si>
    <t>Torres Group</t>
  </si>
  <si>
    <t>boltonjo@campbell-lewis.com</t>
  </si>
  <si>
    <t>ORD1381</t>
  </si>
  <si>
    <t>CUST671</t>
  </si>
  <si>
    <t>Stephanie Kramer</t>
  </si>
  <si>
    <t>PROD7954</t>
  </si>
  <si>
    <t>North Richard</t>
  </si>
  <si>
    <t>Morris-White</t>
  </si>
  <si>
    <t>jamesthomas@nelson.net</t>
  </si>
  <si>
    <t>ORD1382</t>
  </si>
  <si>
    <t>Erin Schmidt</t>
  </si>
  <si>
    <t>PROD2038</t>
  </si>
  <si>
    <t>Lake Daniellehaven</t>
  </si>
  <si>
    <t>Thomas PLC</t>
  </si>
  <si>
    <t>tlewis@mann-adams.com</t>
  </si>
  <si>
    <t>ORD1383</t>
  </si>
  <si>
    <t>CUST164</t>
  </si>
  <si>
    <t>Stacy Hudson</t>
  </si>
  <si>
    <t>PROD7119</t>
  </si>
  <si>
    <t>Nicholasport</t>
  </si>
  <si>
    <t>Mitchell PLC</t>
  </si>
  <si>
    <t>taradaniel@fields.net</t>
  </si>
  <si>
    <t>ORD1384</t>
  </si>
  <si>
    <t>CUST143</t>
  </si>
  <si>
    <t>Lisa Wells</t>
  </si>
  <si>
    <t>PROD2088</t>
  </si>
  <si>
    <t>Leachstad</t>
  </si>
  <si>
    <t>Murphy-Graham</t>
  </si>
  <si>
    <t>popecarrie@chambers-freeman.com</t>
  </si>
  <si>
    <t>ORD1385</t>
  </si>
  <si>
    <t>Samantha Taylor</t>
  </si>
  <si>
    <t>PROD9629</t>
  </si>
  <si>
    <t>Pagebury</t>
  </si>
  <si>
    <t>Shelton, Hubbard and Black</t>
  </si>
  <si>
    <t>taylor52@baker-burns.info</t>
  </si>
  <si>
    <t>ORD1386</t>
  </si>
  <si>
    <t>CUST426</t>
  </si>
  <si>
    <t>Danielle Shah</t>
  </si>
  <si>
    <t>PROD9945</t>
  </si>
  <si>
    <t>Susanview</t>
  </si>
  <si>
    <t>Ford, Brown and Richardson</t>
  </si>
  <si>
    <t>stephanie69@reilly.com</t>
  </si>
  <si>
    <t>ORD1387</t>
  </si>
  <si>
    <t>Shannon Sanders</t>
  </si>
  <si>
    <t>PROD9664</t>
  </si>
  <si>
    <t>Hullside</t>
  </si>
  <si>
    <t>Morgan, Mills and Murray</t>
  </si>
  <si>
    <t>wsmith@benson.net</t>
  </si>
  <si>
    <t>ORD1388</t>
  </si>
  <si>
    <t>Clinton Medina</t>
  </si>
  <si>
    <t>PROD1741</t>
  </si>
  <si>
    <t>Richardsland</t>
  </si>
  <si>
    <t>Henderson Ltd</t>
  </si>
  <si>
    <t>deckersusan@morris.net</t>
  </si>
  <si>
    <t>ORD1389</t>
  </si>
  <si>
    <t>CUST983</t>
  </si>
  <si>
    <t>Kevin Mullen</t>
  </si>
  <si>
    <t>Port Matthewborough</t>
  </si>
  <si>
    <t>Hickman, Ray and Hunt</t>
  </si>
  <si>
    <t>velezcaitlin@peterson-zimmerman.com</t>
  </si>
  <si>
    <t>ORD1390</t>
  </si>
  <si>
    <t>Ebony Wheeler</t>
  </si>
  <si>
    <t>PROD8141</t>
  </si>
  <si>
    <t>North Bryan</t>
  </si>
  <si>
    <t>Shannon LLC</t>
  </si>
  <si>
    <t>angela54@erickson-mann.org</t>
  </si>
  <si>
    <t>ORD1391</t>
  </si>
  <si>
    <t>CUST545</t>
  </si>
  <si>
    <t>Joshua Johnson</t>
  </si>
  <si>
    <t>PROD2218</t>
  </si>
  <si>
    <t>Manningport</t>
  </si>
  <si>
    <t>Harris-Webster</t>
  </si>
  <si>
    <t>matthew59@gilbert.com</t>
  </si>
  <si>
    <t>ORD1392</t>
  </si>
  <si>
    <t>CUST742</t>
  </si>
  <si>
    <t>Jasmine George</t>
  </si>
  <si>
    <t>PROD6302</t>
  </si>
  <si>
    <t>South Bryan</t>
  </si>
  <si>
    <t>Finley PLC</t>
  </si>
  <si>
    <t>lewisgina@sampson.net</t>
  </si>
  <si>
    <t>ORD1393</t>
  </si>
  <si>
    <t>CUST656</t>
  </si>
  <si>
    <t>Donna Johnson</t>
  </si>
  <si>
    <t>PROD2244</t>
  </si>
  <si>
    <t>New James</t>
  </si>
  <si>
    <t>Waters, Larson and Hensley</t>
  </si>
  <si>
    <t>rachael32@harris.com</t>
  </si>
  <si>
    <t>ORD1394</t>
  </si>
  <si>
    <t>CUST879</t>
  </si>
  <si>
    <t>Nicholas Richardson</t>
  </si>
  <si>
    <t>PROD4884</t>
  </si>
  <si>
    <t>South Jason</t>
  </si>
  <si>
    <t>Thompson Group</t>
  </si>
  <si>
    <t>michellehernandez@shaw.com</t>
  </si>
  <si>
    <t>ORD1395</t>
  </si>
  <si>
    <t>Angela Sanders</t>
  </si>
  <si>
    <t>PROD2712</t>
  </si>
  <si>
    <t>Muellerstad</t>
  </si>
  <si>
    <t>Hawkins-Barker</t>
  </si>
  <si>
    <t>angela94@gallagher-roth.biz</t>
  </si>
  <si>
    <t>ORD1396</t>
  </si>
  <si>
    <t>CUST900</t>
  </si>
  <si>
    <t>Jennifer Cooper</t>
  </si>
  <si>
    <t>PROD7461</t>
  </si>
  <si>
    <t>South Zacharyshire</t>
  </si>
  <si>
    <t>Jones, Walters and Anderson</t>
  </si>
  <si>
    <t>ctorres@peck.com</t>
  </si>
  <si>
    <t>ORD1397</t>
  </si>
  <si>
    <t>Angela Marsh</t>
  </si>
  <si>
    <t>PROD5408</t>
  </si>
  <si>
    <t>Franklinborough</t>
  </si>
  <si>
    <t>Middleton, Merritt and Vargas</t>
  </si>
  <si>
    <t>bryangarcia@alvarez.com</t>
  </si>
  <si>
    <t>ORD1398</t>
  </si>
  <si>
    <t>CUST474</t>
  </si>
  <si>
    <t>Molly Kane</t>
  </si>
  <si>
    <t>PROD2301</t>
  </si>
  <si>
    <t>Smithshire</t>
  </si>
  <si>
    <t>Beasley, Gray and Armstrong</t>
  </si>
  <si>
    <t>jgarcia@marquez.com</t>
  </si>
  <si>
    <t>ORD1399</t>
  </si>
  <si>
    <t>Christopher Reynolds</t>
  </si>
  <si>
    <t>PROD2753</t>
  </si>
  <si>
    <t>Garrettmouth</t>
  </si>
  <si>
    <t>Morgan Inc</t>
  </si>
  <si>
    <t>jbailey@herring-torres.biz</t>
  </si>
  <si>
    <t>ORD1400</t>
  </si>
  <si>
    <t>Natasha Crawford</t>
  </si>
  <si>
    <t>PROD1185</t>
  </si>
  <si>
    <t>Blacktown</t>
  </si>
  <si>
    <t>Carter-Pace</t>
  </si>
  <si>
    <t>ustark@davis.biz</t>
  </si>
  <si>
    <t>ORD1401</t>
  </si>
  <si>
    <t>CUST811</t>
  </si>
  <si>
    <t>Richard Johnson</t>
  </si>
  <si>
    <t>PROD5409</t>
  </si>
  <si>
    <t>Edwardsbury</t>
  </si>
  <si>
    <t>Nixon, Robertson and Holloway</t>
  </si>
  <si>
    <t>tmartinez@burton.com</t>
  </si>
  <si>
    <t>ORD1402</t>
  </si>
  <si>
    <t>CUST182</t>
  </si>
  <si>
    <t>Dr. Paula Sims</t>
  </si>
  <si>
    <t>PROD8976</t>
  </si>
  <si>
    <t>Port Morgan</t>
  </si>
  <si>
    <t>Ayers, Pennington and Hunter</t>
  </si>
  <si>
    <t>jacob32@whitaker-bennett.info</t>
  </si>
  <si>
    <t>ORD1403</t>
  </si>
  <si>
    <t>CUST957</t>
  </si>
  <si>
    <t>Dorothy Pierce</t>
  </si>
  <si>
    <t>PROD1205</t>
  </si>
  <si>
    <t>Benjaminport</t>
  </si>
  <si>
    <t>Smith, Fuller and Spencer</t>
  </si>
  <si>
    <t>ubennett@dawson-green.net</t>
  </si>
  <si>
    <t>ORD1404</t>
  </si>
  <si>
    <t>CUST193</t>
  </si>
  <si>
    <t>James Morris</t>
  </si>
  <si>
    <t>PROD9073</t>
  </si>
  <si>
    <t>Rileyshire</t>
  </si>
  <si>
    <t>Young Group</t>
  </si>
  <si>
    <t>andrewmyers@hall-romero.com</t>
  </si>
  <si>
    <t>ORD1405</t>
  </si>
  <si>
    <t>Jim Butler</t>
  </si>
  <si>
    <t>PROD5783</t>
  </si>
  <si>
    <t>South Jennifer</t>
  </si>
  <si>
    <t>Horne, Smith and Patton</t>
  </si>
  <si>
    <t>beckerelizabeth@matthews.net</t>
  </si>
  <si>
    <t>ORD1406</t>
  </si>
  <si>
    <t>Whitney Schultz</t>
  </si>
  <si>
    <t>PROD9315</t>
  </si>
  <si>
    <t>Murphybury</t>
  </si>
  <si>
    <t>Simon, Robertson and Martin</t>
  </si>
  <si>
    <t>racheljohnson@foster.com</t>
  </si>
  <si>
    <t>ORD1407</t>
  </si>
  <si>
    <t>CUST283</t>
  </si>
  <si>
    <t>David Johnson</t>
  </si>
  <si>
    <t>PROD8028</t>
  </si>
  <si>
    <t>Edwardville</t>
  </si>
  <si>
    <t>Flynn Group</t>
  </si>
  <si>
    <t>zjenkins@cruz.com</t>
  </si>
  <si>
    <t>ORD1408</t>
  </si>
  <si>
    <t>Scott Cervantes</t>
  </si>
  <si>
    <t>PROD9949</t>
  </si>
  <si>
    <t>South Michael</t>
  </si>
  <si>
    <t>Ortega, Carey and Wood</t>
  </si>
  <si>
    <t>wjohnson@mclean-kirby.net</t>
  </si>
  <si>
    <t>ORD1409</t>
  </si>
  <si>
    <t>Sara Herrera</t>
  </si>
  <si>
    <t>South Mikayla</t>
  </si>
  <si>
    <t>James-Rivera</t>
  </si>
  <si>
    <t>dallen@perez.org</t>
  </si>
  <si>
    <t>ORD1410</t>
  </si>
  <si>
    <t>CUST903</t>
  </si>
  <si>
    <t>Eric Miller</t>
  </si>
  <si>
    <t>PROD6261</t>
  </si>
  <si>
    <t>New Jennifershire</t>
  </si>
  <si>
    <t>Fischer, Rodriguez and Patrick</t>
  </si>
  <si>
    <t>johnjohnson@carter.com</t>
  </si>
  <si>
    <t>ORD1411</t>
  </si>
  <si>
    <t>Sylvia Mitchell</t>
  </si>
  <si>
    <t>PROD8441</t>
  </si>
  <si>
    <t>East Mitchell</t>
  </si>
  <si>
    <t>Velasquez Inc</t>
  </si>
  <si>
    <t>vaughndanielle@lewis-jones.com</t>
  </si>
  <si>
    <t>ORD1412</t>
  </si>
  <si>
    <t>Amber Wells</t>
  </si>
  <si>
    <t>PROD4367</t>
  </si>
  <si>
    <t>Nicholasmouth</t>
  </si>
  <si>
    <t>Cooper, English and Garcia</t>
  </si>
  <si>
    <t>kcurtis@kent.net</t>
  </si>
  <si>
    <t>ORD1413</t>
  </si>
  <si>
    <t>Karen Bennett</t>
  </si>
  <si>
    <t>PROD4384</t>
  </si>
  <si>
    <t>South Rodneyview</t>
  </si>
  <si>
    <t>Mercer, Barnett and Barron</t>
  </si>
  <si>
    <t>travis02@gutierrez.com</t>
  </si>
  <si>
    <t>ORD1414</t>
  </si>
  <si>
    <t>Patricia Jordan</t>
  </si>
  <si>
    <t>PROD2925</t>
  </si>
  <si>
    <t>Robertfort</t>
  </si>
  <si>
    <t>White, Fox and Perez</t>
  </si>
  <si>
    <t>uwong@meyer-hudson.com</t>
  </si>
  <si>
    <t>ORD1415</t>
  </si>
  <si>
    <t>CUST907</t>
  </si>
  <si>
    <t>PROD8660</t>
  </si>
  <si>
    <t>Davismouth</t>
  </si>
  <si>
    <t>Smith, Anderson and Burns</t>
  </si>
  <si>
    <t>megan72@thompson-camacho.info</t>
  </si>
  <si>
    <t>ORD1416</t>
  </si>
  <si>
    <t>CUST862</t>
  </si>
  <si>
    <t>Kyle Cannon</t>
  </si>
  <si>
    <t>PROD6770</t>
  </si>
  <si>
    <t>Bakershire</t>
  </si>
  <si>
    <t>Sawyer and Sons</t>
  </si>
  <si>
    <t>william72@williams-bennett.com</t>
  </si>
  <si>
    <t>ORD1417</t>
  </si>
  <si>
    <t>CUST481</t>
  </si>
  <si>
    <t>Madison Mckee</t>
  </si>
  <si>
    <t>PROD4587</t>
  </si>
  <si>
    <t>New Carol</t>
  </si>
  <si>
    <t>Nelson, Randolph and Lindsey</t>
  </si>
  <si>
    <t>heidideleon@jordan.com</t>
  </si>
  <si>
    <t>ORD1418</t>
  </si>
  <si>
    <t>Julie Morgan</t>
  </si>
  <si>
    <t>PROD8316</t>
  </si>
  <si>
    <t>North Amyville</t>
  </si>
  <si>
    <t>Macdonald Ltd</t>
  </si>
  <si>
    <t>cooperjesus@leach.net</t>
  </si>
  <si>
    <t>ORD1419</t>
  </si>
  <si>
    <t>CUST909</t>
  </si>
  <si>
    <t>Jack Smith</t>
  </si>
  <si>
    <t>PROD4811</t>
  </si>
  <si>
    <t>Kellyberg</t>
  </si>
  <si>
    <t>Knox Ltd</t>
  </si>
  <si>
    <t>obriencharles@rice-ferguson.com</t>
  </si>
  <si>
    <t>ORD1420</t>
  </si>
  <si>
    <t>Arthur Bailey</t>
  </si>
  <si>
    <t>PROD4328</t>
  </si>
  <si>
    <t>West Susan</t>
  </si>
  <si>
    <t>Rogers, Mccarthy and Reeves</t>
  </si>
  <si>
    <t>bowersjennifer@young.net</t>
  </si>
  <si>
    <t>ORD1421</t>
  </si>
  <si>
    <t>Preston White</t>
  </si>
  <si>
    <t>PROD9081</t>
  </si>
  <si>
    <t>Colemantown</t>
  </si>
  <si>
    <t>Stokes Inc</t>
  </si>
  <si>
    <t>josephtran@pena-huffman.com</t>
  </si>
  <si>
    <t>ORD1422</t>
  </si>
  <si>
    <t>CUST161</t>
  </si>
  <si>
    <t>Kelly Valentine</t>
  </si>
  <si>
    <t>PROD4902</t>
  </si>
  <si>
    <t>Peterson Inc</t>
  </si>
  <si>
    <t>jasonduran@dean.com</t>
  </si>
  <si>
    <t>ORD1423</t>
  </si>
  <si>
    <t>Juan Glass</t>
  </si>
  <si>
    <t>PROD3134</t>
  </si>
  <si>
    <t>South Tinafurt</t>
  </si>
  <si>
    <t>Edwards-Dunlap</t>
  </si>
  <si>
    <t>hfreeman@whitaker-kim.net</t>
  </si>
  <si>
    <t>ORD1424</t>
  </si>
  <si>
    <t>Willie Wood</t>
  </si>
  <si>
    <t>PROD5171</t>
  </si>
  <si>
    <t>Neal Ltd</t>
  </si>
  <si>
    <t>dgoodwin@taylor-smith.biz</t>
  </si>
  <si>
    <t>ORD1425</t>
  </si>
  <si>
    <t>Rebekah Miller</t>
  </si>
  <si>
    <t>PROD5044</t>
  </si>
  <si>
    <t>Port Stevenland</t>
  </si>
  <si>
    <t>Johnston, Grant and Cummings</t>
  </si>
  <si>
    <t>sharon13@wilkins.com</t>
  </si>
  <si>
    <t>ORD1426</t>
  </si>
  <si>
    <t>CUST884</t>
  </si>
  <si>
    <t>Connie Hood</t>
  </si>
  <si>
    <t>PROD3720</t>
  </si>
  <si>
    <t>Murray, Cook and Harris</t>
  </si>
  <si>
    <t>emily63@smith.com</t>
  </si>
  <si>
    <t>ORD1427</t>
  </si>
  <si>
    <t>CUST794</t>
  </si>
  <si>
    <t>Kristi Smith</t>
  </si>
  <si>
    <t>PROD8272</t>
  </si>
  <si>
    <t>Martinville</t>
  </si>
  <si>
    <t>Becker, Rios and Richards</t>
  </si>
  <si>
    <t>gnguyen@burns-medina.info</t>
  </si>
  <si>
    <t>ORD1428</t>
  </si>
  <si>
    <t>Erin Wagner</t>
  </si>
  <si>
    <t>PROD4950</t>
  </si>
  <si>
    <t>Markton</t>
  </si>
  <si>
    <t>Burns Inc</t>
  </si>
  <si>
    <t>sanchezchristopher@baker.biz</t>
  </si>
  <si>
    <t>ORD1429</t>
  </si>
  <si>
    <t>CUST603</t>
  </si>
  <si>
    <t>Christopher Smith</t>
  </si>
  <si>
    <t>PROD9902</t>
  </si>
  <si>
    <t>East Dianeland</t>
  </si>
  <si>
    <t>Manning and Sons</t>
  </si>
  <si>
    <t>brendadiaz@rodriguez.info</t>
  </si>
  <si>
    <t>ORD1430</t>
  </si>
  <si>
    <t>Emily Wilson</t>
  </si>
  <si>
    <t>PROD1381</t>
  </si>
  <si>
    <t>Clarkstad</t>
  </si>
  <si>
    <t>Gomez-Thompson</t>
  </si>
  <si>
    <t>sturner@peters-whitehead.com</t>
  </si>
  <si>
    <t>ORD1431</t>
  </si>
  <si>
    <t>CUST878</t>
  </si>
  <si>
    <t>Megan Juarez</t>
  </si>
  <si>
    <t>PROD9752</t>
  </si>
  <si>
    <t>Georgeberg</t>
  </si>
  <si>
    <t>Barber-Sparks</t>
  </si>
  <si>
    <t>mccarthyjeffrey@arnold-neal.com</t>
  </si>
  <si>
    <t>ORD1432</t>
  </si>
  <si>
    <t>Lindsay Miller</t>
  </si>
  <si>
    <t>PROD2102</t>
  </si>
  <si>
    <t>Lake Melissaport</t>
  </si>
  <si>
    <t>Nelson, Watson and Lee</t>
  </si>
  <si>
    <t>michelerodriguez@johnston.com</t>
  </si>
  <si>
    <t>ORD1433</t>
  </si>
  <si>
    <t>CUST663</t>
  </si>
  <si>
    <t>Stephanie Mack</t>
  </si>
  <si>
    <t>PROD2332</t>
  </si>
  <si>
    <t>South Joshuahaven</t>
  </si>
  <si>
    <t>Mercer, Anderson and Reed</t>
  </si>
  <si>
    <t>myerssusan@foley.info</t>
  </si>
  <si>
    <t>ORD1434</t>
  </si>
  <si>
    <t>CUST280</t>
  </si>
  <si>
    <t>Philip Armstrong</t>
  </si>
  <si>
    <t>PROD6990</t>
  </si>
  <si>
    <t>Albertborough</t>
  </si>
  <si>
    <t>Potter, Hamilton and Martin</t>
  </si>
  <si>
    <t>ihooper@gonzalez.biz</t>
  </si>
  <si>
    <t>ORD1435</t>
  </si>
  <si>
    <t>Sean Mcintyre</t>
  </si>
  <si>
    <t>PROD9899</t>
  </si>
  <si>
    <t>West Curtisshire</t>
  </si>
  <si>
    <t>Brown and Sons</t>
  </si>
  <si>
    <t>bgonzalez@hart.com</t>
  </si>
  <si>
    <t>ORD1436</t>
  </si>
  <si>
    <t>Lisa Wagner</t>
  </si>
  <si>
    <t>PROD6631</t>
  </si>
  <si>
    <t>Zhangchester</t>
  </si>
  <si>
    <t>Thompson-Taylor</t>
  </si>
  <si>
    <t>brownstanley@parks.net</t>
  </si>
  <si>
    <t>ORD1437</t>
  </si>
  <si>
    <t>Kelli Greene</t>
  </si>
  <si>
    <t>PROD5397</t>
  </si>
  <si>
    <t>Stephanieborough</t>
  </si>
  <si>
    <t>Ware, Galloway and Sanchez</t>
  </si>
  <si>
    <t>robert21@luna-young.com</t>
  </si>
  <si>
    <t>ORD1438</t>
  </si>
  <si>
    <t>Kimberly Garcia</t>
  </si>
  <si>
    <t>PROD1965</t>
  </si>
  <si>
    <t>Adamstad</t>
  </si>
  <si>
    <t>Bennett, Hahn and Stark</t>
  </si>
  <si>
    <t>elizabethgonzalez@clark-armstrong.com</t>
  </si>
  <si>
    <t>ORD1439</t>
  </si>
  <si>
    <t>CUST452</t>
  </si>
  <si>
    <t>Stephen Dominguez</t>
  </si>
  <si>
    <t>PROD3129</t>
  </si>
  <si>
    <t>New Kellybury</t>
  </si>
  <si>
    <t>Owens-Campbell</t>
  </si>
  <si>
    <t>allenkatherine@perry.net</t>
  </si>
  <si>
    <t>ORD1440</t>
  </si>
  <si>
    <t>Tammy Oconnell</t>
  </si>
  <si>
    <t>PROD4065</t>
  </si>
  <si>
    <t>South Darren</t>
  </si>
  <si>
    <t>Wagner Group</t>
  </si>
  <si>
    <t>ohall@daniels.com</t>
  </si>
  <si>
    <t>ORD1441</t>
  </si>
  <si>
    <t>CUST196</t>
  </si>
  <si>
    <t>Linda Nguyen</t>
  </si>
  <si>
    <t>PROD8786</t>
  </si>
  <si>
    <t>South Randallburgh</t>
  </si>
  <si>
    <t>Adams-Cummings</t>
  </si>
  <si>
    <t>michellepowers@martinez.com</t>
  </si>
  <si>
    <t>ORD1442</t>
  </si>
  <si>
    <t>CUST766</t>
  </si>
  <si>
    <t>Denise Brown</t>
  </si>
  <si>
    <t>PROD4369</t>
  </si>
  <si>
    <t>Vangburgh</t>
  </si>
  <si>
    <t>Chan, Hughes and Hutchinson</t>
  </si>
  <si>
    <t>schroederpatrick@clark.com</t>
  </si>
  <si>
    <t>ORD1443</t>
  </si>
  <si>
    <t>CUST934</t>
  </si>
  <si>
    <t>Carol Nash</t>
  </si>
  <si>
    <t>PROD7838</t>
  </si>
  <si>
    <t>Fletcherborough</t>
  </si>
  <si>
    <t>Schneider Group</t>
  </si>
  <si>
    <t>joshua08@martinez.com</t>
  </si>
  <si>
    <t>ORD1444</t>
  </si>
  <si>
    <t>CUST446</t>
  </si>
  <si>
    <t>Lisa Murray</t>
  </si>
  <si>
    <t>PROD8954</t>
  </si>
  <si>
    <t>Francesshire</t>
  </si>
  <si>
    <t>Jones Inc</t>
  </si>
  <si>
    <t>lee76@curry-foster.com</t>
  </si>
  <si>
    <t>ORD1445</t>
  </si>
  <si>
    <t>CUST547</t>
  </si>
  <si>
    <t>Blake Peck</t>
  </si>
  <si>
    <t>PROD1530</t>
  </si>
  <si>
    <t>South Jordanview</t>
  </si>
  <si>
    <t>Sparks, Rosario and Riley</t>
  </si>
  <si>
    <t>dakota92@lynch-walker.com</t>
  </si>
  <si>
    <t>ORD1446</t>
  </si>
  <si>
    <t>CUST746</t>
  </si>
  <si>
    <t>Kelly Jones</t>
  </si>
  <si>
    <t>PROD4495</t>
  </si>
  <si>
    <t>Port Jasonton</t>
  </si>
  <si>
    <t>Phillips PLC</t>
  </si>
  <si>
    <t>ucantu@waters.net</t>
  </si>
  <si>
    <t>ORD1447</t>
  </si>
  <si>
    <t>CUST370</t>
  </si>
  <si>
    <t>Latasha Harris</t>
  </si>
  <si>
    <t>PROD9780</t>
  </si>
  <si>
    <t>Garcia-Blake</t>
  </si>
  <si>
    <t>collinsrobert@nguyen.com</t>
  </si>
  <si>
    <t>ORD1448</t>
  </si>
  <si>
    <t>Jackie Jones</t>
  </si>
  <si>
    <t>PROD3933</t>
  </si>
  <si>
    <t>Port Laura</t>
  </si>
  <si>
    <t>Snyder Ltd</t>
  </si>
  <si>
    <t>iobrien@ramirez.biz</t>
  </si>
  <si>
    <t>ORD1449</t>
  </si>
  <si>
    <t>CUST490</t>
  </si>
  <si>
    <t>Katie Payne</t>
  </si>
  <si>
    <t>PROD6525</t>
  </si>
  <si>
    <t>Port Paula</t>
  </si>
  <si>
    <t>Tapia-Molina</t>
  </si>
  <si>
    <t>dennis61@oneal.net</t>
  </si>
  <si>
    <t>ORD1450</t>
  </si>
  <si>
    <t>CUST812</t>
  </si>
  <si>
    <t>Danielle Bishop</t>
  </si>
  <si>
    <t>PROD1626</t>
  </si>
  <si>
    <t>Mcpherson, Erickson and Scott</t>
  </si>
  <si>
    <t>jcombs@chavez.biz</t>
  </si>
  <si>
    <t>ORD1451</t>
  </si>
  <si>
    <t>CUST999</t>
  </si>
  <si>
    <t>Eric Murphy</t>
  </si>
  <si>
    <t>PROD2780</t>
  </si>
  <si>
    <t>South Bobbyshire</t>
  </si>
  <si>
    <t>Maldonado, Santana and Johnson</t>
  </si>
  <si>
    <t>gsmith@hall-davis.info</t>
  </si>
  <si>
    <t>ORD1452</t>
  </si>
  <si>
    <t>Ryan Diaz</t>
  </si>
  <si>
    <t>PROD7669</t>
  </si>
  <si>
    <t>Janetown</t>
  </si>
  <si>
    <t>Alvarez, Wright and Jenkins</t>
  </si>
  <si>
    <t>kristin96@howard.net</t>
  </si>
  <si>
    <t>ORD1453</t>
  </si>
  <si>
    <t>CUST604</t>
  </si>
  <si>
    <t>Elizabeth Drake</t>
  </si>
  <si>
    <t>PROD6259</t>
  </si>
  <si>
    <t>North Nancyton</t>
  </si>
  <si>
    <t>Morales, Navarro and Pratt</t>
  </si>
  <si>
    <t>xmiranda@zuniga.com</t>
  </si>
  <si>
    <t>ORD1454</t>
  </si>
  <si>
    <t>Roy Carlson</t>
  </si>
  <si>
    <t>PROD6180</t>
  </si>
  <si>
    <t>North Kelly</t>
  </si>
  <si>
    <t>Ryan, Hamilton and Bautista</t>
  </si>
  <si>
    <t>rachel44@lewis.com</t>
  </si>
  <si>
    <t>ORD1455</t>
  </si>
  <si>
    <t>CUST155</t>
  </si>
  <si>
    <t>PROD9972</t>
  </si>
  <si>
    <t>Sarahville</t>
  </si>
  <si>
    <t>Lawrence-Gonzalez</t>
  </si>
  <si>
    <t>thomasturner@kirk.com</t>
  </si>
  <si>
    <t>ORD1456</t>
  </si>
  <si>
    <t>Robert Howard</t>
  </si>
  <si>
    <t>PROD9988</t>
  </si>
  <si>
    <t>Leahside</t>
  </si>
  <si>
    <t>Moss-Taylor</t>
  </si>
  <si>
    <t>greenamanda@hansen.net</t>
  </si>
  <si>
    <t>ORD1457</t>
  </si>
  <si>
    <t>CUST399</t>
  </si>
  <si>
    <t>Justin Foster</t>
  </si>
  <si>
    <t>PROD6211</t>
  </si>
  <si>
    <t>Millertown</t>
  </si>
  <si>
    <t>Reeves-Kelley</t>
  </si>
  <si>
    <t>brian17@anderson.com</t>
  </si>
  <si>
    <t>ORD1458</t>
  </si>
  <si>
    <t>CUST613</t>
  </si>
  <si>
    <t>Jo Austin</t>
  </si>
  <si>
    <t>PROD6599</t>
  </si>
  <si>
    <t>North Lisa</t>
  </si>
  <si>
    <t>Moreno LLC</t>
  </si>
  <si>
    <t>cromero@ewing.info</t>
  </si>
  <si>
    <t>ORD1459</t>
  </si>
  <si>
    <t>CUST414</t>
  </si>
  <si>
    <t>Mark Gardner</t>
  </si>
  <si>
    <t>PROD8613</t>
  </si>
  <si>
    <t>Stephaniemouth</t>
  </si>
  <si>
    <t>Walker Group</t>
  </si>
  <si>
    <t>rebecca21@hunt-carpenter.org</t>
  </si>
  <si>
    <t>ORD1460</t>
  </si>
  <si>
    <t>Mercedes Vega</t>
  </si>
  <si>
    <t>PROD8841</t>
  </si>
  <si>
    <t>Debraborough</t>
  </si>
  <si>
    <t>Hayes and Sons</t>
  </si>
  <si>
    <t>kennethflores@miller.com</t>
  </si>
  <si>
    <t>ORD1461</t>
  </si>
  <si>
    <t>Julie Walker</t>
  </si>
  <si>
    <t>PROD6854</t>
  </si>
  <si>
    <t>Erichaven</t>
  </si>
  <si>
    <t>Coleman, Boyer and Sims</t>
  </si>
  <si>
    <t>haleyscott@shaw-steele.com</t>
  </si>
  <si>
    <t>ORD1462</t>
  </si>
  <si>
    <t>CUST668</t>
  </si>
  <si>
    <t>Michael Stone</t>
  </si>
  <si>
    <t>PROD7072</t>
  </si>
  <si>
    <t>Christinefort</t>
  </si>
  <si>
    <t>Wilson, Bowman and Wells</t>
  </si>
  <si>
    <t>ywallace@williams.com</t>
  </si>
  <si>
    <t>ORD1463</t>
  </si>
  <si>
    <t>Catherine Griffin</t>
  </si>
  <si>
    <t>West Douglaston</t>
  </si>
  <si>
    <t>Horton and Sons</t>
  </si>
  <si>
    <t>sarahtanner@hall.com</t>
  </si>
  <si>
    <t>ORD1464</t>
  </si>
  <si>
    <t>Jesse Le</t>
  </si>
  <si>
    <t>PROD3896</t>
  </si>
  <si>
    <t>Andersonburgh</t>
  </si>
  <si>
    <t>Miller-Perry</t>
  </si>
  <si>
    <t>susan26@weiss.com</t>
  </si>
  <si>
    <t>ORD1465</t>
  </si>
  <si>
    <t>Kristen Allen</t>
  </si>
  <si>
    <t>PROD7640</t>
  </si>
  <si>
    <t>Arthurport</t>
  </si>
  <si>
    <t>Davis and Sons</t>
  </si>
  <si>
    <t>erica54@wang.com</t>
  </si>
  <si>
    <t>ORD1466</t>
  </si>
  <si>
    <t>CUST108</t>
  </si>
  <si>
    <t>Jasmine Washington</t>
  </si>
  <si>
    <t>PROD4892</t>
  </si>
  <si>
    <t>Ernestmouth</t>
  </si>
  <si>
    <t>House-Walters</t>
  </si>
  <si>
    <t>allenelliott@mcguire.com</t>
  </si>
  <si>
    <t>ORD1467</t>
  </si>
  <si>
    <t>Sharon Martinez</t>
  </si>
  <si>
    <t>PROD5310</t>
  </si>
  <si>
    <t>New Ericmouth</t>
  </si>
  <si>
    <t>Davis, Maldonado and Carter</t>
  </si>
  <si>
    <t>mcphersonshawn@maxwell.biz</t>
  </si>
  <si>
    <t>ORD1468</t>
  </si>
  <si>
    <t>Brian Owens</t>
  </si>
  <si>
    <t>PROD3860</t>
  </si>
  <si>
    <t>Port Tanner</t>
  </si>
  <si>
    <t>Johnson and Sons</t>
  </si>
  <si>
    <t>nashrachel@peterson.net</t>
  </si>
  <si>
    <t>ORD1469</t>
  </si>
  <si>
    <t>CUST189</t>
  </si>
  <si>
    <t>Jack Gregory</t>
  </si>
  <si>
    <t>PROD7767</t>
  </si>
  <si>
    <t>Brownland</t>
  </si>
  <si>
    <t>Black Inc</t>
  </si>
  <si>
    <t>barrettrachel@williams.com</t>
  </si>
  <si>
    <t>ORD1470</t>
  </si>
  <si>
    <t>Tony Carrillo</t>
  </si>
  <si>
    <t>PROD4084</t>
  </si>
  <si>
    <t>West Joshua</t>
  </si>
  <si>
    <t>Silva Group</t>
  </si>
  <si>
    <t>jerome15@alvarez-gibson.info</t>
  </si>
  <si>
    <t>ORD1471</t>
  </si>
  <si>
    <t>CUST309</t>
  </si>
  <si>
    <t>Michael Park PhD</t>
  </si>
  <si>
    <t>PROD5006</t>
  </si>
  <si>
    <t>East James</t>
  </si>
  <si>
    <t>Pratt-Bryant</t>
  </si>
  <si>
    <t>guzmansamantha@carpenter-calhoun.net</t>
  </si>
  <si>
    <t>ORD1472</t>
  </si>
  <si>
    <t>CUST930</t>
  </si>
  <si>
    <t>Tiffany Mitchell</t>
  </si>
  <si>
    <t>PROD3555</t>
  </si>
  <si>
    <t>South Karenberg</t>
  </si>
  <si>
    <t>Wright, Olson and West</t>
  </si>
  <si>
    <t>clarkadam@kelley.info</t>
  </si>
  <si>
    <t>ORD1473</t>
  </si>
  <si>
    <t>CUST606</t>
  </si>
  <si>
    <t>Candice Fuller</t>
  </si>
  <si>
    <t>PROD4832</t>
  </si>
  <si>
    <t>Wallacemouth</t>
  </si>
  <si>
    <t>Elliott, George and Cordova</t>
  </si>
  <si>
    <t>katherine43@pugh.com</t>
  </si>
  <si>
    <t>ORD1474</t>
  </si>
  <si>
    <t>CUST289</t>
  </si>
  <si>
    <t>Meghan Shelton</t>
  </si>
  <si>
    <t>PROD1468</t>
  </si>
  <si>
    <t>West Kimberlyborough</t>
  </si>
  <si>
    <t>Graves, Holt and Riley</t>
  </si>
  <si>
    <t>torressamuel@turner.com</t>
  </si>
  <si>
    <t>ORD1475</t>
  </si>
  <si>
    <t>CUST277</t>
  </si>
  <si>
    <t>James Maldonado MD</t>
  </si>
  <si>
    <t>PROD1934</t>
  </si>
  <si>
    <t>Lonniebury</t>
  </si>
  <si>
    <t>Huber Ltd</t>
  </si>
  <si>
    <t>ssutton@schaefer.com</t>
  </si>
  <si>
    <t>ORD1476</t>
  </si>
  <si>
    <t>CUST994</t>
  </si>
  <si>
    <t>Sabrina Austin</t>
  </si>
  <si>
    <t>Farrellfurt</t>
  </si>
  <si>
    <t>Arnold, Curry and Vasquez</t>
  </si>
  <si>
    <t>stanleysharon@whitaker-morris.biz</t>
  </si>
  <si>
    <t>ORD1477</t>
  </si>
  <si>
    <t>CUST248</t>
  </si>
  <si>
    <t>William Jennings</t>
  </si>
  <si>
    <t>PROD5539</t>
  </si>
  <si>
    <t>Fisherbury</t>
  </si>
  <si>
    <t>Rodriguez-Green</t>
  </si>
  <si>
    <t>collin11@raymond-arnold.com</t>
  </si>
  <si>
    <t>ORD1478</t>
  </si>
  <si>
    <t>Curtis Clark</t>
  </si>
  <si>
    <t>PROD4225</t>
  </si>
  <si>
    <t>Martinezfurt</t>
  </si>
  <si>
    <t>Hays, Spencer and Ortiz</t>
  </si>
  <si>
    <t>choinancy@mccormick.info</t>
  </si>
  <si>
    <t>ORD1479</t>
  </si>
  <si>
    <t>CUST395</t>
  </si>
  <si>
    <t>Joanna Grant</t>
  </si>
  <si>
    <t>PROD6656</t>
  </si>
  <si>
    <t>Port Matthew</t>
  </si>
  <si>
    <t>Lynch-Alvarado</t>
  </si>
  <si>
    <t>villanuevaian@pineda.com</t>
  </si>
  <si>
    <t>ORD1480</t>
  </si>
  <si>
    <t>CUST829</t>
  </si>
  <si>
    <t>Jeanne Anderson</t>
  </si>
  <si>
    <t>PROD1342</t>
  </si>
  <si>
    <t>South Williamland</t>
  </si>
  <si>
    <t>Thornton Inc</t>
  </si>
  <si>
    <t>john72@sharp.com</t>
  </si>
  <si>
    <t>ORD1481</t>
  </si>
  <si>
    <t>CUST327</t>
  </si>
  <si>
    <t>Melissa Walls</t>
  </si>
  <si>
    <t>PROD8077</t>
  </si>
  <si>
    <t>South Brianside</t>
  </si>
  <si>
    <t>Hoffman, Horne and Smith</t>
  </si>
  <si>
    <t>cmccarthy@green-chang.com</t>
  </si>
  <si>
    <t>ORD1482</t>
  </si>
  <si>
    <t>CUST924</t>
  </si>
  <si>
    <t>Gregory Santos</t>
  </si>
  <si>
    <t>PROD2515</t>
  </si>
  <si>
    <t>South Kristyview</t>
  </si>
  <si>
    <t>Parks, Price and Garcia</t>
  </si>
  <si>
    <t>camachoalexis@turner-williams.net</t>
  </si>
  <si>
    <t>ORD1483</t>
  </si>
  <si>
    <t>CUST224</t>
  </si>
  <si>
    <t>James Bell</t>
  </si>
  <si>
    <t>PROD2205</t>
  </si>
  <si>
    <t>West Troy</t>
  </si>
  <si>
    <t>Neal, Harrison and Anderson</t>
  </si>
  <si>
    <t>matthewhuffman@stevens.com</t>
  </si>
  <si>
    <t>ORD1484</t>
  </si>
  <si>
    <t>Nancy Vazquez</t>
  </si>
  <si>
    <t>Garciachester</t>
  </si>
  <si>
    <t>Parker-Nolan</t>
  </si>
  <si>
    <t>taylorcourtney@chapman-lamb.info</t>
  </si>
  <si>
    <t>ORD1485</t>
  </si>
  <si>
    <t>CUST995</t>
  </si>
  <si>
    <t>Dustin Porter</t>
  </si>
  <si>
    <t>PROD5618</t>
  </si>
  <si>
    <t>Lewisborough</t>
  </si>
  <si>
    <t>Marshall-Peterson</t>
  </si>
  <si>
    <t>gerald13@meyer-murphy.biz</t>
  </si>
  <si>
    <t>ORD1486</t>
  </si>
  <si>
    <t>CUST467</t>
  </si>
  <si>
    <t>Destiny Martin</t>
  </si>
  <si>
    <t>PROD8419</t>
  </si>
  <si>
    <t>Lake Bryanville</t>
  </si>
  <si>
    <t>Dougherty-Potts</t>
  </si>
  <si>
    <t>ellen40@meyer.com</t>
  </si>
  <si>
    <t>ORD1487</t>
  </si>
  <si>
    <t>Joseph Stark</t>
  </si>
  <si>
    <t>PROD9737</t>
  </si>
  <si>
    <t>Johnson, Miller and Barton</t>
  </si>
  <si>
    <t>fergusoncarol@mueller-miller.info</t>
  </si>
  <si>
    <t>ORD1488</t>
  </si>
  <si>
    <t>Robert Dunn</t>
  </si>
  <si>
    <t>PROD9347</t>
  </si>
  <si>
    <t>South Barbaraland</t>
  </si>
  <si>
    <t>Anderson, Black and James</t>
  </si>
  <si>
    <t>williamscourtney@gonzalez.com</t>
  </si>
  <si>
    <t>ORD1489</t>
  </si>
  <si>
    <t>CUST387</t>
  </si>
  <si>
    <t>Mark Cruz</t>
  </si>
  <si>
    <t>PROD6048</t>
  </si>
  <si>
    <t>North Sherry</t>
  </si>
  <si>
    <t>Burke, Anderson and Hunter</t>
  </si>
  <si>
    <t>christopherlee@mcmillan-marshall.com</t>
  </si>
  <si>
    <t>ORD1490</t>
  </si>
  <si>
    <t>CUST518</t>
  </si>
  <si>
    <t>Melinda Moore</t>
  </si>
  <si>
    <t>PROD1400</t>
  </si>
  <si>
    <t>New Anthony</t>
  </si>
  <si>
    <t>Page-Davis</t>
  </si>
  <si>
    <t>baileyharmon@lewis.biz</t>
  </si>
  <si>
    <t>ORD1491</t>
  </si>
  <si>
    <t>CUST568</t>
  </si>
  <si>
    <t>Samuel Mccarty</t>
  </si>
  <si>
    <t>PROD2347</t>
  </si>
  <si>
    <t>New Lori</t>
  </si>
  <si>
    <t>Graham PLC</t>
  </si>
  <si>
    <t>jesse49@pennington-robertson.biz</t>
  </si>
  <si>
    <t>ORD1492</t>
  </si>
  <si>
    <t>Andrea Wilkerson</t>
  </si>
  <si>
    <t>PROD8205</t>
  </si>
  <si>
    <t>North Jenna</t>
  </si>
  <si>
    <t>Ingram-Cunningham</t>
  </si>
  <si>
    <t>lindahorne@luna-nicholson.com</t>
  </si>
  <si>
    <t>ORD1493</t>
  </si>
  <si>
    <t>Patrick Krueger</t>
  </si>
  <si>
    <t>PROD3700</t>
  </si>
  <si>
    <t>Danielbury</t>
  </si>
  <si>
    <t>Price Ltd</t>
  </si>
  <si>
    <t>xsmith@marquez.org</t>
  </si>
  <si>
    <t>ORD1494</t>
  </si>
  <si>
    <t>Brett Nguyen</t>
  </si>
  <si>
    <t>PROD2963</t>
  </si>
  <si>
    <t>Pearsonville</t>
  </si>
  <si>
    <t>Sandoval, Phillips and Williams</t>
  </si>
  <si>
    <t>timothy37@gardner.com</t>
  </si>
  <si>
    <t>ORD1495</t>
  </si>
  <si>
    <t>CUST597</t>
  </si>
  <si>
    <t>Jonathan West</t>
  </si>
  <si>
    <t>PROD6960</t>
  </si>
  <si>
    <t>Port Amy</t>
  </si>
  <si>
    <t>Macdonald, Jarvis and Cunningham</t>
  </si>
  <si>
    <t>vanessa42@shields-oliver.net</t>
  </si>
  <si>
    <t>ORD1496</t>
  </si>
  <si>
    <t>CUST804</t>
  </si>
  <si>
    <t>Larry Santana</t>
  </si>
  <si>
    <t>PROD9147</t>
  </si>
  <si>
    <t>East Lisa</t>
  </si>
  <si>
    <t>Frazier-Martin</t>
  </si>
  <si>
    <t>mmccullough@wilson-randolph.com</t>
  </si>
  <si>
    <t>ORD1497</t>
  </si>
  <si>
    <t>Megan Roman</t>
  </si>
  <si>
    <t>PROD7200</t>
  </si>
  <si>
    <t>Alexanderton</t>
  </si>
  <si>
    <t>Pena-Hahn</t>
  </si>
  <si>
    <t>dawnfoster@norman.com</t>
  </si>
  <si>
    <t>ORD1498</t>
  </si>
  <si>
    <t>CUST667</t>
  </si>
  <si>
    <t>Tom Sparks</t>
  </si>
  <si>
    <t>PROD6167</t>
  </si>
  <si>
    <t>Alvaradoberg</t>
  </si>
  <si>
    <t>Walker-Taylor</t>
  </si>
  <si>
    <t>christina64@simmons-barron.com</t>
  </si>
  <si>
    <t>ORD1499</t>
  </si>
  <si>
    <t>CUST655</t>
  </si>
  <si>
    <t>Ryan Campbell</t>
  </si>
  <si>
    <t>PROD8550</t>
  </si>
  <si>
    <t>Melissafort</t>
  </si>
  <si>
    <t>Fischer-Williams</t>
  </si>
  <si>
    <t>sydney71@williams.com</t>
  </si>
  <si>
    <t>ORD1500</t>
  </si>
  <si>
    <t>CUST610</t>
  </si>
  <si>
    <t>Heather Foster</t>
  </si>
  <si>
    <t>PROD1433</t>
  </si>
  <si>
    <t>Barbaraton</t>
  </si>
  <si>
    <t>Williams, Campos and Thompson</t>
  </si>
  <si>
    <t>carmen26@black-clark.net</t>
  </si>
  <si>
    <t>ORD1501</t>
  </si>
  <si>
    <t>CUST148</t>
  </si>
  <si>
    <t>Yvonne Clark</t>
  </si>
  <si>
    <t>PROD9772</t>
  </si>
  <si>
    <t>Hendersonville</t>
  </si>
  <si>
    <t>Harrington-Morales</t>
  </si>
  <si>
    <t>erica37@lucas.com</t>
  </si>
  <si>
    <t>ORD1502</t>
  </si>
  <si>
    <t>Timothy Mathews</t>
  </si>
  <si>
    <t>PROD8663</t>
  </si>
  <si>
    <t>antoniohess@contreras-conway.com</t>
  </si>
  <si>
    <t>ORD1503</t>
  </si>
  <si>
    <t>CUST495</t>
  </si>
  <si>
    <t>Bryan Jones</t>
  </si>
  <si>
    <t>PROD2259</t>
  </si>
  <si>
    <t>Codybury</t>
  </si>
  <si>
    <t>Thompson, Rivers and Mcdaniel</t>
  </si>
  <si>
    <t>brandonblack@sanders.info</t>
  </si>
  <si>
    <t>ORD1504</t>
  </si>
  <si>
    <t>Michelle Benjamin</t>
  </si>
  <si>
    <t>PROD9916</t>
  </si>
  <si>
    <t>West Rachelburgh</t>
  </si>
  <si>
    <t>Obrien-Johnson</t>
  </si>
  <si>
    <t>finleymarc@martinez.biz</t>
  </si>
  <si>
    <t>ORD1505</t>
  </si>
  <si>
    <t>Jeremiah Anderson</t>
  </si>
  <si>
    <t>PROD6133</t>
  </si>
  <si>
    <t>Rebeccaburgh</t>
  </si>
  <si>
    <t>Thomas Group</t>
  </si>
  <si>
    <t>bradley44@floyd.com</t>
  </si>
  <si>
    <t>ORD1506</t>
  </si>
  <si>
    <t>CUST552</t>
  </si>
  <si>
    <t>Kevin Thomas</t>
  </si>
  <si>
    <t>PROD4149</t>
  </si>
  <si>
    <t>South Shawn</t>
  </si>
  <si>
    <t>Carpenter, Atkinson and Scott</t>
  </si>
  <si>
    <t>chaneyjennifer@santos-freeman.org</t>
  </si>
  <si>
    <t>ORD1507</t>
  </si>
  <si>
    <t>CUST355</t>
  </si>
  <si>
    <t>Shelly Melton</t>
  </si>
  <si>
    <t>PROD8326</t>
  </si>
  <si>
    <t>Lake Alexandraport</t>
  </si>
  <si>
    <t>White, Barr and Phillips</t>
  </si>
  <si>
    <t>gonzaleztracy@ferguson.com</t>
  </si>
  <si>
    <t>ORD1508</t>
  </si>
  <si>
    <t>Stephen Klein</t>
  </si>
  <si>
    <t>PROD2707</t>
  </si>
  <si>
    <t>Lake Adamberg</t>
  </si>
  <si>
    <t>Reeves-Dougherty</t>
  </si>
  <si>
    <t>williamsallen@rice.biz</t>
  </si>
  <si>
    <t>ORD1509</t>
  </si>
  <si>
    <t>CUST412</t>
  </si>
  <si>
    <t>Anne Barnes</t>
  </si>
  <si>
    <t>PROD1691</t>
  </si>
  <si>
    <t>South Crystalchester</t>
  </si>
  <si>
    <t>Lewis Inc</t>
  </si>
  <si>
    <t>bowersbecky@mitchell.org</t>
  </si>
  <si>
    <t>ORD1510</t>
  </si>
  <si>
    <t>CUST691</t>
  </si>
  <si>
    <t>Amanda Webb</t>
  </si>
  <si>
    <t>Paulberg</t>
  </si>
  <si>
    <t>Mckee, Dickson and Myers</t>
  </si>
  <si>
    <t>garnerashley@dyer-kelly.info</t>
  </si>
  <si>
    <t>ORD1511</t>
  </si>
  <si>
    <t>Michael Alvarado</t>
  </si>
  <si>
    <t>PROD2713</t>
  </si>
  <si>
    <t>Miguelton</t>
  </si>
  <si>
    <t>Nguyen, Hogan and Hicks</t>
  </si>
  <si>
    <t>dtucker@brown-gordon.biz</t>
  </si>
  <si>
    <t>ORD1512</t>
  </si>
  <si>
    <t>CUST528</t>
  </si>
  <si>
    <t>Rachel Evans</t>
  </si>
  <si>
    <t>PROD7738</t>
  </si>
  <si>
    <t>Clinetown</t>
  </si>
  <si>
    <t>Bates PLC</t>
  </si>
  <si>
    <t>fosterchase@ross-tucker.com</t>
  </si>
  <si>
    <t>ORD1513</t>
  </si>
  <si>
    <t>CUST992</t>
  </si>
  <si>
    <t>Thomas Johnson</t>
  </si>
  <si>
    <t>PROD9221</t>
  </si>
  <si>
    <t>Williamsside</t>
  </si>
  <si>
    <t>Robinson-Davis</t>
  </si>
  <si>
    <t>karencoleman@henderson-cox.com</t>
  </si>
  <si>
    <t>ORD1514</t>
  </si>
  <si>
    <t>CUST434</t>
  </si>
  <si>
    <t>Tina Mitchell</t>
  </si>
  <si>
    <t>PROD2345</t>
  </si>
  <si>
    <t>Port Kayla</t>
  </si>
  <si>
    <t>Faulkner-Payne</t>
  </si>
  <si>
    <t>rebecca10@young.net</t>
  </si>
  <si>
    <t>ORD1515</t>
  </si>
  <si>
    <t>CUST199</t>
  </si>
  <si>
    <t>Eric Adams</t>
  </si>
  <si>
    <t>PROD9581</t>
  </si>
  <si>
    <t>Jacksonton</t>
  </si>
  <si>
    <t>Moore, Simpson and Moody</t>
  </si>
  <si>
    <t>washingtonnatalie@duffy.org</t>
  </si>
  <si>
    <t>ORD1516</t>
  </si>
  <si>
    <t>Jacob Floyd</t>
  </si>
  <si>
    <t>PROD3435</t>
  </si>
  <si>
    <t>Lake Erica</t>
  </si>
  <si>
    <t>Fisher-Dominguez</t>
  </si>
  <si>
    <t>robertsmith@white.com</t>
  </si>
  <si>
    <t>ORD1517</t>
  </si>
  <si>
    <t>Sheri Stevenson</t>
  </si>
  <si>
    <t>PROD2299</t>
  </si>
  <si>
    <t>New Margaretshire</t>
  </si>
  <si>
    <t>Mcdonald Ltd</t>
  </si>
  <si>
    <t>wreeves@brooks.org</t>
  </si>
  <si>
    <t>ORD1518</t>
  </si>
  <si>
    <t>CUST367</t>
  </si>
  <si>
    <t>Grant Bennett</t>
  </si>
  <si>
    <t>PROD6221</t>
  </si>
  <si>
    <t>Williamsonport</t>
  </si>
  <si>
    <t>Campos and Sons</t>
  </si>
  <si>
    <t>nwheeler@ramos.info</t>
  </si>
  <si>
    <t>ORD1519</t>
  </si>
  <si>
    <t>CUST138</t>
  </si>
  <si>
    <t>Alexander Ford</t>
  </si>
  <si>
    <t>PROD7228</t>
  </si>
  <si>
    <t>North Jessica</t>
  </si>
  <si>
    <t>Mahoney-Oliver</t>
  </si>
  <si>
    <t>christinamayo@rivera.com</t>
  </si>
  <si>
    <t>ORD1520</t>
  </si>
  <si>
    <t>CUST145</t>
  </si>
  <si>
    <t>Jessica Chang</t>
  </si>
  <si>
    <t>PROD1670</t>
  </si>
  <si>
    <t>Carolynbury</t>
  </si>
  <si>
    <t>Bray and Sons</t>
  </si>
  <si>
    <t>bradshawjustin@carter.biz</t>
  </si>
  <si>
    <t>ORD1521</t>
  </si>
  <si>
    <t>Sarah Campbell</t>
  </si>
  <si>
    <t>PROD5369</t>
  </si>
  <si>
    <t>North Nicoleberg</t>
  </si>
  <si>
    <t>Rodriguez Group</t>
  </si>
  <si>
    <t>parkmichelle@johnson.org</t>
  </si>
  <si>
    <t>ORD1522</t>
  </si>
  <si>
    <t>Linda Swanson</t>
  </si>
  <si>
    <t>PROD8005</t>
  </si>
  <si>
    <t>Mooreport</t>
  </si>
  <si>
    <t>Williams-Fox</t>
  </si>
  <si>
    <t>richard75@reed-santos.com</t>
  </si>
  <si>
    <t>ORD1523</t>
  </si>
  <si>
    <t>Stacy Adams</t>
  </si>
  <si>
    <t>PROD8155</t>
  </si>
  <si>
    <t>Russellport</t>
  </si>
  <si>
    <t>Terry-Peterson</t>
  </si>
  <si>
    <t>meganchapman@mcdonald.com</t>
  </si>
  <si>
    <t>ORD1524</t>
  </si>
  <si>
    <t>Dorothy Smith</t>
  </si>
  <si>
    <t>PROD1960</t>
  </si>
  <si>
    <t>Bradleyside</t>
  </si>
  <si>
    <t>Klein LLC</t>
  </si>
  <si>
    <t>lucas78@monroe.com</t>
  </si>
  <si>
    <t>ORD1525</t>
  </si>
  <si>
    <t>CUST916</t>
  </si>
  <si>
    <t>Emily Silva</t>
  </si>
  <si>
    <t>PROD9248</t>
  </si>
  <si>
    <t>Nicoleview</t>
  </si>
  <si>
    <t>Anthony PLC</t>
  </si>
  <si>
    <t>beckerkenneth@powers.com</t>
  </si>
  <si>
    <t>ORD1526</t>
  </si>
  <si>
    <t>CUST743</t>
  </si>
  <si>
    <t>Krystal Harper</t>
  </si>
  <si>
    <t>PROD2771</t>
  </si>
  <si>
    <t>Nathanbury</t>
  </si>
  <si>
    <t>Gordon, James and Stafford</t>
  </si>
  <si>
    <t>zacharymunoz@murphy-pierce.net</t>
  </si>
  <si>
    <t>ORD1527</t>
  </si>
  <si>
    <t>CUST174</t>
  </si>
  <si>
    <t>Cassie Rowe</t>
  </si>
  <si>
    <t>PROD7793</t>
  </si>
  <si>
    <t>Gilbertbury</t>
  </si>
  <si>
    <t>Davis PLC</t>
  </si>
  <si>
    <t>diane58@cooper-mcgrath.org</t>
  </si>
  <si>
    <t>ORD1528</t>
  </si>
  <si>
    <t>CUST433</t>
  </si>
  <si>
    <t>Laura Torres</t>
  </si>
  <si>
    <t>PROD7396</t>
  </si>
  <si>
    <t>Mariaton</t>
  </si>
  <si>
    <t>Lindsey LLC</t>
  </si>
  <si>
    <t>pattersontracy@everett.com</t>
  </si>
  <si>
    <t>ORD1529</t>
  </si>
  <si>
    <t>CUST210</t>
  </si>
  <si>
    <t>Elizabeth Johnson</t>
  </si>
  <si>
    <t>PROD8215</t>
  </si>
  <si>
    <t>Hallstad</t>
  </si>
  <si>
    <t>Mcintyre Group</t>
  </si>
  <si>
    <t>kevin78@robinson.com</t>
  </si>
  <si>
    <t>ORD1530</t>
  </si>
  <si>
    <t>CUST231</t>
  </si>
  <si>
    <t>Sean Stewart</t>
  </si>
  <si>
    <t>PROD3037</t>
  </si>
  <si>
    <t>Richardville</t>
  </si>
  <si>
    <t>Hendricks and Sons</t>
  </si>
  <si>
    <t>carrolltiffany@campbell-robertson.com</t>
  </si>
  <si>
    <t>ORD1531</t>
  </si>
  <si>
    <t>Michael Benson</t>
  </si>
  <si>
    <t>PROD8351</t>
  </si>
  <si>
    <t>New Katelyn</t>
  </si>
  <si>
    <t>Schmitt, Allen and Harris</t>
  </si>
  <si>
    <t>halljasmine@morris.com</t>
  </si>
  <si>
    <t>ORD1532</t>
  </si>
  <si>
    <t>David Martinez</t>
  </si>
  <si>
    <t>Davidsonfurt</t>
  </si>
  <si>
    <t>Dixon PLC</t>
  </si>
  <si>
    <t>deniseobrien@arnold.com</t>
  </si>
  <si>
    <t>ORD1533</t>
  </si>
  <si>
    <t>Jennifer White</t>
  </si>
  <si>
    <t>PROD5016</t>
  </si>
  <si>
    <t>Harrisberg</t>
  </si>
  <si>
    <t>White, Garcia and Smith</t>
  </si>
  <si>
    <t>christopher14@santos.com</t>
  </si>
  <si>
    <t>ORD1534</t>
  </si>
  <si>
    <t>CUST150</t>
  </si>
  <si>
    <t>Johnny Valdez</t>
  </si>
  <si>
    <t>PROD6038</t>
  </si>
  <si>
    <t>Jasonborough</t>
  </si>
  <si>
    <t>allenerin@davis.com</t>
  </si>
  <si>
    <t>ORD1535</t>
  </si>
  <si>
    <t>CUST710</t>
  </si>
  <si>
    <t>Wesley Hines</t>
  </si>
  <si>
    <t>PROD6224</t>
  </si>
  <si>
    <t>South Kennethchester</t>
  </si>
  <si>
    <t>Pope-Ross</t>
  </si>
  <si>
    <t>williamsjames@oliver.net</t>
  </si>
  <si>
    <t>ORD1536</t>
  </si>
  <si>
    <t>Tom Aguilar</t>
  </si>
  <si>
    <t>PROD3617</t>
  </si>
  <si>
    <t>Lake Julieside</t>
  </si>
  <si>
    <t>Fuller, Smith and Brown</t>
  </si>
  <si>
    <t>franconicholas@jordan.org</t>
  </si>
  <si>
    <t>ORD1537</t>
  </si>
  <si>
    <t>Kim Washington</t>
  </si>
  <si>
    <t>PROD4604</t>
  </si>
  <si>
    <t>North Gabriel</t>
  </si>
  <si>
    <t>Gomez-Reed</t>
  </si>
  <si>
    <t>jenniferscott@smith.biz</t>
  </si>
  <si>
    <t>ORD1538</t>
  </si>
  <si>
    <t>CUST401</t>
  </si>
  <si>
    <t>Amy Jensen</t>
  </si>
  <si>
    <t>PROD1699</t>
  </si>
  <si>
    <t>Simmonsbury</t>
  </si>
  <si>
    <t>Dennis, Mendoza and Gilbert</t>
  </si>
  <si>
    <t>kristenjackson@barton-blackburn.com</t>
  </si>
  <si>
    <t>ORD1539</t>
  </si>
  <si>
    <t>Sarah Hernandez</t>
  </si>
  <si>
    <t>PROD8561</t>
  </si>
  <si>
    <t>Stacyside</t>
  </si>
  <si>
    <t>Adams Ltd</t>
  </si>
  <si>
    <t>deborah99@santana.org</t>
  </si>
  <si>
    <t>ORD1540</t>
  </si>
  <si>
    <t>Michelle Robinson</t>
  </si>
  <si>
    <t>PROD6900</t>
  </si>
  <si>
    <t>Adamsshire</t>
  </si>
  <si>
    <t>Sullivan and Sons</t>
  </si>
  <si>
    <t>ginaroberts@lewis-smith.com</t>
  </si>
  <si>
    <t>ORD1541</t>
  </si>
  <si>
    <t>Connie Callahan</t>
  </si>
  <si>
    <t>PROD3800</t>
  </si>
  <si>
    <t>Lake Christine</t>
  </si>
  <si>
    <t>Carlson, Parks and Spears</t>
  </si>
  <si>
    <t>ehill@davis.org</t>
  </si>
  <si>
    <t>ORD1542</t>
  </si>
  <si>
    <t>CUST440</t>
  </si>
  <si>
    <t>Carla Dixon</t>
  </si>
  <si>
    <t>PROD1637</t>
  </si>
  <si>
    <t>South Nicoleview</t>
  </si>
  <si>
    <t>Jacobs, Stuart and Taylor</t>
  </si>
  <si>
    <t>perezamanda@paul.com</t>
  </si>
  <si>
    <t>ORD1543</t>
  </si>
  <si>
    <t>Shelby Cowan</t>
  </si>
  <si>
    <t>PROD6779</t>
  </si>
  <si>
    <t>North Anthony</t>
  </si>
  <si>
    <t>Conley Inc</t>
  </si>
  <si>
    <t>langkathryn@kennedy.com</t>
  </si>
  <si>
    <t>ORD1544</t>
  </si>
  <si>
    <t>CUST762</t>
  </si>
  <si>
    <t>Alejandro Morris</t>
  </si>
  <si>
    <t>PROD7162</t>
  </si>
  <si>
    <t>Mcneil Inc</t>
  </si>
  <si>
    <t>williamsjenny@kennedy-cummings.com</t>
  </si>
  <si>
    <t>ORD1545</t>
  </si>
  <si>
    <t>CUST616</t>
  </si>
  <si>
    <t>Brian Patton</t>
  </si>
  <si>
    <t>PROD5752</t>
  </si>
  <si>
    <t>Lake Johnathan</t>
  </si>
  <si>
    <t>Robinson and Sons</t>
  </si>
  <si>
    <t>josephnash@hampton-howard.com</t>
  </si>
  <si>
    <t>ORD1546</t>
  </si>
  <si>
    <t>CUST753</t>
  </si>
  <si>
    <t>Heather Goodwin</t>
  </si>
  <si>
    <t>PROD7040</t>
  </si>
  <si>
    <t>North John</t>
  </si>
  <si>
    <t>Baldwin, Rodriguez and Jones</t>
  </si>
  <si>
    <t>fergusonmichael@white.com</t>
  </si>
  <si>
    <t>ORD1547</t>
  </si>
  <si>
    <t>Patricia Walker</t>
  </si>
  <si>
    <t>PROD7064</t>
  </si>
  <si>
    <t>New Bryan</t>
  </si>
  <si>
    <t>Miller, Williamson and Johnson</t>
  </si>
  <si>
    <t>andrea79@smith-campbell.org</t>
  </si>
  <si>
    <t>ORD1548</t>
  </si>
  <si>
    <t>Dawn Petersen</t>
  </si>
  <si>
    <t>PROD7531</t>
  </si>
  <si>
    <t>Seanfort</t>
  </si>
  <si>
    <t>jeremy40@richardson.org</t>
  </si>
  <si>
    <t>ORD1549</t>
  </si>
  <si>
    <t>CUST947</t>
  </si>
  <si>
    <t>Jordan Lopez</t>
  </si>
  <si>
    <t>PROD8885</t>
  </si>
  <si>
    <t>West Leahville</t>
  </si>
  <si>
    <t>Brown-Wood</t>
  </si>
  <si>
    <t>samanthaallen@collins.net</t>
  </si>
  <si>
    <t>ORD1550</t>
  </si>
  <si>
    <t>CUST245</t>
  </si>
  <si>
    <t>Donald Robertson</t>
  </si>
  <si>
    <t>PROD2317</t>
  </si>
  <si>
    <t>Lake Ralphport</t>
  </si>
  <si>
    <t>Rojas, Noble and Cuevas</t>
  </si>
  <si>
    <t>xmills@haynes.com</t>
  </si>
  <si>
    <t>ORD1551</t>
  </si>
  <si>
    <t>CUST631</t>
  </si>
  <si>
    <t>David Sherman</t>
  </si>
  <si>
    <t>PROD4783</t>
  </si>
  <si>
    <t>Gardnerfurt</t>
  </si>
  <si>
    <t>Fitzpatrick, Stevens and Gardner</t>
  </si>
  <si>
    <t>amanda49@rich.com</t>
  </si>
  <si>
    <t>ORD1552</t>
  </si>
  <si>
    <t>CUST623</t>
  </si>
  <si>
    <t>Kyle Hall</t>
  </si>
  <si>
    <t>PROD5887</t>
  </si>
  <si>
    <t>Andreastad</t>
  </si>
  <si>
    <t>Anderson, Morales and Nelson</t>
  </si>
  <si>
    <t>wmelton@hebert.biz</t>
  </si>
  <si>
    <t>ORD1553</t>
  </si>
  <si>
    <t>CUST494</t>
  </si>
  <si>
    <t>Tina Harrington</t>
  </si>
  <si>
    <t>PROD7388</t>
  </si>
  <si>
    <t>North Catherine</t>
  </si>
  <si>
    <t>Scott Ltd</t>
  </si>
  <si>
    <t>bobby75@martinez-evans.org</t>
  </si>
  <si>
    <t>ORD1554</t>
  </si>
  <si>
    <t>David Cowan</t>
  </si>
  <si>
    <t>PROD1379</t>
  </si>
  <si>
    <t>Port Brianside</t>
  </si>
  <si>
    <t>Murray LLC</t>
  </si>
  <si>
    <t>victoria14@proctor.com</t>
  </si>
  <si>
    <t>ORD1555</t>
  </si>
  <si>
    <t>Laura Campbell</t>
  </si>
  <si>
    <t>PROD6204</t>
  </si>
  <si>
    <t>Alexanderbury</t>
  </si>
  <si>
    <t>Proctor LLC</t>
  </si>
  <si>
    <t>caitlinmurphy@harris-horton.biz</t>
  </si>
  <si>
    <t>ORD1556</t>
  </si>
  <si>
    <t>CUST825</t>
  </si>
  <si>
    <t>Daniel Harrison</t>
  </si>
  <si>
    <t>PROD5186</t>
  </si>
  <si>
    <t>Millermouth</t>
  </si>
  <si>
    <t>Pitts, Nichols and Cook</t>
  </si>
  <si>
    <t>gregory83@skinner.com</t>
  </si>
  <si>
    <t>ORD1557</t>
  </si>
  <si>
    <t>Christopher Clarke</t>
  </si>
  <si>
    <t>PROD5749</t>
  </si>
  <si>
    <t>Williamsstad</t>
  </si>
  <si>
    <t>Newton, West and Moore</t>
  </si>
  <si>
    <t>lewisjason@stewart.net</t>
  </si>
  <si>
    <t>ORD1558</t>
  </si>
  <si>
    <t>CUST268</t>
  </si>
  <si>
    <t>Donna Jackson</t>
  </si>
  <si>
    <t>PROD2448</t>
  </si>
  <si>
    <t>Daughertyshire</t>
  </si>
  <si>
    <t>Costa, Blankenship and Woodward</t>
  </si>
  <si>
    <t>ruizlaura@wright.com</t>
  </si>
  <si>
    <t>ORD1559</t>
  </si>
  <si>
    <t>Alicia Gallegos</t>
  </si>
  <si>
    <t>PROD4184</t>
  </si>
  <si>
    <t>Brownchester</t>
  </si>
  <si>
    <t>Gardner PLC</t>
  </si>
  <si>
    <t>ihunt@white.info</t>
  </si>
  <si>
    <t>ORD1560</t>
  </si>
  <si>
    <t>April Mcgee</t>
  </si>
  <si>
    <t>Thomasstad</t>
  </si>
  <si>
    <t>Mcconnell, Jackson and Diaz</t>
  </si>
  <si>
    <t>williamdelacruz@johnson-byrd.com</t>
  </si>
  <si>
    <t>ORD1561</t>
  </si>
  <si>
    <t>CUST519</t>
  </si>
  <si>
    <t>David Carter</t>
  </si>
  <si>
    <t>West David</t>
  </si>
  <si>
    <t>Young-Ramirez</t>
  </si>
  <si>
    <t>ashley19@roberts.com</t>
  </si>
  <si>
    <t>ORD1562</t>
  </si>
  <si>
    <t>Margaret Hale</t>
  </si>
  <si>
    <t>PROD9430</t>
  </si>
  <si>
    <t>Kelleyport</t>
  </si>
  <si>
    <t>Anderson, Clark and Bowman</t>
  </si>
  <si>
    <t>seannguyen@fisher-rivas.com</t>
  </si>
  <si>
    <t>ORD1563</t>
  </si>
  <si>
    <t>Alyssa Henry</t>
  </si>
  <si>
    <t>PROD4161</t>
  </si>
  <si>
    <t>Matthewston</t>
  </si>
  <si>
    <t>Wilson, Johnson and Acevedo</t>
  </si>
  <si>
    <t>heather77@morris-padilla.net</t>
  </si>
  <si>
    <t>ORD1564</t>
  </si>
  <si>
    <t>CUST941</t>
  </si>
  <si>
    <t>Connor Pierce</t>
  </si>
  <si>
    <t>PROD9326</t>
  </si>
  <si>
    <t>North Amanda</t>
  </si>
  <si>
    <t>Cox, Thompson and Jones</t>
  </si>
  <si>
    <t>paulhenry@bryan-warren.biz</t>
  </si>
  <si>
    <t>ORD1565</t>
  </si>
  <si>
    <t>CUST449</t>
  </si>
  <si>
    <t>Miss Brittany Garcia MD</t>
  </si>
  <si>
    <t>PROD5724</t>
  </si>
  <si>
    <t>Javierchester</t>
  </si>
  <si>
    <t>Stevens, Smith and Larson</t>
  </si>
  <si>
    <t>bellsandra@newman.info</t>
  </si>
  <si>
    <t>ORD1566</t>
  </si>
  <si>
    <t>Anthony Miller</t>
  </si>
  <si>
    <t>PROD3112</t>
  </si>
  <si>
    <t>West Anthony</t>
  </si>
  <si>
    <t>Griffin-Thomas</t>
  </si>
  <si>
    <t>steven20@williams.com</t>
  </si>
  <si>
    <t>ORD1567</t>
  </si>
  <si>
    <t>Tyler Reeves</t>
  </si>
  <si>
    <t>PROD9153</t>
  </si>
  <si>
    <t>Hamiltonchester</t>
  </si>
  <si>
    <t>Nelson, Stephens and Lester</t>
  </si>
  <si>
    <t>dlambert@mcdonald.biz</t>
  </si>
  <si>
    <t>ORD1568</t>
  </si>
  <si>
    <t>CUST702</t>
  </si>
  <si>
    <t>Alicia Mckinney</t>
  </si>
  <si>
    <t>PROD5005</t>
  </si>
  <si>
    <t>Taylorshire</t>
  </si>
  <si>
    <t>Chapman-Turner</t>
  </si>
  <si>
    <t>fjones@santos.com</t>
  </si>
  <si>
    <t>ORD1569</t>
  </si>
  <si>
    <t>CUST388</t>
  </si>
  <si>
    <t>Dr. Travis Kelley</t>
  </si>
  <si>
    <t>PROD1920</t>
  </si>
  <si>
    <t>South Vanessaview</t>
  </si>
  <si>
    <t>Humphrey, West and Turner</t>
  </si>
  <si>
    <t>whitneyzachary@allen-donaldson.biz</t>
  </si>
  <si>
    <t>ORD1570</t>
  </si>
  <si>
    <t>Victoria Jones</t>
  </si>
  <si>
    <t>PROD2465</t>
  </si>
  <si>
    <t>Obrien-Fox</t>
  </si>
  <si>
    <t>qskinner@anderson.com</t>
  </si>
  <si>
    <t>ORD1571</t>
  </si>
  <si>
    <t>CUST793</t>
  </si>
  <si>
    <t>Travis Pham</t>
  </si>
  <si>
    <t>PROD6172</t>
  </si>
  <si>
    <t>Byrdview</t>
  </si>
  <si>
    <t>Wilson, Hansen and Green</t>
  </si>
  <si>
    <t>simsandrew@powell.info</t>
  </si>
  <si>
    <t>ORD1572</t>
  </si>
  <si>
    <t>Kimberly Ho</t>
  </si>
  <si>
    <t>PROD8305</t>
  </si>
  <si>
    <t>Lake Alicia</t>
  </si>
  <si>
    <t>Hall-Williams</t>
  </si>
  <si>
    <t>palmernancy@vance.com</t>
  </si>
  <si>
    <t>ORD1573</t>
  </si>
  <si>
    <t>Sean Moore</t>
  </si>
  <si>
    <t>PROD1391</t>
  </si>
  <si>
    <t>Murphyville</t>
  </si>
  <si>
    <t>Ewing, Wells and Hensley</t>
  </si>
  <si>
    <t>velasquezjoshua@reed.com</t>
  </si>
  <si>
    <t>ORD1574</t>
  </si>
  <si>
    <t>Garrett Ochoa</t>
  </si>
  <si>
    <t>PROD1339</t>
  </si>
  <si>
    <t>Rachaelborough</t>
  </si>
  <si>
    <t>Brady and Sons</t>
  </si>
  <si>
    <t>blake44@johnson.com</t>
  </si>
  <si>
    <t>ORD1575</t>
  </si>
  <si>
    <t>Shirley Leblanc</t>
  </si>
  <si>
    <t>PROD6814</t>
  </si>
  <si>
    <t>New Kimberly</t>
  </si>
  <si>
    <t>Brooks, Henry and Jones</t>
  </si>
  <si>
    <t>clarkeanna@wright-johnson.com</t>
  </si>
  <si>
    <t>ORD1576</t>
  </si>
  <si>
    <t>Brenda Wilkins DVM</t>
  </si>
  <si>
    <t>PROD7813</t>
  </si>
  <si>
    <t>Hessmouth</t>
  </si>
  <si>
    <t>Reed, Anderson and Bowers</t>
  </si>
  <si>
    <t>laura32@smith-hodge.org</t>
  </si>
  <si>
    <t>ORD1577</t>
  </si>
  <si>
    <t>CUST124</t>
  </si>
  <si>
    <t>Elijah Fuller</t>
  </si>
  <si>
    <t>PROD6612</t>
  </si>
  <si>
    <t>Mcconnellshire</t>
  </si>
  <si>
    <t>Miller-Wilson</t>
  </si>
  <si>
    <t>michelereed@vasquez-marsh.info</t>
  </si>
  <si>
    <t>ORD1578</t>
  </si>
  <si>
    <t>Michael Johnson</t>
  </si>
  <si>
    <t>PROD2748</t>
  </si>
  <si>
    <t>Johnsonland</t>
  </si>
  <si>
    <t>Hernandez-Martinez</t>
  </si>
  <si>
    <t>codydavis@powell.com</t>
  </si>
  <si>
    <t>ORD1579</t>
  </si>
  <si>
    <t>CUST826</t>
  </si>
  <si>
    <t>Don Lopez</t>
  </si>
  <si>
    <t>PROD1117</t>
  </si>
  <si>
    <t>East Annashire</t>
  </si>
  <si>
    <t>Sharp-Murphy</t>
  </si>
  <si>
    <t>david64@kelly.com</t>
  </si>
  <si>
    <t>ORD1580</t>
  </si>
  <si>
    <t>CUST831</t>
  </si>
  <si>
    <t>Danielle Stout</t>
  </si>
  <si>
    <t>PROD1318</t>
  </si>
  <si>
    <t>Burnsborough</t>
  </si>
  <si>
    <t>Jones LLC</t>
  </si>
  <si>
    <t>wduncan@nunez.info</t>
  </si>
  <si>
    <t>ORD1581</t>
  </si>
  <si>
    <t>Kelly Murray</t>
  </si>
  <si>
    <t>PROD4337</t>
  </si>
  <si>
    <t>Nicholasfort</t>
  </si>
  <si>
    <t>Rush, Wagner and Byrd</t>
  </si>
  <si>
    <t>nlewis@nielsen-haynes.net</t>
  </si>
  <si>
    <t>ORD1582</t>
  </si>
  <si>
    <t>Nicholas Barnes</t>
  </si>
  <si>
    <t>PROD2280</t>
  </si>
  <si>
    <t>Curtishaven</t>
  </si>
  <si>
    <t>Clay, Wells and Warren</t>
  </si>
  <si>
    <t>robertsonvalerie@duran.com</t>
  </si>
  <si>
    <t>ORD1583</t>
  </si>
  <si>
    <t>Sue Sandoval</t>
  </si>
  <si>
    <t>PROD7524</t>
  </si>
  <si>
    <t>Port Lisaland</t>
  </si>
  <si>
    <t>Collier-Jones</t>
  </si>
  <si>
    <t>douglasneal@torres.com</t>
  </si>
  <si>
    <t>ORD1584</t>
  </si>
  <si>
    <t>Michelle Austin</t>
  </si>
  <si>
    <t>PROD6980</t>
  </si>
  <si>
    <t>Danielleland</t>
  </si>
  <si>
    <t>Miller LLC</t>
  </si>
  <si>
    <t>mathewcarlson@hernandez-richmond.com</t>
  </si>
  <si>
    <t>ORD1585</t>
  </si>
  <si>
    <t>Felicia Mitchell</t>
  </si>
  <si>
    <t>Cassandraberg</t>
  </si>
  <si>
    <t>Miller, Mayer and Wells</t>
  </si>
  <si>
    <t>michael93@guzman.com</t>
  </si>
  <si>
    <t>ORD1586</t>
  </si>
  <si>
    <t>CUST835</t>
  </si>
  <si>
    <t>Ryan Jimenez</t>
  </si>
  <si>
    <t>PROD3284</t>
  </si>
  <si>
    <t>East Stephanie</t>
  </si>
  <si>
    <t>Downs-Cameron</t>
  </si>
  <si>
    <t>connie79@thompson-jackson.biz</t>
  </si>
  <si>
    <t>ORD1587</t>
  </si>
  <si>
    <t>Marcus Wagner</t>
  </si>
  <si>
    <t>PROD3089</t>
  </si>
  <si>
    <t>Granthaven</t>
  </si>
  <si>
    <t>Lane, King and Smith</t>
  </si>
  <si>
    <t>chambersmichael@clayton.net</t>
  </si>
  <si>
    <t>ORD1588</t>
  </si>
  <si>
    <t>CUST682</t>
  </si>
  <si>
    <t>Christina Smith</t>
  </si>
  <si>
    <t>PROD7551</t>
  </si>
  <si>
    <t>Perezmouth</t>
  </si>
  <si>
    <t>Herrera LLC</t>
  </si>
  <si>
    <t>harriswalter@ware-russell.com</t>
  </si>
  <si>
    <t>ORD1589</t>
  </si>
  <si>
    <t>CUST669</t>
  </si>
  <si>
    <t>James Moore</t>
  </si>
  <si>
    <t>PROD8692</t>
  </si>
  <si>
    <t>Kathleenport</t>
  </si>
  <si>
    <t>Perkins Inc</t>
  </si>
  <si>
    <t>schmittdonna@smith.com</t>
  </si>
  <si>
    <t>ORD1590</t>
  </si>
  <si>
    <t>Diane Kelley</t>
  </si>
  <si>
    <t>PROD7882</t>
  </si>
  <si>
    <t>East Matthew</t>
  </si>
  <si>
    <t>Smith and Sons</t>
  </si>
  <si>
    <t>eric23@williamson-lin.biz</t>
  </si>
  <si>
    <t>ORD1591</t>
  </si>
  <si>
    <t>CUST106</t>
  </si>
  <si>
    <t>Whitney Walters</t>
  </si>
  <si>
    <t>PROD5792</t>
  </si>
  <si>
    <t>Mcbride, Clayton and Young</t>
  </si>
  <si>
    <t>staylor@fitzgerald.com</t>
  </si>
  <si>
    <t>ORD1592</t>
  </si>
  <si>
    <t>Cristina Adams</t>
  </si>
  <si>
    <t>PROD5769</t>
  </si>
  <si>
    <t>Petersonbury</t>
  </si>
  <si>
    <t>Bush Inc</t>
  </si>
  <si>
    <t>whiteandrew@black.org</t>
  </si>
  <si>
    <t>ORD1593</t>
  </si>
  <si>
    <t>CUST927</t>
  </si>
  <si>
    <t>Wendy Rivas</t>
  </si>
  <si>
    <t>PROD6597</t>
  </si>
  <si>
    <t>Brown, Cooper and Pugh</t>
  </si>
  <si>
    <t>carlagarcia@ryan.com</t>
  </si>
  <si>
    <t>ORD1594</t>
  </si>
  <si>
    <t>Robin Kelley</t>
  </si>
  <si>
    <t>PROD5641</t>
  </si>
  <si>
    <t>North Emily</t>
  </si>
  <si>
    <t>Sullivan, Robles and Horton</t>
  </si>
  <si>
    <t>kellerteresa@meyers.org</t>
  </si>
  <si>
    <t>ORD1595</t>
  </si>
  <si>
    <t>CUST551</t>
  </si>
  <si>
    <t>Karen Navarro</t>
  </si>
  <si>
    <t>PROD3293</t>
  </si>
  <si>
    <t>Jenniferfort</t>
  </si>
  <si>
    <t>Chang PLC</t>
  </si>
  <si>
    <t>christopherday@oconnor.com</t>
  </si>
  <si>
    <t>ORD1596</t>
  </si>
  <si>
    <t>Stephen Cobb</t>
  </si>
  <si>
    <t>PROD4777</t>
  </si>
  <si>
    <t>Lake Dennisberg</t>
  </si>
  <si>
    <t>larry58@salinas.com</t>
  </si>
  <si>
    <t>ORD1597</t>
  </si>
  <si>
    <t>CUST833</t>
  </si>
  <si>
    <t>William Jones</t>
  </si>
  <si>
    <t>PROD5365</t>
  </si>
  <si>
    <t>Mirandashire</t>
  </si>
  <si>
    <t>Brown PLC</t>
  </si>
  <si>
    <t>anitawilliams@schneider.com</t>
  </si>
  <si>
    <t>ORD1598</t>
  </si>
  <si>
    <t>Michelle Payne</t>
  </si>
  <si>
    <t>PROD1079</t>
  </si>
  <si>
    <t>Hunterport</t>
  </si>
  <si>
    <t>Schneider-Jackson</t>
  </si>
  <si>
    <t>dgray@dean-parker.com</t>
  </si>
  <si>
    <t>ORD1599</t>
  </si>
  <si>
    <t>William Bowman</t>
  </si>
  <si>
    <t>Sabrinaport</t>
  </si>
  <si>
    <t>Brown, Perez and Taylor</t>
  </si>
  <si>
    <t>frances68@hines-underwood.biz</t>
  </si>
  <si>
    <t>ORD1600</t>
  </si>
  <si>
    <t>Katherine Hawkins</t>
  </si>
  <si>
    <t>PROD5045</t>
  </si>
  <si>
    <t>Laneton</t>
  </si>
  <si>
    <t>Baker-King</t>
  </si>
  <si>
    <t>gbrock@scott-griffin.com</t>
  </si>
  <si>
    <t>ORD1601</t>
  </si>
  <si>
    <t>Jerry Morgan MD</t>
  </si>
  <si>
    <t>PROD2649</t>
  </si>
  <si>
    <t>South William</t>
  </si>
  <si>
    <t>Krause, Ramirez and Booth</t>
  </si>
  <si>
    <t>rodneyrivera@frazier-crawford.com</t>
  </si>
  <si>
    <t>ORD1602</t>
  </si>
  <si>
    <t>Donald Walsh</t>
  </si>
  <si>
    <t>PROD4095</t>
  </si>
  <si>
    <t>Higginsview</t>
  </si>
  <si>
    <t>Douglas, Brown and Brown</t>
  </si>
  <si>
    <t>shawnstuart@contreras.org</t>
  </si>
  <si>
    <t>ORD1603</t>
  </si>
  <si>
    <t>Paige Skinner</t>
  </si>
  <si>
    <t>PROD3577</t>
  </si>
  <si>
    <t>Evansborough</t>
  </si>
  <si>
    <t>Smith, Harris and Perez</t>
  </si>
  <si>
    <t>colonlisa@finley-sutton.info</t>
  </si>
  <si>
    <t>ORD1604</t>
  </si>
  <si>
    <t>CUST475</t>
  </si>
  <si>
    <t>Alisha Allen</t>
  </si>
  <si>
    <t>PROD1891</t>
  </si>
  <si>
    <t>North Brianville</t>
  </si>
  <si>
    <t>Oneill-Owens</t>
  </si>
  <si>
    <t>william87@craig.com</t>
  </si>
  <si>
    <t>ORD1605</t>
  </si>
  <si>
    <t>Joseph Coleman</t>
  </si>
  <si>
    <t>PROD3222</t>
  </si>
  <si>
    <t>Ronaldtown</t>
  </si>
  <si>
    <t>Sutton-Serrano</t>
  </si>
  <si>
    <t>zparsons@thompson-mccarthy.net</t>
  </si>
  <si>
    <t>ORD1606</t>
  </si>
  <si>
    <t>CUST233</t>
  </si>
  <si>
    <t>Matthew Anderson</t>
  </si>
  <si>
    <t>PROD9292</t>
  </si>
  <si>
    <t>Port Bryanmouth</t>
  </si>
  <si>
    <t>Thomas-Spencer</t>
  </si>
  <si>
    <t>megan68@pratt.com</t>
  </si>
  <si>
    <t>ORD1607</t>
  </si>
  <si>
    <t>Richard Ochoa</t>
  </si>
  <si>
    <t>PROD9381</t>
  </si>
  <si>
    <t>Port Todd</t>
  </si>
  <si>
    <t>Lara, Hines and Beck</t>
  </si>
  <si>
    <t>swest@terry.biz</t>
  </si>
  <si>
    <t>ORD1608</t>
  </si>
  <si>
    <t>Patricia Pollard</t>
  </si>
  <si>
    <t>PROD8016</t>
  </si>
  <si>
    <t>Traceychester</t>
  </si>
  <si>
    <t>Atkins LLC</t>
  </si>
  <si>
    <t>yhale@fuller-wood.info</t>
  </si>
  <si>
    <t>ORD1609</t>
  </si>
  <si>
    <t>Kimberly Thompson</t>
  </si>
  <si>
    <t>PROD6492</t>
  </si>
  <si>
    <t>Jonesshire</t>
  </si>
  <si>
    <t>Ruiz LLC</t>
  </si>
  <si>
    <t>bgarcia@hall.com</t>
  </si>
  <si>
    <t>ORD1610</t>
  </si>
  <si>
    <t>Lauren Thomas</t>
  </si>
  <si>
    <t>PROD1492</t>
  </si>
  <si>
    <t>South Anthonyport</t>
  </si>
  <si>
    <t>Osborne-Dominguez</t>
  </si>
  <si>
    <t>westcolleen@peterson.com</t>
  </si>
  <si>
    <t>ORD1611</t>
  </si>
  <si>
    <t>Susan Morales</t>
  </si>
  <si>
    <t>PROD6534</t>
  </si>
  <si>
    <t>West John</t>
  </si>
  <si>
    <t>Anderson-Blackburn</t>
  </si>
  <si>
    <t>matthew58@smith.com</t>
  </si>
  <si>
    <t>ORD1612</t>
  </si>
  <si>
    <t>Mrs. Taylor Gomez</t>
  </si>
  <si>
    <t>PROD1885</t>
  </si>
  <si>
    <t>West Bill</t>
  </si>
  <si>
    <t>Patel, Todd and Vasquez</t>
  </si>
  <si>
    <t>phoward@murray.com</t>
  </si>
  <si>
    <t>ORD1613</t>
  </si>
  <si>
    <t>Diane Randolph</t>
  </si>
  <si>
    <t>PROD3667</t>
  </si>
  <si>
    <t>New Saraland</t>
  </si>
  <si>
    <t>Rice-Day</t>
  </si>
  <si>
    <t>robertle@robinson-thompson.com</t>
  </si>
  <si>
    <t>ORD1614</t>
  </si>
  <si>
    <t>Karen Johnson</t>
  </si>
  <si>
    <t>PROD7840</t>
  </si>
  <si>
    <t>Lake Abigailstad</t>
  </si>
  <si>
    <t>Juarez Inc</t>
  </si>
  <si>
    <t>kelseyfuentes@martinez.com</t>
  </si>
  <si>
    <t>ORD1615</t>
  </si>
  <si>
    <t>CUST418</t>
  </si>
  <si>
    <t>Tiffany Thompson</t>
  </si>
  <si>
    <t>PROD3945</t>
  </si>
  <si>
    <t>Cherylfurt</t>
  </si>
  <si>
    <t>Browning-Baker</t>
  </si>
  <si>
    <t>holly48@roach.net</t>
  </si>
  <si>
    <t>ORD1616</t>
  </si>
  <si>
    <t>CUST706</t>
  </si>
  <si>
    <t>Eric Sanchez</t>
  </si>
  <si>
    <t>PROD9573</t>
  </si>
  <si>
    <t>Tylertown</t>
  </si>
  <si>
    <t>Wilson, Lynn and Clarke</t>
  </si>
  <si>
    <t>lisa18@wright.com</t>
  </si>
  <si>
    <t>ORD1617</t>
  </si>
  <si>
    <t>CUST222</t>
  </si>
  <si>
    <t>Daniel Wilson</t>
  </si>
  <si>
    <t>PROD1042</t>
  </si>
  <si>
    <t>Hughesland</t>
  </si>
  <si>
    <t>Ross, Alexander and Rodriguez</t>
  </si>
  <si>
    <t>waltonalexander@buck-martin.com</t>
  </si>
  <si>
    <t>ORD1618</t>
  </si>
  <si>
    <t>Jennifer Johnston</t>
  </si>
  <si>
    <t>PROD4564</t>
  </si>
  <si>
    <t>Tonifurt</t>
  </si>
  <si>
    <t>Tran, Wilson and Fletcher</t>
  </si>
  <si>
    <t>josephjohnson@roth-perry.net</t>
  </si>
  <si>
    <t>ORD1619</t>
  </si>
  <si>
    <t>CUST837</t>
  </si>
  <si>
    <t>Jonathan Medina</t>
  </si>
  <si>
    <t>PROD7534</t>
  </si>
  <si>
    <t>Garnerstad</t>
  </si>
  <si>
    <t>Fletcher Inc</t>
  </si>
  <si>
    <t>ana16@simon-clark.com</t>
  </si>
  <si>
    <t>ORD1620</t>
  </si>
  <si>
    <t>Drew Smith</t>
  </si>
  <si>
    <t>PROD5237</t>
  </si>
  <si>
    <t>Cantuland</t>
  </si>
  <si>
    <t>Shah PLC</t>
  </si>
  <si>
    <t>evanstimothy@rice.com</t>
  </si>
  <si>
    <t>ORD1621</t>
  </si>
  <si>
    <t>Sarah Houston</t>
  </si>
  <si>
    <t>PROD3970</t>
  </si>
  <si>
    <t>Fletchertown</t>
  </si>
  <si>
    <t>Rodriguez-Miller</t>
  </si>
  <si>
    <t>molly34@williams.com</t>
  </si>
  <si>
    <t>ORD1622</t>
  </si>
  <si>
    <t>James Giles</t>
  </si>
  <si>
    <t>West Steveberg</t>
  </si>
  <si>
    <t>Hardy and Sons</t>
  </si>
  <si>
    <t>jennifercabrera@davis.org</t>
  </si>
  <si>
    <t>ORD1623</t>
  </si>
  <si>
    <t>Kyle Rivera</t>
  </si>
  <si>
    <t>PROD5909</t>
  </si>
  <si>
    <t>Marissaport</t>
  </si>
  <si>
    <t>Quinn Ltd</t>
  </si>
  <si>
    <t>kyle81@rivera-stewart.net</t>
  </si>
  <si>
    <t>ORD1624</t>
  </si>
  <si>
    <t>Adam Valencia</t>
  </si>
  <si>
    <t>PROD6473</t>
  </si>
  <si>
    <t>New Nicoleview</t>
  </si>
  <si>
    <t>Taylor Ltd</t>
  </si>
  <si>
    <t>ortegabrittany@moore.net</t>
  </si>
  <si>
    <t>ORD1625</t>
  </si>
  <si>
    <t>CUST276</t>
  </si>
  <si>
    <t>Christina Larson</t>
  </si>
  <si>
    <t>PROD7197</t>
  </si>
  <si>
    <t>West Sandra</t>
  </si>
  <si>
    <t>Hicks, Perkins and Burns</t>
  </si>
  <si>
    <t>graveskristin@morris.com</t>
  </si>
  <si>
    <t>ORD1626</t>
  </si>
  <si>
    <t>CUST331</t>
  </si>
  <si>
    <t>Mark Miller</t>
  </si>
  <si>
    <t>PROD5116</t>
  </si>
  <si>
    <t>North Johnnyberg</t>
  </si>
  <si>
    <t>Wolfe and Sons</t>
  </si>
  <si>
    <t>ericacollier@jimenez.com</t>
  </si>
  <si>
    <t>ORD1627</t>
  </si>
  <si>
    <t>Christopher Johnson</t>
  </si>
  <si>
    <t>PROD2024</t>
  </si>
  <si>
    <t>Lake Ryantown</t>
  </si>
  <si>
    <t>Walker Ltd</t>
  </si>
  <si>
    <t>johnsonjoseph@ramirez-miller.org</t>
  </si>
  <si>
    <t>ORD1628</t>
  </si>
  <si>
    <t>Jason Evans</t>
  </si>
  <si>
    <t>PROD9515</t>
  </si>
  <si>
    <t>West Abigailhaven</t>
  </si>
  <si>
    <t>Brown, Combs and Griffin</t>
  </si>
  <si>
    <t>marylam@peters-khan.org</t>
  </si>
  <si>
    <t>ORD1629</t>
  </si>
  <si>
    <t>Eddie Lewis</t>
  </si>
  <si>
    <t>PROD5775</t>
  </si>
  <si>
    <t>Julieburgh</t>
  </si>
  <si>
    <t>Lam-Flynn</t>
  </si>
  <si>
    <t>imartin@gomez-donaldson.net</t>
  </si>
  <si>
    <t>ORD1630</t>
  </si>
  <si>
    <t>CUST424</t>
  </si>
  <si>
    <t>Gary Schroeder</t>
  </si>
  <si>
    <t>PROD5065</t>
  </si>
  <si>
    <t>Rayland</t>
  </si>
  <si>
    <t>Frost Ltd</t>
  </si>
  <si>
    <t>wayne62@golden-rogers.com</t>
  </si>
  <si>
    <t>ORD1631</t>
  </si>
  <si>
    <t>CUST500</t>
  </si>
  <si>
    <t>Jennifer Freeman</t>
  </si>
  <si>
    <t>PROD8137</t>
  </si>
  <si>
    <t>Guzman PLC</t>
  </si>
  <si>
    <t>nashtaylor@meyers.org</t>
  </si>
  <si>
    <t>ORD1632</t>
  </si>
  <si>
    <t>Kelly Smith</t>
  </si>
  <si>
    <t>PROD3995</t>
  </si>
  <si>
    <t>South Ravenfurt</t>
  </si>
  <si>
    <t>Mendoza, White and Zuniga</t>
  </si>
  <si>
    <t>ocamacho@huff.com</t>
  </si>
  <si>
    <t>ORD1633</t>
  </si>
  <si>
    <t>Michelle Ramirez MD</t>
  </si>
  <si>
    <t>PROD2272</t>
  </si>
  <si>
    <t>Adamshire</t>
  </si>
  <si>
    <t>Baker, Peterson and Garcia</t>
  </si>
  <si>
    <t>nicole21@swanson.net</t>
  </si>
  <si>
    <t>ORD1634</t>
  </si>
  <si>
    <t>Ronald Diaz</t>
  </si>
  <si>
    <t>PROD9661</t>
  </si>
  <si>
    <t>West Nathaniel</t>
  </si>
  <si>
    <t>Mendoza, Leach and White</t>
  </si>
  <si>
    <t>burtoncatherine@ross.com</t>
  </si>
  <si>
    <t>ORD1635</t>
  </si>
  <si>
    <t>CUST935</t>
  </si>
  <si>
    <t>Anthony Vasquez</t>
  </si>
  <si>
    <t>PROD2363</t>
  </si>
  <si>
    <t>Carrieton</t>
  </si>
  <si>
    <t>Smith LLC</t>
  </si>
  <si>
    <t>boonesheena@brooks.com</t>
  </si>
  <si>
    <t>ORD1636</t>
  </si>
  <si>
    <t>CUST306</t>
  </si>
  <si>
    <t>Christopher Martin MD</t>
  </si>
  <si>
    <t>PROD4574</t>
  </si>
  <si>
    <t>Lake Andrea</t>
  </si>
  <si>
    <t>Murray, Jackson and Bell</t>
  </si>
  <si>
    <t>sheltonvictoria@cook.com</t>
  </si>
  <si>
    <t>ORD1637</t>
  </si>
  <si>
    <t>CUST607</t>
  </si>
  <si>
    <t>Manuel Johnson</t>
  </si>
  <si>
    <t>PROD6438</t>
  </si>
  <si>
    <t>Warnerhaven</t>
  </si>
  <si>
    <t>Edwards, Strickland and Williams</t>
  </si>
  <si>
    <t>shurley@ruiz-flores.com</t>
  </si>
  <si>
    <t>ORD1638</t>
  </si>
  <si>
    <t>CUST768</t>
  </si>
  <si>
    <t>Brian Gibbs</t>
  </si>
  <si>
    <t>PROD3035</t>
  </si>
  <si>
    <t>South Matthewton</t>
  </si>
  <si>
    <t>Kelly-Diaz</t>
  </si>
  <si>
    <t>znelson@boyer.com</t>
  </si>
  <si>
    <t>ORD1639</t>
  </si>
  <si>
    <t>Jordan Boyd</t>
  </si>
  <si>
    <t>PROD3967</t>
  </si>
  <si>
    <t>Anthonyberg</t>
  </si>
  <si>
    <t>Hicks, Adams and Kelly</t>
  </si>
  <si>
    <t>robinwatts@williams-yates.info</t>
  </si>
  <si>
    <t>ORD1640</t>
  </si>
  <si>
    <t>CUST139</t>
  </si>
  <si>
    <t>Ricardo Sanchez</t>
  </si>
  <si>
    <t>PROD5214</t>
  </si>
  <si>
    <t>Garciahaven</t>
  </si>
  <si>
    <t>George-Herrera</t>
  </si>
  <si>
    <t>charles13@strong.com</t>
  </si>
  <si>
    <t>ORD1641</t>
  </si>
  <si>
    <t>Gordon Castillo</t>
  </si>
  <si>
    <t>PROD9510</t>
  </si>
  <si>
    <t>Hartville</t>
  </si>
  <si>
    <t>Rodriguez-Acosta</t>
  </si>
  <si>
    <t>john53@cruz-howell.com</t>
  </si>
  <si>
    <t>ORD1642</t>
  </si>
  <si>
    <t>CUST639</t>
  </si>
  <si>
    <t>Lawrence Thompson</t>
  </si>
  <si>
    <t>PROD1304</t>
  </si>
  <si>
    <t>Patterson LLC</t>
  </si>
  <si>
    <t>tjohnson@bryan-simpson.com</t>
  </si>
  <si>
    <t>ORD1643</t>
  </si>
  <si>
    <t>CUST615</t>
  </si>
  <si>
    <t>Erin Garrison</t>
  </si>
  <si>
    <t>PROD3890</t>
  </si>
  <si>
    <t>Lake Nicholas</t>
  </si>
  <si>
    <t>Armstrong, Butler and Morris</t>
  </si>
  <si>
    <t>schroederjerry@butler.com</t>
  </si>
  <si>
    <t>ORD1644</t>
  </si>
  <si>
    <t>CUST827</t>
  </si>
  <si>
    <t>Joanne Hansen</t>
  </si>
  <si>
    <t>PROD4420</t>
  </si>
  <si>
    <t>North Kendra</t>
  </si>
  <si>
    <t>Armstrong and Sons</t>
  </si>
  <si>
    <t>shelly52@pierce.com</t>
  </si>
  <si>
    <t>ORD1645</t>
  </si>
  <si>
    <t>CUST121</t>
  </si>
  <si>
    <t>Kevin Jordan</t>
  </si>
  <si>
    <t>PROD9285</t>
  </si>
  <si>
    <t>Hillside</t>
  </si>
  <si>
    <t>Smith Group</t>
  </si>
  <si>
    <t>mcdonaldalan@shepherd.com</t>
  </si>
  <si>
    <t>ORD1646</t>
  </si>
  <si>
    <t>CUST364</t>
  </si>
  <si>
    <t>Richard Santiago</t>
  </si>
  <si>
    <t>Potterfort</t>
  </si>
  <si>
    <t>Harris, Whitney and Brown</t>
  </si>
  <si>
    <t>kharris@harrison.info</t>
  </si>
  <si>
    <t>ORD1647</t>
  </si>
  <si>
    <t>CUST351</t>
  </si>
  <si>
    <t>Kyle Moyer</t>
  </si>
  <si>
    <t>PROD5020</t>
  </si>
  <si>
    <t>Port Erinside</t>
  </si>
  <si>
    <t>Davis Group</t>
  </si>
  <si>
    <t>brad47@watson-cline.info</t>
  </si>
  <si>
    <t>ORD1648</t>
  </si>
  <si>
    <t>Abigail Callahan</t>
  </si>
  <si>
    <t>PROD3414</t>
  </si>
  <si>
    <t>Maryfort</t>
  </si>
  <si>
    <t>Cox-Woods</t>
  </si>
  <si>
    <t>tammiedavis@knight.com</t>
  </si>
  <si>
    <t>ORD1649</t>
  </si>
  <si>
    <t>Maria Beard</t>
  </si>
  <si>
    <t>PROD8796</t>
  </si>
  <si>
    <t>Geraldchester</t>
  </si>
  <si>
    <t>Garcia, Haas and Flynn</t>
  </si>
  <si>
    <t>mccalltimothy@freeman-vasquez.com</t>
  </si>
  <si>
    <t>ORD1650</t>
  </si>
  <si>
    <t>Michelle Ellis</t>
  </si>
  <si>
    <t>Jonstad</t>
  </si>
  <si>
    <t>Warren, Flores and Mack</t>
  </si>
  <si>
    <t>karenbrown@foster.info</t>
  </si>
  <si>
    <t>ORD1651</t>
  </si>
  <si>
    <t>CUST965</t>
  </si>
  <si>
    <t>Dr. James Brooks</t>
  </si>
  <si>
    <t>PROD5270</t>
  </si>
  <si>
    <t>Lake Alan</t>
  </si>
  <si>
    <t>Morris, Jackson and Lambert</t>
  </si>
  <si>
    <t>douglas80@wong.org</t>
  </si>
  <si>
    <t>ORD1652</t>
  </si>
  <si>
    <t>Todd Johnston</t>
  </si>
  <si>
    <t>PROD5210</t>
  </si>
  <si>
    <t>East Brandonborough</t>
  </si>
  <si>
    <t>Garner-Rasmussen</t>
  </si>
  <si>
    <t>jerry46@quinn.com</t>
  </si>
  <si>
    <t>ORD1653</t>
  </si>
  <si>
    <t>CUST649</t>
  </si>
  <si>
    <t>Carrie Stevenson</t>
  </si>
  <si>
    <t>PROD6346</t>
  </si>
  <si>
    <t>New Kaitlynland</t>
  </si>
  <si>
    <t>Hansen PLC</t>
  </si>
  <si>
    <t>cweaver@sims-oconnor.com</t>
  </si>
  <si>
    <t>ORD1654</t>
  </si>
  <si>
    <t>CUST458</t>
  </si>
  <si>
    <t>Christopher Bryant</t>
  </si>
  <si>
    <t>PROD9132</t>
  </si>
  <si>
    <t>Laurenshire</t>
  </si>
  <si>
    <t>Marsh Ltd</t>
  </si>
  <si>
    <t>wlucas@phillips-burke.com</t>
  </si>
  <si>
    <t>ORD1655</t>
  </si>
  <si>
    <t>CUST334</t>
  </si>
  <si>
    <t>Thomas Cain</t>
  </si>
  <si>
    <t>PROD1020</t>
  </si>
  <si>
    <t>West Davidland</t>
  </si>
  <si>
    <t>amandabuck@bailey-kent.com</t>
  </si>
  <si>
    <t>ORD1656</t>
  </si>
  <si>
    <t>CUST868</t>
  </si>
  <si>
    <t>Julia Olsen</t>
  </si>
  <si>
    <t>PROD5619</t>
  </si>
  <si>
    <t>North Stephaniehaven</t>
  </si>
  <si>
    <t>Montgomery Group</t>
  </si>
  <si>
    <t>lisa26@cox.com</t>
  </si>
  <si>
    <t>ORD1657</t>
  </si>
  <si>
    <t>Shawn Silva</t>
  </si>
  <si>
    <t>PROD7045</t>
  </si>
  <si>
    <t>South Arthurville</t>
  </si>
  <si>
    <t>Callahan LLC</t>
  </si>
  <si>
    <t>cpittman@hill-white.com</t>
  </si>
  <si>
    <t>ORD1658</t>
  </si>
  <si>
    <t>CUST675</t>
  </si>
  <si>
    <t>Cynthia Johnson</t>
  </si>
  <si>
    <t>PROD9582</t>
  </si>
  <si>
    <t>Brianside</t>
  </si>
  <si>
    <t>Palmer-Brewer</t>
  </si>
  <si>
    <t>susanadams@johnson.com</t>
  </si>
  <si>
    <t>ORD1659</t>
  </si>
  <si>
    <t>Cheryl Nunez</t>
  </si>
  <si>
    <t>PROD8468</t>
  </si>
  <si>
    <t>Lake Melissaborough</t>
  </si>
  <si>
    <t>Cochran, Sampson and Moore</t>
  </si>
  <si>
    <t>qmurray@gutierrez-barnes.org</t>
  </si>
  <si>
    <t>ORD1660</t>
  </si>
  <si>
    <t>Amanda Carrillo</t>
  </si>
  <si>
    <t>PROD4204</t>
  </si>
  <si>
    <t>Penaton</t>
  </si>
  <si>
    <t>Keith-Velazquez</t>
  </si>
  <si>
    <t>rwood@summers.com</t>
  </si>
  <si>
    <t>ORD1661</t>
  </si>
  <si>
    <t>CUST770</t>
  </si>
  <si>
    <t>Juan Dunn</t>
  </si>
  <si>
    <t>PROD5940</t>
  </si>
  <si>
    <t>Oneilltown</t>
  </si>
  <si>
    <t>Perkins-Black</t>
  </si>
  <si>
    <t>youngcourtney@waters.com</t>
  </si>
  <si>
    <t>ORD1662</t>
  </si>
  <si>
    <t>Traci Haas</t>
  </si>
  <si>
    <t>PROD1532</t>
  </si>
  <si>
    <t>East Stevenchester</t>
  </si>
  <si>
    <t>Diaz-Farmer</t>
  </si>
  <si>
    <t>heather08@richards-smith.com</t>
  </si>
  <si>
    <t>ORD1663</t>
  </si>
  <si>
    <t>Patrick Young</t>
  </si>
  <si>
    <t>PROD9826</t>
  </si>
  <si>
    <t>South Elizabethmouth</t>
  </si>
  <si>
    <t>Brooks, Cooper and Valentine</t>
  </si>
  <si>
    <t>reeddarrell@price-lawson.com</t>
  </si>
  <si>
    <t>ORD1664</t>
  </si>
  <si>
    <t>Keith Owens</t>
  </si>
  <si>
    <t>PROD3063</t>
  </si>
  <si>
    <t>Port Deniseland</t>
  </si>
  <si>
    <t>Powell, Richardson and Shepard</t>
  </si>
  <si>
    <t>seth95@singh-brown.biz</t>
  </si>
  <si>
    <t>ORD1665</t>
  </si>
  <si>
    <t>Paula Greene</t>
  </si>
  <si>
    <t>PROD9798</t>
  </si>
  <si>
    <t>East Adrianahaven</t>
  </si>
  <si>
    <t>Webb LLC</t>
  </si>
  <si>
    <t>espinozajason@doyle.com</t>
  </si>
  <si>
    <t>ORD1666</t>
  </si>
  <si>
    <t>CUST943</t>
  </si>
  <si>
    <t>Stephen Austin</t>
  </si>
  <si>
    <t>PROD6292</t>
  </si>
  <si>
    <t>Martinmouth</t>
  </si>
  <si>
    <t>Parsons-Guzman</t>
  </si>
  <si>
    <t>john54@lewis.net</t>
  </si>
  <si>
    <t>ORD1667</t>
  </si>
  <si>
    <t>Kimberly Nunez</t>
  </si>
  <si>
    <t>PROD8600</t>
  </si>
  <si>
    <t>West Autumnside</t>
  </si>
  <si>
    <t>Lambert Group</t>
  </si>
  <si>
    <t>melissa57@zavala.org</t>
  </si>
  <si>
    <t>ORD1668</t>
  </si>
  <si>
    <t>Amanda Wolf</t>
  </si>
  <si>
    <t>PROD2293</t>
  </si>
  <si>
    <t>Miller-Carlson</t>
  </si>
  <si>
    <t>hancockjimmy@love.org</t>
  </si>
  <si>
    <t>ORD1669</t>
  </si>
  <si>
    <t>CUST292</t>
  </si>
  <si>
    <t>Sara Olson</t>
  </si>
  <si>
    <t>PROD7572</t>
  </si>
  <si>
    <t>Robertton</t>
  </si>
  <si>
    <t>Suarez Ltd</t>
  </si>
  <si>
    <t>cassandra30@lamb.net</t>
  </si>
  <si>
    <t>ORD1670</t>
  </si>
  <si>
    <t>Christine Blevins</t>
  </si>
  <si>
    <t>PROD4609</t>
  </si>
  <si>
    <t>Nguyen, Dyer and Fox</t>
  </si>
  <si>
    <t>catherine35@dawson-turner.com</t>
  </si>
  <si>
    <t>ORD1671</t>
  </si>
  <si>
    <t>Joshua Zavala</t>
  </si>
  <si>
    <t>PROD6065</t>
  </si>
  <si>
    <t>Lake Steven</t>
  </si>
  <si>
    <t>Evans, Mcknight and Moore</t>
  </si>
  <si>
    <t>cmorris@padilla.biz</t>
  </si>
  <si>
    <t>ORD1672</t>
  </si>
  <si>
    <t>CUST555</t>
  </si>
  <si>
    <t>Larryfort</t>
  </si>
  <si>
    <t>Anderson-Miller</t>
  </si>
  <si>
    <t>jamesdean@scott-wilson.biz</t>
  </si>
  <si>
    <t>ORD1673</t>
  </si>
  <si>
    <t>CUST677</t>
  </si>
  <si>
    <t>Brian Landry</t>
  </si>
  <si>
    <t>PROD4765</t>
  </si>
  <si>
    <t>Barkerland</t>
  </si>
  <si>
    <t>Garcia-Greer</t>
  </si>
  <si>
    <t>timothyadams@espinoza.com</t>
  </si>
  <si>
    <t>ORD1674</t>
  </si>
  <si>
    <t>Mary Lara</t>
  </si>
  <si>
    <t>PROD4616</t>
  </si>
  <si>
    <t>Roytown</t>
  </si>
  <si>
    <t>Long LLC</t>
  </si>
  <si>
    <t>richardgomez@spencer.com</t>
  </si>
  <si>
    <t>ORD1675</t>
  </si>
  <si>
    <t>Tina Perkins</t>
  </si>
  <si>
    <t>PROD5252</t>
  </si>
  <si>
    <t>Collinschester</t>
  </si>
  <si>
    <t>Deleon-Huerta</t>
  </si>
  <si>
    <t>iponce@fuller.com</t>
  </si>
  <si>
    <t>ORD1676</t>
  </si>
  <si>
    <t>Debbie Romero</t>
  </si>
  <si>
    <t>PROD2720</t>
  </si>
  <si>
    <t>Wrighttown</t>
  </si>
  <si>
    <t>stephaniecombs@martin.com</t>
  </si>
  <si>
    <t>ORD1677</t>
  </si>
  <si>
    <t>CUST202</t>
  </si>
  <si>
    <t>Matthew Cook</t>
  </si>
  <si>
    <t>PROD9611</t>
  </si>
  <si>
    <t>Wilsonburgh</t>
  </si>
  <si>
    <t>Roberts-Barker</t>
  </si>
  <si>
    <t>fosterkiara@simpson.com</t>
  </si>
  <si>
    <t>ORD1678</t>
  </si>
  <si>
    <t>Katherine Jimenez</t>
  </si>
  <si>
    <t>PROD1172</t>
  </si>
  <si>
    <t>New Sarah</t>
  </si>
  <si>
    <t>Brandt-Gilbert</t>
  </si>
  <si>
    <t>sandersmanuel@johnson-thomas.org</t>
  </si>
  <si>
    <t>ORD1679</t>
  </si>
  <si>
    <t>Rebecca Harris</t>
  </si>
  <si>
    <t>PROD6867</t>
  </si>
  <si>
    <t>New Genefurt</t>
  </si>
  <si>
    <t>Rodriguez Inc</t>
  </si>
  <si>
    <t>shawn16@schultz.com</t>
  </si>
  <si>
    <t>ORD1680</t>
  </si>
  <si>
    <t>CUST499</t>
  </si>
  <si>
    <t>Wesley Ruiz</t>
  </si>
  <si>
    <t>PROD4638</t>
  </si>
  <si>
    <t>Port Daniel</t>
  </si>
  <si>
    <t>Anderson, Martinez and Frederick</t>
  </si>
  <si>
    <t>debra66@kennedy.com</t>
  </si>
  <si>
    <t>ORD1681</t>
  </si>
  <si>
    <t>CUST548</t>
  </si>
  <si>
    <t>Christopher Anderson</t>
  </si>
  <si>
    <t>PROD4119</t>
  </si>
  <si>
    <t>Suzanneton</t>
  </si>
  <si>
    <t>Porter Ltd</t>
  </si>
  <si>
    <t>allenvanessa@lloyd.com</t>
  </si>
  <si>
    <t>ORD1682</t>
  </si>
  <si>
    <t>Lacey Heath</t>
  </si>
  <si>
    <t>PROD2137</t>
  </si>
  <si>
    <t>East Michelle</t>
  </si>
  <si>
    <t>Potts-Middleton</t>
  </si>
  <si>
    <t>xdeleon@garza.com</t>
  </si>
  <si>
    <t>ORD1683</t>
  </si>
  <si>
    <t>Kyle Turner</t>
  </si>
  <si>
    <t>PROD3785</t>
  </si>
  <si>
    <t>Josemouth</t>
  </si>
  <si>
    <t>Cooper, Johnson and Bryan</t>
  </si>
  <si>
    <t>pruittjames@proctor-york.com</t>
  </si>
  <si>
    <t>ORD1684</t>
  </si>
  <si>
    <t>Juan Torres</t>
  </si>
  <si>
    <t>PROD3657</t>
  </si>
  <si>
    <t>Fischer-Anderson</t>
  </si>
  <si>
    <t>joy01@best.org</t>
  </si>
  <si>
    <t>ORD1685</t>
  </si>
  <si>
    <t>David Spencer</t>
  </si>
  <si>
    <t>PROD7090</t>
  </si>
  <si>
    <t>Foxside</t>
  </si>
  <si>
    <t>Lopez Ltd</t>
  </si>
  <si>
    <t>lreyes@graves.net</t>
  </si>
  <si>
    <t>ORD1686</t>
  </si>
  <si>
    <t>CUST541</t>
  </si>
  <si>
    <t>Andrew Patel</t>
  </si>
  <si>
    <t>PROD2496</t>
  </si>
  <si>
    <t>Fields and Sons</t>
  </si>
  <si>
    <t>robinsontammy@lewis-davis.net</t>
  </si>
  <si>
    <t>ORD1687</t>
  </si>
  <si>
    <t>Kevin Carpenter</t>
  </si>
  <si>
    <t>PROD1509</t>
  </si>
  <si>
    <t>North Brianna</t>
  </si>
  <si>
    <t>Byrd Inc</t>
  </si>
  <si>
    <t>clinton95@thomas.com</t>
  </si>
  <si>
    <t>ORD1688</t>
  </si>
  <si>
    <t>CUST569</t>
  </si>
  <si>
    <t>Emily Payne</t>
  </si>
  <si>
    <t>PROD9119</t>
  </si>
  <si>
    <t>East Jeffreytown</t>
  </si>
  <si>
    <t>Nichols and Sons</t>
  </si>
  <si>
    <t>nicholaskelley@joyce-oneal.com</t>
  </si>
  <si>
    <t>ORD1689</t>
  </si>
  <si>
    <t>CUST157</t>
  </si>
  <si>
    <t>Brandi Martinez</t>
  </si>
  <si>
    <t>PROD2651</t>
  </si>
  <si>
    <t>East Michael</t>
  </si>
  <si>
    <t>Clark LLC</t>
  </si>
  <si>
    <t>stephanieanderson@little.com</t>
  </si>
  <si>
    <t>ORD1690</t>
  </si>
  <si>
    <t>CUST105</t>
  </si>
  <si>
    <t>Cheryl Sellers</t>
  </si>
  <si>
    <t>PROD6245</t>
  </si>
  <si>
    <t>Lindseyfort</t>
  </si>
  <si>
    <t>Lopez-Wiggins</t>
  </si>
  <si>
    <t>peterwilliams@ward-smith.info</t>
  </si>
  <si>
    <t>ORD1691</t>
  </si>
  <si>
    <t>Summer Patrick</t>
  </si>
  <si>
    <t>PROD4960</t>
  </si>
  <si>
    <t>Port Louisberg</t>
  </si>
  <si>
    <t>Patterson-Hardin</t>
  </si>
  <si>
    <t>ashleysalas@herrera.com</t>
  </si>
  <si>
    <t>ORD1692</t>
  </si>
  <si>
    <t>Brittany Hammond</t>
  </si>
  <si>
    <t>PROD7133</t>
  </si>
  <si>
    <t>Sharonland</t>
  </si>
  <si>
    <t>Williams Inc</t>
  </si>
  <si>
    <t>sarah04@wood-bell.com</t>
  </si>
  <si>
    <t>ORD1693</t>
  </si>
  <si>
    <t>CUST234</t>
  </si>
  <si>
    <t>John Smith</t>
  </si>
  <si>
    <t>Philipborough</t>
  </si>
  <si>
    <t>Savage and Sons</t>
  </si>
  <si>
    <t>kristanelson@chavez.biz</t>
  </si>
  <si>
    <t>ORD1694</t>
  </si>
  <si>
    <t>Todd Smith</t>
  </si>
  <si>
    <t>PROD7711</t>
  </si>
  <si>
    <t>Hinestown</t>
  </si>
  <si>
    <t>Costa Inc</t>
  </si>
  <si>
    <t>carlosbernard@knight.com</t>
  </si>
  <si>
    <t>ORD1695</t>
  </si>
  <si>
    <t>CUST731</t>
  </si>
  <si>
    <t>Joseph Hill</t>
  </si>
  <si>
    <t>North Geraldshire</t>
  </si>
  <si>
    <t>Sanders, Kelly and Chaney</t>
  </si>
  <si>
    <t>thomasdevin@bailey-oconnor.biz</t>
  </si>
  <si>
    <t>ORD1696</t>
  </si>
  <si>
    <t>Cody Cobb</t>
  </si>
  <si>
    <t>PROD3082</t>
  </si>
  <si>
    <t>North Lori</t>
  </si>
  <si>
    <t>Mejia, Hernandez and Taylor</t>
  </si>
  <si>
    <t>davischeyenne@wong.com</t>
  </si>
  <si>
    <t>ORD1697</t>
  </si>
  <si>
    <t>Jerry Young</t>
  </si>
  <si>
    <t>PROD1944</t>
  </si>
  <si>
    <t>Justinville</t>
  </si>
  <si>
    <t>Russell-Marshall</t>
  </si>
  <si>
    <t>qthompson@smith.net</t>
  </si>
  <si>
    <t>ORD1698</t>
  </si>
  <si>
    <t>Mike Hansen</t>
  </si>
  <si>
    <t>PROD2009</t>
  </si>
  <si>
    <t>Taylorstad</t>
  </si>
  <si>
    <t>Walker PLC</t>
  </si>
  <si>
    <t>amanda08@turner.org</t>
  </si>
  <si>
    <t>ORD1699</t>
  </si>
  <si>
    <t>CUST690</t>
  </si>
  <si>
    <t>Samantha Obrien</t>
  </si>
  <si>
    <t>PROD6788</t>
  </si>
  <si>
    <t>South Jameshaven</t>
  </si>
  <si>
    <t>Owens-Duran</t>
  </si>
  <si>
    <t>walkerrobert@mckenzie-butler.com</t>
  </si>
  <si>
    <t>ORD1700</t>
  </si>
  <si>
    <t>CUST869</t>
  </si>
  <si>
    <t>Michael Sanchez</t>
  </si>
  <si>
    <t>PROD8162</t>
  </si>
  <si>
    <t>Port Keithchester</t>
  </si>
  <si>
    <t>Green, Thomas and Ward</t>
  </si>
  <si>
    <t>mikeyoung@guerrero.info</t>
  </si>
  <si>
    <t>ORD1701</t>
  </si>
  <si>
    <t>Troy Collins</t>
  </si>
  <si>
    <t>PROD4670</t>
  </si>
  <si>
    <t>East Amy</t>
  </si>
  <si>
    <t>Page, Greene and Moore</t>
  </si>
  <si>
    <t>brownshirley@vargas.biz</t>
  </si>
  <si>
    <t>ORD1702</t>
  </si>
  <si>
    <t>CUST303</t>
  </si>
  <si>
    <t>Nicole Wolfe</t>
  </si>
  <si>
    <t>PROD7818</t>
  </si>
  <si>
    <t>Ryanville</t>
  </si>
  <si>
    <t>Hayes-Walker</t>
  </si>
  <si>
    <t>qaustin@lucas.com</t>
  </si>
  <si>
    <t>ORD1703</t>
  </si>
  <si>
    <t>Martin Boyer</t>
  </si>
  <si>
    <t>PROD8123</t>
  </si>
  <si>
    <t>South Debbie</t>
  </si>
  <si>
    <t>Ellis Ltd</t>
  </si>
  <si>
    <t>dalegordon@morrison-arias.org</t>
  </si>
  <si>
    <t>ORD1704</t>
  </si>
  <si>
    <t>Thomas Brooks</t>
  </si>
  <si>
    <t>PROD6967</t>
  </si>
  <si>
    <t>New Russellfort</t>
  </si>
  <si>
    <t>Rogers, West and Erickson</t>
  </si>
  <si>
    <t>hsanchez@skinner.com</t>
  </si>
  <si>
    <t>ORD1705</t>
  </si>
  <si>
    <t>James Smith</t>
  </si>
  <si>
    <t>Haleybury</t>
  </si>
  <si>
    <t>andrewsryan@young.com</t>
  </si>
  <si>
    <t>ORD1706</t>
  </si>
  <si>
    <t>CUST227</t>
  </si>
  <si>
    <t>Deborah Payne</t>
  </si>
  <si>
    <t>PROD2922</t>
  </si>
  <si>
    <t>Lindsaymouth</t>
  </si>
  <si>
    <t>Garcia Group</t>
  </si>
  <si>
    <t>nicholasburke@hale-sweeney.org</t>
  </si>
  <si>
    <t>ORD1707</t>
  </si>
  <si>
    <t>CUST848</t>
  </si>
  <si>
    <t>Amanda Carson</t>
  </si>
  <si>
    <t>PROD3830</t>
  </si>
  <si>
    <t>Erinfurt</t>
  </si>
  <si>
    <t>Thomas Inc</t>
  </si>
  <si>
    <t>halvarez@blake.net</t>
  </si>
  <si>
    <t>ORD1708</t>
  </si>
  <si>
    <t>CUST751</t>
  </si>
  <si>
    <t>Chase Moran Jr.</t>
  </si>
  <si>
    <t>PROD8174</t>
  </si>
  <si>
    <t>West Heather</t>
  </si>
  <si>
    <t>Friedman LLC</t>
  </si>
  <si>
    <t>stephanie44@wood-odom.com</t>
  </si>
  <si>
    <t>ORD1709</t>
  </si>
  <si>
    <t>CUST471</t>
  </si>
  <si>
    <t>Charles Johnson</t>
  </si>
  <si>
    <t>PROD7615</t>
  </si>
  <si>
    <t>North Johnport</t>
  </si>
  <si>
    <t>Mccullough, Garcia and Parker</t>
  </si>
  <si>
    <t>leslie32@may-horn.org</t>
  </si>
  <si>
    <t>ORD1710</t>
  </si>
  <si>
    <t>Mr. Lawrence Sampson</t>
  </si>
  <si>
    <t>PROD9263</t>
  </si>
  <si>
    <t>Port David</t>
  </si>
  <si>
    <t>Taylor-Maynard</t>
  </si>
  <si>
    <t>andersonmathew@cooper.biz</t>
  </si>
  <si>
    <t>ORD1711</t>
  </si>
  <si>
    <t>CUST294</t>
  </si>
  <si>
    <t>John George</t>
  </si>
  <si>
    <t>East Brianside</t>
  </si>
  <si>
    <t>Little PLC</t>
  </si>
  <si>
    <t>michael34@mitchell-reed.com</t>
  </si>
  <si>
    <t>ORD1712</t>
  </si>
  <si>
    <t>Robin Austin</t>
  </si>
  <si>
    <t>PROD8193</t>
  </si>
  <si>
    <t>East Johnstad</t>
  </si>
  <si>
    <t>Michael LLC</t>
  </si>
  <si>
    <t>jason60@mays.com</t>
  </si>
  <si>
    <t>ORD1713</t>
  </si>
  <si>
    <t>Ryan Taylor</t>
  </si>
  <si>
    <t>PROD9703</t>
  </si>
  <si>
    <t>East Dakota</t>
  </si>
  <si>
    <t>Nash-Bradley</t>
  </si>
  <si>
    <t>jamie45@thompson.com</t>
  </si>
  <si>
    <t>ORD1714</t>
  </si>
  <si>
    <t>CUST247</t>
  </si>
  <si>
    <t>Mark Cobb</t>
  </si>
  <si>
    <t>PROD8121</t>
  </si>
  <si>
    <t>North Alexamouth</t>
  </si>
  <si>
    <t>Kirk, Cook and Page</t>
  </si>
  <si>
    <t>ibarramike@mcintosh-lucero.com</t>
  </si>
  <si>
    <t>ORD1715</t>
  </si>
  <si>
    <t>Jessica Henderson</t>
  </si>
  <si>
    <t>PROD7170</t>
  </si>
  <si>
    <t>Davidhaven</t>
  </si>
  <si>
    <t>Townsend and Sons</t>
  </si>
  <si>
    <t>sbarber@rodriguez-davis.info</t>
  </si>
  <si>
    <t>ORD1716</t>
  </si>
  <si>
    <t>CUST508</t>
  </si>
  <si>
    <t>Vincent Howard</t>
  </si>
  <si>
    <t>PROD3664</t>
  </si>
  <si>
    <t>Taylorfort</t>
  </si>
  <si>
    <t>Curtis-Cummings</t>
  </si>
  <si>
    <t>charlesdavis@bernard.com</t>
  </si>
  <si>
    <t>ORD1717</t>
  </si>
  <si>
    <t>Anthony Stuart</t>
  </si>
  <si>
    <t>PROD4264</t>
  </si>
  <si>
    <t>Mercadoton</t>
  </si>
  <si>
    <t>Hughes-York</t>
  </si>
  <si>
    <t>jesse90@wilson-griffith.biz</t>
  </si>
  <si>
    <t>ORD1718</t>
  </si>
  <si>
    <t>CUST194</t>
  </si>
  <si>
    <t>Benjamin Perry</t>
  </si>
  <si>
    <t>PROD4428</t>
  </si>
  <si>
    <t>Jenkinstown</t>
  </si>
  <si>
    <t>Villanueva LLC</t>
  </si>
  <si>
    <t>irobles@crawford-flores.com</t>
  </si>
  <si>
    <t>ORD1719</t>
  </si>
  <si>
    <t>Danielle Williams</t>
  </si>
  <si>
    <t>PROD4782</t>
  </si>
  <si>
    <t>South Lesliefort</t>
  </si>
  <si>
    <t>Graham and Sons</t>
  </si>
  <si>
    <t>dpayne@fisher.biz</t>
  </si>
  <si>
    <t>ORD1720</t>
  </si>
  <si>
    <t>Steven Jones</t>
  </si>
  <si>
    <t>PROD2586</t>
  </si>
  <si>
    <t>Aguilarville</t>
  </si>
  <si>
    <t>Williamson Inc</t>
  </si>
  <si>
    <t>plittle@macias.info</t>
  </si>
  <si>
    <t>ORD1721</t>
  </si>
  <si>
    <t>Cynthia Morris</t>
  </si>
  <si>
    <t>PROD4360</t>
  </si>
  <si>
    <t>North Max</t>
  </si>
  <si>
    <t>Little-Trujillo</t>
  </si>
  <si>
    <t>gdean@beck-walters.com</t>
  </si>
  <si>
    <t>ORD1722</t>
  </si>
  <si>
    <t>Jessica Mooney</t>
  </si>
  <si>
    <t>PROD4278</t>
  </si>
  <si>
    <t>Susanberg</t>
  </si>
  <si>
    <t>Potter Group</t>
  </si>
  <si>
    <t>amyrios@miller.info</t>
  </si>
  <si>
    <t>ORD1723</t>
  </si>
  <si>
    <t>Jesus Farley</t>
  </si>
  <si>
    <t>PROD3201</t>
  </si>
  <si>
    <t>East Alex</t>
  </si>
  <si>
    <t>Castillo, Smith and Smith</t>
  </si>
  <si>
    <t>ebeck@cunningham.net</t>
  </si>
  <si>
    <t>ORD1724</t>
  </si>
  <si>
    <t>Zachary Johnson</t>
  </si>
  <si>
    <t>Yangberg</t>
  </si>
  <si>
    <t>Johnston, Crawford and Perez</t>
  </si>
  <si>
    <t>courtneyhester@cooper.com</t>
  </si>
  <si>
    <t>ORD1725</t>
  </si>
  <si>
    <t>CUST822</t>
  </si>
  <si>
    <t>Betty Henderson</t>
  </si>
  <si>
    <t>PROD4579</t>
  </si>
  <si>
    <t>Davidsonhaven</t>
  </si>
  <si>
    <t>Odonnell-Soto</t>
  </si>
  <si>
    <t>andrew88@cox-mckenzie.com</t>
  </si>
  <si>
    <t>ORD1726</t>
  </si>
  <si>
    <t>Michael Hall</t>
  </si>
  <si>
    <t>PROD3433</t>
  </si>
  <si>
    <t>Port Pamela</t>
  </si>
  <si>
    <t>Williams-Lambert</t>
  </si>
  <si>
    <t>lee71@gonzales.com</t>
  </si>
  <si>
    <t>ORD1727</t>
  </si>
  <si>
    <t>CUST261</t>
  </si>
  <si>
    <t>Katherine Smith</t>
  </si>
  <si>
    <t>PROD2531</t>
  </si>
  <si>
    <t>Port Clairemouth</t>
  </si>
  <si>
    <t>Mack-Morales</t>
  </si>
  <si>
    <t>wigginsjennifer@cortez-mcneil.org</t>
  </si>
  <si>
    <t>ORD1728</t>
  </si>
  <si>
    <t>Jenna Herrera</t>
  </si>
  <si>
    <t>PROD9663</t>
  </si>
  <si>
    <t>Teresaburgh</t>
  </si>
  <si>
    <t>Daugherty LLC</t>
  </si>
  <si>
    <t>alexis33@martin-jones.com</t>
  </si>
  <si>
    <t>ORD1729</t>
  </si>
  <si>
    <t>CUST177</t>
  </si>
  <si>
    <t>Paige Pacheco</t>
  </si>
  <si>
    <t>PROD3186</t>
  </si>
  <si>
    <t>Hernandeztown</t>
  </si>
  <si>
    <t>Miller and Sons</t>
  </si>
  <si>
    <t>derek75@cooper.com</t>
  </si>
  <si>
    <t>ORD1730</t>
  </si>
  <si>
    <t>Richard James</t>
  </si>
  <si>
    <t>PROD3884</t>
  </si>
  <si>
    <t>Timothyville</t>
  </si>
  <si>
    <t>Ball, Moreno and Meyer</t>
  </si>
  <si>
    <t>wrighttyler@wilkins.info</t>
  </si>
  <si>
    <t>ORD1731</t>
  </si>
  <si>
    <t>Emily Crawford</t>
  </si>
  <si>
    <t>PROD9137</t>
  </si>
  <si>
    <t>Joshuaburgh</t>
  </si>
  <si>
    <t>Brock-Henderson</t>
  </si>
  <si>
    <t>meadowskenneth@macias-browning.com</t>
  </si>
  <si>
    <t>ORD1732</t>
  </si>
  <si>
    <t>CUST469</t>
  </si>
  <si>
    <t>Lindsey Beasley</t>
  </si>
  <si>
    <t>PROD1730</t>
  </si>
  <si>
    <t>East Sherrymouth</t>
  </si>
  <si>
    <t>Navarro-Dunn</t>
  </si>
  <si>
    <t>rosalesnatalie@johnson.org</t>
  </si>
  <si>
    <t>ORD1733</t>
  </si>
  <si>
    <t>CUST122</t>
  </si>
  <si>
    <t>Julie Strickland</t>
  </si>
  <si>
    <t>PROD1715</t>
  </si>
  <si>
    <t>Davidbury</t>
  </si>
  <si>
    <t>Foster and Sons</t>
  </si>
  <si>
    <t>langheidi@king.com</t>
  </si>
  <si>
    <t>ORD1734</t>
  </si>
  <si>
    <t>Kristen Strickland</t>
  </si>
  <si>
    <t>PROD1287</t>
  </si>
  <si>
    <t>Lake Beckyberg</t>
  </si>
  <si>
    <t>Delacruz-Thompson</t>
  </si>
  <si>
    <t>sarawalker@bates.com</t>
  </si>
  <si>
    <t>ORD1735</t>
  </si>
  <si>
    <t>CUST144</t>
  </si>
  <si>
    <t>Donna Smith</t>
  </si>
  <si>
    <t>PROD1850</t>
  </si>
  <si>
    <t>Paulville</t>
  </si>
  <si>
    <t>Johnson-Mendoza</t>
  </si>
  <si>
    <t>xsheppard@stewart.com</t>
  </si>
  <si>
    <t>ORD1736</t>
  </si>
  <si>
    <t>CUST251</t>
  </si>
  <si>
    <t>Cynthia Hughes</t>
  </si>
  <si>
    <t>PROD2857</t>
  </si>
  <si>
    <t>Michellebury</t>
  </si>
  <si>
    <t>Young-Smith</t>
  </si>
  <si>
    <t>oarias@patterson.com</t>
  </si>
  <si>
    <t>ORD1737</t>
  </si>
  <si>
    <t>CUST343</t>
  </si>
  <si>
    <t>Danielle Fields</t>
  </si>
  <si>
    <t>PROD6841</t>
  </si>
  <si>
    <t>Johnmouth</t>
  </si>
  <si>
    <t>Rowland Group</t>
  </si>
  <si>
    <t>allisonrios@cox.com</t>
  </si>
  <si>
    <t>ORD1738</t>
  </si>
  <si>
    <t>Ms. Sherry Knapp MD</t>
  </si>
  <si>
    <t>PROD8507</t>
  </si>
  <si>
    <t>Mariahport</t>
  </si>
  <si>
    <t>Barton, King and Garcia</t>
  </si>
  <si>
    <t>peterrose@wallace.info</t>
  </si>
  <si>
    <t>ORD1739</t>
  </si>
  <si>
    <t>Jessica Davis</t>
  </si>
  <si>
    <t>PROD8239</t>
  </si>
  <si>
    <t>South Jessica</t>
  </si>
  <si>
    <t>Hicks, Holland and Massey</t>
  </si>
  <si>
    <t>madisonmiller@bell.com</t>
  </si>
  <si>
    <t>ORD1740</t>
  </si>
  <si>
    <t>CUST371</t>
  </si>
  <si>
    <t>Stephen Parrish</t>
  </si>
  <si>
    <t>PROD2961</t>
  </si>
  <si>
    <t>Port Robertberg</t>
  </si>
  <si>
    <t>Ewing, Aguilar and Lowe</t>
  </si>
  <si>
    <t>cmiranda@gardner-hicks.com</t>
  </si>
  <si>
    <t>ORD1741</t>
  </si>
  <si>
    <t>CUST625</t>
  </si>
  <si>
    <t>Laura Burnett</t>
  </si>
  <si>
    <t>Diazland</t>
  </si>
  <si>
    <t>Robinson PLC</t>
  </si>
  <si>
    <t>jenny91@lowe.org</t>
  </si>
  <si>
    <t>ORD1742</t>
  </si>
  <si>
    <t>CUST558</t>
  </si>
  <si>
    <t>Charles Hale</t>
  </si>
  <si>
    <t>PROD6391</t>
  </si>
  <si>
    <t>Alisonfurt</t>
  </si>
  <si>
    <t>Vasquez LLC</t>
  </si>
  <si>
    <t>adkinsjoseph@jensen.biz</t>
  </si>
  <si>
    <t>ORD1743</t>
  </si>
  <si>
    <t>CUST123</t>
  </si>
  <si>
    <t>Cynthia Hernandez</t>
  </si>
  <si>
    <t>PROD9273</t>
  </si>
  <si>
    <t>East Deborah</t>
  </si>
  <si>
    <t>Johnson, Stevens and Crawford</t>
  </si>
  <si>
    <t>idelgado@stanley.info</t>
  </si>
  <si>
    <t>ORD1744</t>
  </si>
  <si>
    <t>CUST132</t>
  </si>
  <si>
    <t>John Ryan</t>
  </si>
  <si>
    <t>PROD7802</t>
  </si>
  <si>
    <t>Kristentown</t>
  </si>
  <si>
    <t>Joyce PLC</t>
  </si>
  <si>
    <t>hollandpeter@stafford-wood.com</t>
  </si>
  <si>
    <t>ORD1745</t>
  </si>
  <si>
    <t>Mrs. Lori Good DDS</t>
  </si>
  <si>
    <t>PROD5406</t>
  </si>
  <si>
    <t>South Holly</t>
  </si>
  <si>
    <t>Stout Inc</t>
  </si>
  <si>
    <t>gwilliams@ayala.info</t>
  </si>
  <si>
    <t>ORD1746</t>
  </si>
  <si>
    <t>CUST783</t>
  </si>
  <si>
    <t>Pam Pham</t>
  </si>
  <si>
    <t>PROD1884</t>
  </si>
  <si>
    <t>Lisashire</t>
  </si>
  <si>
    <t>Griffin LLC</t>
  </si>
  <si>
    <t>brownjames@miller.com</t>
  </si>
  <si>
    <t>ORD1747</t>
  </si>
  <si>
    <t>Charles Decker</t>
  </si>
  <si>
    <t>PROD4345</t>
  </si>
  <si>
    <t>Lake Johnland</t>
  </si>
  <si>
    <t>Johnson, Bell and Suarez</t>
  </si>
  <si>
    <t>nwilkinson@ramirez.org</t>
  </si>
  <si>
    <t>ORD1748</t>
  </si>
  <si>
    <t>CUST390</t>
  </si>
  <si>
    <t>Karen Kemp</t>
  </si>
  <si>
    <t>PROD9395</t>
  </si>
  <si>
    <t>Lake Annette</t>
  </si>
  <si>
    <t>Watson LLC</t>
  </si>
  <si>
    <t>darrellmartinez@mcpherson.org</t>
  </si>
  <si>
    <t>ORD1749</t>
  </si>
  <si>
    <t>CUST320</t>
  </si>
  <si>
    <t>Linda Williams</t>
  </si>
  <si>
    <t>PROD8226</t>
  </si>
  <si>
    <t>Leechester</t>
  </si>
  <si>
    <t>Gutierrez, Williams and Galloway</t>
  </si>
  <si>
    <t>herreramelissa@munoz-cardenas.net</t>
  </si>
  <si>
    <t>ORD1750</t>
  </si>
  <si>
    <t>Nancy Williams</t>
  </si>
  <si>
    <t>PROD1361</t>
  </si>
  <si>
    <t>Davis, Johnston and Brady</t>
  </si>
  <si>
    <t>samanthaweber@garrett-pierce.com</t>
  </si>
  <si>
    <t>ORD1751</t>
  </si>
  <si>
    <t>Cameron White</t>
  </si>
  <si>
    <t>PROD3189</t>
  </si>
  <si>
    <t>Robinson-Ball</t>
  </si>
  <si>
    <t>amanda24@welch.info</t>
  </si>
  <si>
    <t>ORD1752</t>
  </si>
  <si>
    <t>CUST614</t>
  </si>
  <si>
    <t>Emily Bass</t>
  </si>
  <si>
    <t>PROD7168</t>
  </si>
  <si>
    <t>Annberg</t>
  </si>
  <si>
    <t>Henson PLC</t>
  </si>
  <si>
    <t>luisjohnson@rodriguez.com</t>
  </si>
  <si>
    <t>ORD1753</t>
  </si>
  <si>
    <t>Anthony Adams</t>
  </si>
  <si>
    <t>PROD9967</t>
  </si>
  <si>
    <t>Danielsmouth</t>
  </si>
  <si>
    <t>Obrien, Nelson and Smith</t>
  </si>
  <si>
    <t>george17@benson.com</t>
  </si>
  <si>
    <t>ORD1754</t>
  </si>
  <si>
    <t>CUST721</t>
  </si>
  <si>
    <t>Melissa Phillips</t>
  </si>
  <si>
    <t>PROD1011</t>
  </si>
  <si>
    <t>Nicholaston</t>
  </si>
  <si>
    <t>Hall and Sons</t>
  </si>
  <si>
    <t>masonlee@george-walker.com</t>
  </si>
  <si>
    <t>ORD1755</t>
  </si>
  <si>
    <t>CUST744</t>
  </si>
  <si>
    <t>Rodney Ramos</t>
  </si>
  <si>
    <t>PROD3791</t>
  </si>
  <si>
    <t>Jerryshire</t>
  </si>
  <si>
    <t>Sanchez, Howard and Decker</t>
  </si>
  <si>
    <t>adrian49@gray.org</t>
  </si>
  <si>
    <t>ORD1756</t>
  </si>
  <si>
    <t>CUST955</t>
  </si>
  <si>
    <t>Tina Lopez</t>
  </si>
  <si>
    <t>PROD1913</t>
  </si>
  <si>
    <t>North Bianca</t>
  </si>
  <si>
    <t>Garcia PLC</t>
  </si>
  <si>
    <t>mike55@abbott-solis.com</t>
  </si>
  <si>
    <t>ORD1757</t>
  </si>
  <si>
    <t>Craig Kelly</t>
  </si>
  <si>
    <t>PROD1450</t>
  </si>
  <si>
    <t>Michaelbury</t>
  </si>
  <si>
    <t>Anderson, Hall and Moreno</t>
  </si>
  <si>
    <t>william93@hayes.com</t>
  </si>
  <si>
    <t>ORD1758</t>
  </si>
  <si>
    <t>CUST195</t>
  </si>
  <si>
    <t>Amy Ellis</t>
  </si>
  <si>
    <t>PROD8455</t>
  </si>
  <si>
    <t>Lake Michael</t>
  </si>
  <si>
    <t>Robinson, Stevenson and Hall</t>
  </si>
  <si>
    <t>belldylan@mason-wilkins.com</t>
  </si>
  <si>
    <t>ORD1759</t>
  </si>
  <si>
    <t>Larry Parker</t>
  </si>
  <si>
    <t>PROD8259</t>
  </si>
  <si>
    <t>Carrillofurt</t>
  </si>
  <si>
    <t>Baker, Wagner and Tucker</t>
  </si>
  <si>
    <t>hannah89@leach.com</t>
  </si>
  <si>
    <t>ORD1760</t>
  </si>
  <si>
    <t>Thomas Mercer</t>
  </si>
  <si>
    <t>PROD9637</t>
  </si>
  <si>
    <t>Patrickbury</t>
  </si>
  <si>
    <t>Harrington-Potter</t>
  </si>
  <si>
    <t>christopherkerr@mckenzie-davila.com</t>
  </si>
  <si>
    <t>ORD1761</t>
  </si>
  <si>
    <t>PROD3120</t>
  </si>
  <si>
    <t>Lake Maryport</t>
  </si>
  <si>
    <t>Lee Ltd</t>
  </si>
  <si>
    <t>spencerstone@lopez.com</t>
  </si>
  <si>
    <t>ORD1762</t>
  </si>
  <si>
    <t>CUST925</t>
  </si>
  <si>
    <t>Ryan Alexander</t>
  </si>
  <si>
    <t>PROD6786</t>
  </si>
  <si>
    <t>New Danielbury</t>
  </si>
  <si>
    <t>Simon-James</t>
  </si>
  <si>
    <t>thahn@zamora.com</t>
  </si>
  <si>
    <t>ORD1763</t>
  </si>
  <si>
    <t>CUST393</t>
  </si>
  <si>
    <t>John Leonard</t>
  </si>
  <si>
    <t>PROD4531</t>
  </si>
  <si>
    <t>Mays, Gomez and Thompson</t>
  </si>
  <si>
    <t>julie82@finley.biz</t>
  </si>
  <si>
    <t>ORD1764</t>
  </si>
  <si>
    <t>CUST633</t>
  </si>
  <si>
    <t>Brad Baird</t>
  </si>
  <si>
    <t>PROD9769</t>
  </si>
  <si>
    <t>Jamesstad</t>
  </si>
  <si>
    <t>lucasdaniel@mejia-buckley.com</t>
  </si>
  <si>
    <t>ORD1765</t>
  </si>
  <si>
    <t>CUST563</t>
  </si>
  <si>
    <t>Paul Vega</t>
  </si>
  <si>
    <t>PROD9640</t>
  </si>
  <si>
    <t>Alexandermouth</t>
  </si>
  <si>
    <t>Chang, Martinez and Kim</t>
  </si>
  <si>
    <t>zlopez@stevens.net</t>
  </si>
  <si>
    <t>ORD1766</t>
  </si>
  <si>
    <t>CUST218</t>
  </si>
  <si>
    <t>Ryan Cole</t>
  </si>
  <si>
    <t>PROD8073</t>
  </si>
  <si>
    <t>Barnes Ltd</t>
  </si>
  <si>
    <t>antonio63@holloway.biz</t>
  </si>
  <si>
    <t>ORD1767</t>
  </si>
  <si>
    <t>CUST752</t>
  </si>
  <si>
    <t>John Bennett</t>
  </si>
  <si>
    <t>PROD4618</t>
  </si>
  <si>
    <t>Johnsonton</t>
  </si>
  <si>
    <t>Jenkins-Moore</t>
  </si>
  <si>
    <t>dsmith@fisher-brown.com</t>
  </si>
  <si>
    <t>ORD1768</t>
  </si>
  <si>
    <t>Carla Brown</t>
  </si>
  <si>
    <t>PROD6801</t>
  </si>
  <si>
    <t>East Bryceshire</t>
  </si>
  <si>
    <t>Walls-Khan</t>
  </si>
  <si>
    <t>tnavarro@vaughan.com</t>
  </si>
  <si>
    <t>ORD1769</t>
  </si>
  <si>
    <t>CUST522</t>
  </si>
  <si>
    <t>James Potter</t>
  </si>
  <si>
    <t>PROD6658</t>
  </si>
  <si>
    <t>West Bobby</t>
  </si>
  <si>
    <t>Weaver, Williams and Bishop</t>
  </si>
  <si>
    <t>michaelbrown@jones.com</t>
  </si>
  <si>
    <t>ORD1770</t>
  </si>
  <si>
    <t>CUST347</t>
  </si>
  <si>
    <t>Ashley Miller</t>
  </si>
  <si>
    <t>PROD3149</t>
  </si>
  <si>
    <t>Schultzstad</t>
  </si>
  <si>
    <t>Brooks Inc</t>
  </si>
  <si>
    <t>joseph98@harper.com</t>
  </si>
  <si>
    <t>ORD1771</t>
  </si>
  <si>
    <t>PROD3451</t>
  </si>
  <si>
    <t>South Christopher</t>
  </si>
  <si>
    <t>alexandrahernandez@harmon.net</t>
  </si>
  <si>
    <t>ORD1772</t>
  </si>
  <si>
    <t>CUST899</t>
  </si>
  <si>
    <t>Austin Hicks</t>
  </si>
  <si>
    <t>PROD3783</t>
  </si>
  <si>
    <t>Michaelberg</t>
  </si>
  <si>
    <t>Rodriguez-Harmon</t>
  </si>
  <si>
    <t>debra62@haney.com</t>
  </si>
  <si>
    <t>ORD1773</t>
  </si>
  <si>
    <t>Russell Butler</t>
  </si>
  <si>
    <t>PROD3528</t>
  </si>
  <si>
    <t>North Lorettaside</t>
  </si>
  <si>
    <t>Smith-Brown</t>
  </si>
  <si>
    <t>pwatson@richard.com</t>
  </si>
  <si>
    <t>ORD1774</t>
  </si>
  <si>
    <t>CUST166</t>
  </si>
  <si>
    <t>Gary Dunlap</t>
  </si>
  <si>
    <t>PROD3926</t>
  </si>
  <si>
    <t>New Rhondaborough</t>
  </si>
  <si>
    <t>Reynolds Group</t>
  </si>
  <si>
    <t>kelly29@andersen.com</t>
  </si>
  <si>
    <t>ORD1775</t>
  </si>
  <si>
    <t>Monica Braun</t>
  </si>
  <si>
    <t>PROD2844</t>
  </si>
  <si>
    <t>Davisburgh</t>
  </si>
  <si>
    <t>Smith-Yu</t>
  </si>
  <si>
    <t>rogersmark@martinez-sandoval.com</t>
  </si>
  <si>
    <t>ORD1776</t>
  </si>
  <si>
    <t>Laura Johnson</t>
  </si>
  <si>
    <t>PROD8451</t>
  </si>
  <si>
    <t>Jaredmouth</t>
  </si>
  <si>
    <t>rbates@lee.org</t>
  </si>
  <si>
    <t>ORD1777</t>
  </si>
  <si>
    <t>CUST681</t>
  </si>
  <si>
    <t>Brian Daniel</t>
  </si>
  <si>
    <t>Port Juan</t>
  </si>
  <si>
    <t>Williams PLC</t>
  </si>
  <si>
    <t>crossmariah@hayden.com</t>
  </si>
  <si>
    <t>ORD1778</t>
  </si>
  <si>
    <t>Jeffrey Warren</t>
  </si>
  <si>
    <t>PROD8928</t>
  </si>
  <si>
    <t>Campbellmouth</t>
  </si>
  <si>
    <t>Terry Ltd</t>
  </si>
  <si>
    <t>zmyers@dixon.com</t>
  </si>
  <si>
    <t>ORD1779</t>
  </si>
  <si>
    <t>Danielle Wiley</t>
  </si>
  <si>
    <t>PROD9384</t>
  </si>
  <si>
    <t>Hooperfort</t>
  </si>
  <si>
    <t>Miller-Payne</t>
  </si>
  <si>
    <t>lewisjenny@smith-scott.com</t>
  </si>
  <si>
    <t>ORD1780</t>
  </si>
  <si>
    <t>CUST242</t>
  </si>
  <si>
    <t>Lori Bennett</t>
  </si>
  <si>
    <t>PROD8008</t>
  </si>
  <si>
    <t>East Shirleyview</t>
  </si>
  <si>
    <t>Sandoval-Robinson</t>
  </si>
  <si>
    <t>umendez@moreno-fuller.com</t>
  </si>
  <si>
    <t>ORD1781</t>
  </si>
  <si>
    <t>CUST492</t>
  </si>
  <si>
    <t>Dawn Roberts</t>
  </si>
  <si>
    <t>PROD1220</t>
  </si>
  <si>
    <t>Robertberg</t>
  </si>
  <si>
    <t>Jones Group</t>
  </si>
  <si>
    <t>juan01@walker.net</t>
  </si>
  <si>
    <t>ORD1782</t>
  </si>
  <si>
    <t>CUST560</t>
  </si>
  <si>
    <t>Aaron Jackson</t>
  </si>
  <si>
    <t>PROD5082</t>
  </si>
  <si>
    <t>Brownberg</t>
  </si>
  <si>
    <t>Williams, Cook and Newton</t>
  </si>
  <si>
    <t>barrybruce@green.com</t>
  </si>
  <si>
    <t>ORD1783</t>
  </si>
  <si>
    <t>Christopher Nichols</t>
  </si>
  <si>
    <t>PROD9457</t>
  </si>
  <si>
    <t>North Katherine</t>
  </si>
  <si>
    <t>King and Sons</t>
  </si>
  <si>
    <t>wernercharlotte@hall.biz</t>
  </si>
  <si>
    <t>ORD1784</t>
  </si>
  <si>
    <t>William Harris</t>
  </si>
  <si>
    <t>PROD3958</t>
  </si>
  <si>
    <t>West Tamaraville</t>
  </si>
  <si>
    <t>Moon, White and Lam</t>
  </si>
  <si>
    <t>sharonsmith@richardson.com</t>
  </si>
  <si>
    <t>ORD1785</t>
  </si>
  <si>
    <t>CUST394</t>
  </si>
  <si>
    <t>James Chavez</t>
  </si>
  <si>
    <t>PROD1314</t>
  </si>
  <si>
    <t>South Diana</t>
  </si>
  <si>
    <t>White, Coffey and Kidd</t>
  </si>
  <si>
    <t>smithmargaret@brown.com</t>
  </si>
  <si>
    <t>ORD1786</t>
  </si>
  <si>
    <t>Thomas Carter</t>
  </si>
  <si>
    <t>PROD5024</t>
  </si>
  <si>
    <t>Anthonyborough</t>
  </si>
  <si>
    <t>Robertson-Snow</t>
  </si>
  <si>
    <t>angelabeasley@santos.info</t>
  </si>
  <si>
    <t>ORD1787</t>
  </si>
  <si>
    <t>CUST779</t>
  </si>
  <si>
    <t>Andrea Dawson</t>
  </si>
  <si>
    <t>PROD7786</t>
  </si>
  <si>
    <t>Sharpburgh</t>
  </si>
  <si>
    <t>Shepherd, Adams and Jones</t>
  </si>
  <si>
    <t>daniel55@myers.org</t>
  </si>
  <si>
    <t>ORD1788</t>
  </si>
  <si>
    <t>CUST950</t>
  </si>
  <si>
    <t>Dr. Joshua Johnson</t>
  </si>
  <si>
    <t>PROD4786</t>
  </si>
  <si>
    <t>Lake Alecshire</t>
  </si>
  <si>
    <t>Collins PLC</t>
  </si>
  <si>
    <t>danielharris@williams.biz</t>
  </si>
  <si>
    <t>ORD1789</t>
  </si>
  <si>
    <t>Diana Johnson</t>
  </si>
  <si>
    <t>PROD1527</t>
  </si>
  <si>
    <t>Mcclainbury</t>
  </si>
  <si>
    <t>Green and Sons</t>
  </si>
  <si>
    <t>cookshawn@ponce.org</t>
  </si>
  <si>
    <t>ORD1790</t>
  </si>
  <si>
    <t>Robert Miller</t>
  </si>
  <si>
    <t>PROD9155</t>
  </si>
  <si>
    <t>Wellsview</t>
  </si>
  <si>
    <t>Soto-Harris</t>
  </si>
  <si>
    <t>leongina@soto.info</t>
  </si>
  <si>
    <t>ORD1791</t>
  </si>
  <si>
    <t>Ashley Soto</t>
  </si>
  <si>
    <t>Nicolefort</t>
  </si>
  <si>
    <t>Grimes-Morse</t>
  </si>
  <si>
    <t>jenna67@andrews.com</t>
  </si>
  <si>
    <t>ORD1792</t>
  </si>
  <si>
    <t>CUST319</t>
  </si>
  <si>
    <t>Debra Sims</t>
  </si>
  <si>
    <t>PROD4626</t>
  </si>
  <si>
    <t>South Shannon</t>
  </si>
  <si>
    <t>Nelson, Garcia and Scott</t>
  </si>
  <si>
    <t>ujackson@higgins-day.com</t>
  </si>
  <si>
    <t>ORD1793</t>
  </si>
  <si>
    <t>CUST501</t>
  </si>
  <si>
    <t>Kelsey Flores</t>
  </si>
  <si>
    <t>PROD7969</t>
  </si>
  <si>
    <t>East Jimmyhaven</t>
  </si>
  <si>
    <t>kelleyjulie@medina.com</t>
  </si>
  <si>
    <t>ORD1794</t>
  </si>
  <si>
    <t>Gina Crawford</t>
  </si>
  <si>
    <t>Lake Amber</t>
  </si>
  <si>
    <t>solomondevin@parsons.com</t>
  </si>
  <si>
    <t>ORD1795</t>
  </si>
  <si>
    <t>Judy Thompson</t>
  </si>
  <si>
    <t>PROD3897</t>
  </si>
  <si>
    <t>Port Kimberly</t>
  </si>
  <si>
    <t>King, Brown and Barnett</t>
  </si>
  <si>
    <t>michael87@yang.com</t>
  </si>
  <si>
    <t>ORD1796</t>
  </si>
  <si>
    <t>CUST496</t>
  </si>
  <si>
    <t>Glenda Phillips</t>
  </si>
  <si>
    <t>PROD1942</t>
  </si>
  <si>
    <t>Heidifurt</t>
  </si>
  <si>
    <t>Leon, Sparks and Nguyen</t>
  </si>
  <si>
    <t>aaronhess@allen.com</t>
  </si>
  <si>
    <t>ORD1797</t>
  </si>
  <si>
    <t>Adam Jimenez</t>
  </si>
  <si>
    <t>PROD6891</t>
  </si>
  <si>
    <t>Port Anthony</t>
  </si>
  <si>
    <t>Roman, Gray and Holmes</t>
  </si>
  <si>
    <t>vasquezsarah@flores.com</t>
  </si>
  <si>
    <t>ORD1798</t>
  </si>
  <si>
    <t>CUST479</t>
  </si>
  <si>
    <t>PROD7220</t>
  </si>
  <si>
    <t>Kaylaland</t>
  </si>
  <si>
    <t>Sanchez, Holloway and Myers</t>
  </si>
  <si>
    <t>sarah01@thompson-wilkerson.info</t>
  </si>
  <si>
    <t>ORD1799</t>
  </si>
  <si>
    <t>Karen Nicholson</t>
  </si>
  <si>
    <t>PROD5184</t>
  </si>
  <si>
    <t>Young-Rich</t>
  </si>
  <si>
    <t>dixondebbie@casey.net</t>
  </si>
  <si>
    <t>ORD1800</t>
  </si>
  <si>
    <t>Sarah Salazar</t>
  </si>
  <si>
    <t>PROD5729</t>
  </si>
  <si>
    <t>Lake Shaunmouth</t>
  </si>
  <si>
    <t>Guerra-Green</t>
  </si>
  <si>
    <t>william32@bell.com</t>
  </si>
  <si>
    <t>ORD1801</t>
  </si>
  <si>
    <t>Mr. Louis Pugh</t>
  </si>
  <si>
    <t>PROD7460</t>
  </si>
  <si>
    <t>Davisland</t>
  </si>
  <si>
    <t>Rivera-Gamble</t>
  </si>
  <si>
    <t>nicole78@allen-shelton.biz</t>
  </si>
  <si>
    <t>ORD1802</t>
  </si>
  <si>
    <t>Derrick Willis</t>
  </si>
  <si>
    <t>PROD7689</t>
  </si>
  <si>
    <t>Kevinfort</t>
  </si>
  <si>
    <t>Chambers-Morton</t>
  </si>
  <si>
    <t>rcervantes@johnson.info</t>
  </si>
  <si>
    <t>ORD1803</t>
  </si>
  <si>
    <t>Richard Weaver</t>
  </si>
  <si>
    <t>PROD6622</t>
  </si>
  <si>
    <t>Paulstad</t>
  </si>
  <si>
    <t>Davidson, Stevens and Haley</t>
  </si>
  <si>
    <t>along@hill.com</t>
  </si>
  <si>
    <t>ORD1804</t>
  </si>
  <si>
    <t>Kevin Rosales</t>
  </si>
  <si>
    <t>PROD4487</t>
  </si>
  <si>
    <t>Tombury</t>
  </si>
  <si>
    <t>Vasquez-Cruz</t>
  </si>
  <si>
    <t>darlene74@butler-coleman.info</t>
  </si>
  <si>
    <t>ORD1805</t>
  </si>
  <si>
    <t>Angelica Torres</t>
  </si>
  <si>
    <t>Holtfort</t>
  </si>
  <si>
    <t>Elliott, Myers and Bradley</t>
  </si>
  <si>
    <t>adavis@mcdonald.org</t>
  </si>
  <si>
    <t>ORD1806</t>
  </si>
  <si>
    <t>Charles Andrews</t>
  </si>
  <si>
    <t>PROD9124</t>
  </si>
  <si>
    <t>Pruitt, Sandoval and Moss</t>
  </si>
  <si>
    <t>bwright@armstrong.com</t>
  </si>
  <si>
    <t>ORD1807</t>
  </si>
  <si>
    <t>CUST705</t>
  </si>
  <si>
    <t>Bob Archer</t>
  </si>
  <si>
    <t>PROD1070</t>
  </si>
  <si>
    <t>Nashfort</t>
  </si>
  <si>
    <t>Glass, Wilson and Nelson</t>
  </si>
  <si>
    <t>noahmanning@moore.net</t>
  </si>
  <si>
    <t>ORD1808</t>
  </si>
  <si>
    <t>Terri Simpson</t>
  </si>
  <si>
    <t>PROD1291</t>
  </si>
  <si>
    <t>East Tracey</t>
  </si>
  <si>
    <t>Boyd, Vargas and West</t>
  </si>
  <si>
    <t>barbaraneal@montes-henderson.com</t>
  </si>
  <si>
    <t>ORD1809</t>
  </si>
  <si>
    <t>CUST754</t>
  </si>
  <si>
    <t>Amber Hughes</t>
  </si>
  <si>
    <t>PROD3735</t>
  </si>
  <si>
    <t>North Maria</t>
  </si>
  <si>
    <t>Perez, Cortez and Johnston</t>
  </si>
  <si>
    <t>lauraperez@sherman.com</t>
  </si>
  <si>
    <t>ORD1810</t>
  </si>
  <si>
    <t>CUST377</t>
  </si>
  <si>
    <t>Kevin White</t>
  </si>
  <si>
    <t>PROD9375</t>
  </si>
  <si>
    <t>East Andrew</t>
  </si>
  <si>
    <t>Wilcox, Matthews and Stafford</t>
  </si>
  <si>
    <t>rebeccabrown@figueroa.biz</t>
  </si>
  <si>
    <t>ORD1811</t>
  </si>
  <si>
    <t>CUST537</t>
  </si>
  <si>
    <t>Jason Bradley</t>
  </si>
  <si>
    <t>PROD5650</t>
  </si>
  <si>
    <t>Lake Jamesside</t>
  </si>
  <si>
    <t>Hernandez and Sons</t>
  </si>
  <si>
    <t>nbarrett@mejia-phillips.com</t>
  </si>
  <si>
    <t>ORD1812</t>
  </si>
  <si>
    <t>CUST455</t>
  </si>
  <si>
    <t>Emily Rodriguez</t>
  </si>
  <si>
    <t>PROD2277</t>
  </si>
  <si>
    <t>Port Williammouth</t>
  </si>
  <si>
    <t>Owens, Smith and Simpson</t>
  </si>
  <si>
    <t>robertsonyvonne@clayton-wright.com</t>
  </si>
  <si>
    <t>ORD1813</t>
  </si>
  <si>
    <t>April Brown</t>
  </si>
  <si>
    <t>PROD2819</t>
  </si>
  <si>
    <t>Martinshire</t>
  </si>
  <si>
    <t>Bennett-Brown</t>
  </si>
  <si>
    <t>penaelizabeth@caldwell-waters.org</t>
  </si>
  <si>
    <t>ORD1814</t>
  </si>
  <si>
    <t>Jennifer Mendoza</t>
  </si>
  <si>
    <t>PROD4037</t>
  </si>
  <si>
    <t>Wellschester</t>
  </si>
  <si>
    <t>Stone LLC</t>
  </si>
  <si>
    <t>johnanderson@martinez-carter.com</t>
  </si>
  <si>
    <t>ORD1815</t>
  </si>
  <si>
    <t>CUST933</t>
  </si>
  <si>
    <t>Jesus Hudson</t>
  </si>
  <si>
    <t>PROD2373</t>
  </si>
  <si>
    <t>Mirandabury</t>
  </si>
  <si>
    <t>Harmon-Ferguson</t>
  </si>
  <si>
    <t>alicia68@baker.com</t>
  </si>
  <si>
    <t>ORD1816</t>
  </si>
  <si>
    <t>Veronica Lopez</t>
  </si>
  <si>
    <t>PROD2288</t>
  </si>
  <si>
    <t>West William</t>
  </si>
  <si>
    <t>Lawson Inc</t>
  </si>
  <si>
    <t>holderjudith@hodges.com</t>
  </si>
  <si>
    <t>ORD1817</t>
  </si>
  <si>
    <t>Stacy Johnson</t>
  </si>
  <si>
    <t>Fergusonchester</t>
  </si>
  <si>
    <t>Dawson Group</t>
  </si>
  <si>
    <t>kimberly77@moore.com</t>
  </si>
  <si>
    <t>ORD1818</t>
  </si>
  <si>
    <t>CUST708</t>
  </si>
  <si>
    <t>John Bishop</t>
  </si>
  <si>
    <t>East Lauraburgh</t>
  </si>
  <si>
    <t>Campbell-Glass</t>
  </si>
  <si>
    <t>villarrealtina@woodard.com</t>
  </si>
  <si>
    <t>ORD1819</t>
  </si>
  <si>
    <t>Rhonda Anderson</t>
  </si>
  <si>
    <t>PROD7760</t>
  </si>
  <si>
    <t>Lisaville</t>
  </si>
  <si>
    <t>Peters, Morrison and Rose</t>
  </si>
  <si>
    <t>vthompson@lee-jimenez.com</t>
  </si>
  <si>
    <t>ORD1820</t>
  </si>
  <si>
    <t>David Knight</t>
  </si>
  <si>
    <t>PROD2006</t>
  </si>
  <si>
    <t>Victoriabury</t>
  </si>
  <si>
    <t>Garcia Inc</t>
  </si>
  <si>
    <t>wbarr@barnes.org</t>
  </si>
  <si>
    <t>ORD1821</t>
  </si>
  <si>
    <t>Kyle Miller</t>
  </si>
  <si>
    <t>PROD9759</t>
  </si>
  <si>
    <t>Adamborough</t>
  </si>
  <si>
    <t>Chapman, Stanley and Petersen</t>
  </si>
  <si>
    <t>smercado@valentine-hebert.com</t>
  </si>
  <si>
    <t>ORD1822</t>
  </si>
  <si>
    <t>CUST287</t>
  </si>
  <si>
    <t>Traci Jones</t>
  </si>
  <si>
    <t>PROD8099</t>
  </si>
  <si>
    <t>Bartonbury</t>
  </si>
  <si>
    <t>Ford Group</t>
  </si>
  <si>
    <t>monica50@reynolds.biz</t>
  </si>
  <si>
    <t>ORD1823</t>
  </si>
  <si>
    <t>Shawn Kidd</t>
  </si>
  <si>
    <t>PROD4325</t>
  </si>
  <si>
    <t>North Victoria</t>
  </si>
  <si>
    <t>Friedman Inc</t>
  </si>
  <si>
    <t>joshuajohnson@rodriguez.com</t>
  </si>
  <si>
    <t>ORD1824</t>
  </si>
  <si>
    <t>Justin Gomez</t>
  </si>
  <si>
    <t>PROD8231</t>
  </si>
  <si>
    <t>Jayland</t>
  </si>
  <si>
    <t>Lane, Simmons and Cunningham</t>
  </si>
  <si>
    <t>ginaowens@andrews-gay.net</t>
  </si>
  <si>
    <t>ORD1825</t>
  </si>
  <si>
    <t>James Diaz MD</t>
  </si>
  <si>
    <t>PROD8112</t>
  </si>
  <si>
    <t>Hatfieldbury</t>
  </si>
  <si>
    <t>Pratt, Evans and Rodriguez</t>
  </si>
  <si>
    <t>jason34@vaughn.org</t>
  </si>
  <si>
    <t>ORD1826</t>
  </si>
  <si>
    <t>CUST703</t>
  </si>
  <si>
    <t>Ebony Bradley</t>
  </si>
  <si>
    <t>PROD7926</t>
  </si>
  <si>
    <t>New John</t>
  </si>
  <si>
    <t>Patel-Phelps</t>
  </si>
  <si>
    <t>charles91@woods.com</t>
  </si>
  <si>
    <t>ORD1827</t>
  </si>
  <si>
    <t>Steven White</t>
  </si>
  <si>
    <t>PROD1928</t>
  </si>
  <si>
    <t>East Gavinmouth</t>
  </si>
  <si>
    <t>Miller-Morgan</t>
  </si>
  <si>
    <t>sward@simmons.com</t>
  </si>
  <si>
    <t>ORD1828</t>
  </si>
  <si>
    <t>CUST809</t>
  </si>
  <si>
    <t>Michael Blair</t>
  </si>
  <si>
    <t>PROD2704</t>
  </si>
  <si>
    <t>Bakerhaven</t>
  </si>
  <si>
    <t>Macias, Smith and Wright</t>
  </si>
  <si>
    <t>john26@smith-wong.com</t>
  </si>
  <si>
    <t>ORD1829</t>
  </si>
  <si>
    <t>Christy Morales</t>
  </si>
  <si>
    <t>PROD1798</t>
  </si>
  <si>
    <t>West Jeremy</t>
  </si>
  <si>
    <t>Williams-Holland</t>
  </si>
  <si>
    <t>brendasmith@wolfe.com</t>
  </si>
  <si>
    <t>ORD1830</t>
  </si>
  <si>
    <t>Jessica Rogers</t>
  </si>
  <si>
    <t>PROD8654</t>
  </si>
  <si>
    <t>Lake Dianaville</t>
  </si>
  <si>
    <t>Holloway, Jordan and Dougherty</t>
  </si>
  <si>
    <t>pamela62@chapman.info</t>
  </si>
  <si>
    <t>ORD1831</t>
  </si>
  <si>
    <t>CUST175</t>
  </si>
  <si>
    <t>Patrick Pittman</t>
  </si>
  <si>
    <t>PROD3499</t>
  </si>
  <si>
    <t>West Kenneth</t>
  </si>
  <si>
    <t>Jones-Marshall</t>
  </si>
  <si>
    <t>robertwyatt@anderson-page.com</t>
  </si>
  <si>
    <t>ORD1832</t>
  </si>
  <si>
    <t>CUST468</t>
  </si>
  <si>
    <t>Nicholas Blankenship</t>
  </si>
  <si>
    <t>PROD3220</t>
  </si>
  <si>
    <t>Ianchester</t>
  </si>
  <si>
    <t>Collier Group</t>
  </si>
  <si>
    <t>ernestbarton@mcbride-davis.com</t>
  </si>
  <si>
    <t>ORD1833</t>
  </si>
  <si>
    <t>CUST456</t>
  </si>
  <si>
    <t>Emily Henry</t>
  </si>
  <si>
    <t>PROD9652</t>
  </si>
  <si>
    <t>Stephanieton</t>
  </si>
  <si>
    <t>Little-Williamson</t>
  </si>
  <si>
    <t>marshallshawna@yang.biz</t>
  </si>
  <si>
    <t>ORD1834</t>
  </si>
  <si>
    <t>Mary Mills</t>
  </si>
  <si>
    <t>PROD1889</t>
  </si>
  <si>
    <t>Lake Robertstad</t>
  </si>
  <si>
    <t>Chase-Romero</t>
  </si>
  <si>
    <t>yphillips@hill.com</t>
  </si>
  <si>
    <t>ORD1835</t>
  </si>
  <si>
    <t>CUST100</t>
  </si>
  <si>
    <t>Austin Collier</t>
  </si>
  <si>
    <t>PROD8353</t>
  </si>
  <si>
    <t>South Theresaberg</t>
  </si>
  <si>
    <t>Long Inc</t>
  </si>
  <si>
    <t>michaelsmith@taylor.com</t>
  </si>
  <si>
    <t>ORD1836</t>
  </si>
  <si>
    <t>Carlos Harmon</t>
  </si>
  <si>
    <t>PROD8639</t>
  </si>
  <si>
    <t>Johnson, Cantu and Bell</t>
  </si>
  <si>
    <t>hkelly@may.com</t>
  </si>
  <si>
    <t>ORD1837</t>
  </si>
  <si>
    <t>CUST887</t>
  </si>
  <si>
    <t>Tara Stein</t>
  </si>
  <si>
    <t>PROD5776</t>
  </si>
  <si>
    <t>Stephensberg</t>
  </si>
  <si>
    <t>Berry Group</t>
  </si>
  <si>
    <t>sknapp@wang.com</t>
  </si>
  <si>
    <t>ORD1838</t>
  </si>
  <si>
    <t>Charles Rodriguez</t>
  </si>
  <si>
    <t>PROD8230</t>
  </si>
  <si>
    <t>Jackstad</t>
  </si>
  <si>
    <t>Robinson-Lopez</t>
  </si>
  <si>
    <t>esmith@berg-thompson.biz</t>
  </si>
  <si>
    <t>ORD1839</t>
  </si>
  <si>
    <t>Adrian Ford</t>
  </si>
  <si>
    <t>Kellyland</t>
  </si>
  <si>
    <t>Bradshaw-Stevens</t>
  </si>
  <si>
    <t>mbrewer@duncan.net</t>
  </si>
  <si>
    <t>ORD1840</t>
  </si>
  <si>
    <t>CUST221</t>
  </si>
  <si>
    <t>Shane Jones</t>
  </si>
  <si>
    <t>PROD9785</t>
  </si>
  <si>
    <t>Neilville</t>
  </si>
  <si>
    <t>George-Hoffman</t>
  </si>
  <si>
    <t>frankcasey@robinson.com</t>
  </si>
  <si>
    <t>ORD1841</t>
  </si>
  <si>
    <t>Kimberly Bullock</t>
  </si>
  <si>
    <t>PROD5740</t>
  </si>
  <si>
    <t>Black, Davidson and Odom</t>
  </si>
  <si>
    <t>watkinsphyllis@davis.com</t>
  </si>
  <si>
    <t>ORD1842</t>
  </si>
  <si>
    <t>Rachel Mcgee</t>
  </si>
  <si>
    <t>PROD6094</t>
  </si>
  <si>
    <t>South Daniel</t>
  </si>
  <si>
    <t>Wall, Daniels and Gonzales</t>
  </si>
  <si>
    <t>ymoore@brennan.info</t>
  </si>
  <si>
    <t>ORD1843</t>
  </si>
  <si>
    <t>Samuel Cook</t>
  </si>
  <si>
    <t>PROD1131</t>
  </si>
  <si>
    <t>East Renee</t>
  </si>
  <si>
    <t>Rodriguez and Sons</t>
  </si>
  <si>
    <t>jandrews@ray-mcdaniel.biz</t>
  </si>
  <si>
    <t>ORD1844</t>
  </si>
  <si>
    <t>CUST275</t>
  </si>
  <si>
    <t>Charles Lutz</t>
  </si>
  <si>
    <t>PROD7436</t>
  </si>
  <si>
    <t>Webbchester</t>
  </si>
  <si>
    <t>Obrien Inc</t>
  </si>
  <si>
    <t>alvarezkendra@sanchez.info</t>
  </si>
  <si>
    <t>ORD1845</t>
  </si>
  <si>
    <t>Michelle George</t>
  </si>
  <si>
    <t>PROD8108</t>
  </si>
  <si>
    <t>Angelaberg</t>
  </si>
  <si>
    <t>Tran-Evans</t>
  </si>
  <si>
    <t>carlos09@smith.com</t>
  </si>
  <si>
    <t>ORD1846</t>
  </si>
  <si>
    <t>Jennifer Carlson</t>
  </si>
  <si>
    <t>PROD1768</t>
  </si>
  <si>
    <t>New Mark</t>
  </si>
  <si>
    <t>Lewis PLC</t>
  </si>
  <si>
    <t>robynjohnson@bruce-coleman.org</t>
  </si>
  <si>
    <t>ORD1847</t>
  </si>
  <si>
    <t>Laura Collins</t>
  </si>
  <si>
    <t>PROD2984</t>
  </si>
  <si>
    <t>North Alexland</t>
  </si>
  <si>
    <t>Joseph-Mora</t>
  </si>
  <si>
    <t>brittanyphillips@martin-burke.com</t>
  </si>
  <si>
    <t>ORD1848</t>
  </si>
  <si>
    <t>CUST230</t>
  </si>
  <si>
    <t>Jean Thomas</t>
  </si>
  <si>
    <t>PROD1876</t>
  </si>
  <si>
    <t>Choichester</t>
  </si>
  <si>
    <t>Reynolds, Day and Roberts</t>
  </si>
  <si>
    <t>wjohnson@rosario.net</t>
  </si>
  <si>
    <t>ORD1849</t>
  </si>
  <si>
    <t>David Green</t>
  </si>
  <si>
    <t>Erikmouth</t>
  </si>
  <si>
    <t>Bryan, Benitez and Evans</t>
  </si>
  <si>
    <t>vchapman@schaefer.com</t>
  </si>
  <si>
    <t>ORD1850</t>
  </si>
  <si>
    <t>Shaun Garcia</t>
  </si>
  <si>
    <t>PROD7725</t>
  </si>
  <si>
    <t>Mckenzieburgh</t>
  </si>
  <si>
    <t>Hayes-Cole</t>
  </si>
  <si>
    <t>mmartinez@austin.biz</t>
  </si>
  <si>
    <t>ORD1851</t>
  </si>
  <si>
    <t>PROD7487</t>
  </si>
  <si>
    <t>West Rebeccafurt</t>
  </si>
  <si>
    <t>Evans Group</t>
  </si>
  <si>
    <t>novakjared@johnson.com</t>
  </si>
  <si>
    <t>ORD1852</t>
  </si>
  <si>
    <t>Kelly Lozano</t>
  </si>
  <si>
    <t>PROD2264</t>
  </si>
  <si>
    <t>South Justin</t>
  </si>
  <si>
    <t>Perez, Combs and Rivas</t>
  </si>
  <si>
    <t>lking@johnson.com</t>
  </si>
  <si>
    <t>ORD1853</t>
  </si>
  <si>
    <t>CUST340</t>
  </si>
  <si>
    <t>David Brown</t>
  </si>
  <si>
    <t>PROD3721</t>
  </si>
  <si>
    <t>West Olivia</t>
  </si>
  <si>
    <t>Chan and Sons</t>
  </si>
  <si>
    <t>kirksmith@ortiz.com</t>
  </si>
  <si>
    <t>ORD1854</t>
  </si>
  <si>
    <t>CUST300</t>
  </si>
  <si>
    <t>Judy Morgan</t>
  </si>
  <si>
    <t>PROD6187</t>
  </si>
  <si>
    <t>Edwardsburgh</t>
  </si>
  <si>
    <t>Jackson, Holland and Phillips</t>
  </si>
  <si>
    <t>yangdawn@kelly.biz</t>
  </si>
  <si>
    <t>ORD1855</t>
  </si>
  <si>
    <t>CUST624</t>
  </si>
  <si>
    <t>Jennifer Davis</t>
  </si>
  <si>
    <t>PROD9665</t>
  </si>
  <si>
    <t>Jennifertown</t>
  </si>
  <si>
    <t>Miles-Zuniga</t>
  </si>
  <si>
    <t>fhamilton@myers-mills.net</t>
  </si>
  <si>
    <t>ORD1856</t>
  </si>
  <si>
    <t>CUST315</t>
  </si>
  <si>
    <t>Jennifer Reid</t>
  </si>
  <si>
    <t>PROD6623</t>
  </si>
  <si>
    <t>Rogerchester</t>
  </si>
  <si>
    <t>Callahan-Goodman</t>
  </si>
  <si>
    <t>hansonlindsay@harrison.com</t>
  </si>
  <si>
    <t>ORD1857</t>
  </si>
  <si>
    <t>CUST274</t>
  </si>
  <si>
    <t>Allen Gardner</t>
  </si>
  <si>
    <t>PROD8019</t>
  </si>
  <si>
    <t>Ashleymouth</t>
  </si>
  <si>
    <t>Miller, Brown and Miller</t>
  </si>
  <si>
    <t>thomas06@jenkins-murray.com</t>
  </si>
  <si>
    <t>ORD1858</t>
  </si>
  <si>
    <t>CUST225</t>
  </si>
  <si>
    <t>Anthony Richardson</t>
  </si>
  <si>
    <t>PROD6329</t>
  </si>
  <si>
    <t>Jonathantown</t>
  </si>
  <si>
    <t>Brown-Foley</t>
  </si>
  <si>
    <t>phillipwhitehead@lin.com</t>
  </si>
  <si>
    <t>ORD1859</t>
  </si>
  <si>
    <t>Johnny Martinez</t>
  </si>
  <si>
    <t>PROD3405</t>
  </si>
  <si>
    <t>New Rachel</t>
  </si>
  <si>
    <t>Dyer-Davila</t>
  </si>
  <si>
    <t>oscar58@wolfe.net</t>
  </si>
  <si>
    <t>ORD1860</t>
  </si>
  <si>
    <t>CUST112</t>
  </si>
  <si>
    <t>Danielburgh</t>
  </si>
  <si>
    <t>Schmidt, Rios and Cruz</t>
  </si>
  <si>
    <t>brianadavis@rodriguez.com</t>
  </si>
  <si>
    <t>ORD1861</t>
  </si>
  <si>
    <t>CUST206</t>
  </si>
  <si>
    <t>Matthew Carr</t>
  </si>
  <si>
    <t>PROD8582</t>
  </si>
  <si>
    <t>North Chasechester</t>
  </si>
  <si>
    <t>Wilson-Smith</t>
  </si>
  <si>
    <t>dbrown@brooks.info</t>
  </si>
  <si>
    <t>ORD1862</t>
  </si>
  <si>
    <t>Brent Johnson</t>
  </si>
  <si>
    <t>South Bryantown</t>
  </si>
  <si>
    <t>Logan, Murillo and Ramirez</t>
  </si>
  <si>
    <t>kaylabaker@scott.com</t>
  </si>
  <si>
    <t>ORD1863</t>
  </si>
  <si>
    <t>CUST344</t>
  </si>
  <si>
    <t>Brent Lopez</t>
  </si>
  <si>
    <t>PROD7069</t>
  </si>
  <si>
    <t>South Nicholasland</t>
  </si>
  <si>
    <t>Gregory PLC</t>
  </si>
  <si>
    <t>lewistyler@elliott-richardson.org</t>
  </si>
  <si>
    <t>ORD1864</t>
  </si>
  <si>
    <t>Jason Sanders</t>
  </si>
  <si>
    <t>PROD4490</t>
  </si>
  <si>
    <t>Lake Laurie</t>
  </si>
  <si>
    <t>Chambers-Gonzalez</t>
  </si>
  <si>
    <t>johnsonfrancis@reed-jacobs.com</t>
  </si>
  <si>
    <t>ORD1865</t>
  </si>
  <si>
    <t>Oscar Walls</t>
  </si>
  <si>
    <t>PROD8148</t>
  </si>
  <si>
    <t>Carterville</t>
  </si>
  <si>
    <t>Webb-Allen</t>
  </si>
  <si>
    <t>tgreen@kim.com</t>
  </si>
  <si>
    <t>ORD1866</t>
  </si>
  <si>
    <t>CUST772</t>
  </si>
  <si>
    <t>Larry Bailey</t>
  </si>
  <si>
    <t>PROD1237</t>
  </si>
  <si>
    <t>Francisside</t>
  </si>
  <si>
    <t>Williams, Dixon and Miller</t>
  </si>
  <si>
    <t>victoriakelly@bright.com</t>
  </si>
  <si>
    <t>ORD1867</t>
  </si>
  <si>
    <t>Michele Maldonado</t>
  </si>
  <si>
    <t>PROD1576</t>
  </si>
  <si>
    <t>Bauerport</t>
  </si>
  <si>
    <t>Ramos, Rodriguez and Browning</t>
  </si>
  <si>
    <t>davidwelch@wheeler.com</t>
  </si>
  <si>
    <t>ORD1868</t>
  </si>
  <si>
    <t>CUST665</t>
  </si>
  <si>
    <t>Raymond Maddox</t>
  </si>
  <si>
    <t>PROD3407</t>
  </si>
  <si>
    <t>Port Kimberlyfurt</t>
  </si>
  <si>
    <t>Arias-Mills</t>
  </si>
  <si>
    <t>marcus32@price.com</t>
  </si>
  <si>
    <t>ORD1869</t>
  </si>
  <si>
    <t>Kimberly Hoover</t>
  </si>
  <si>
    <t>PROD8855</t>
  </si>
  <si>
    <t>Mauricebury</t>
  </si>
  <si>
    <t>Reese PLC</t>
  </si>
  <si>
    <t>michael48@martinez.com</t>
  </si>
  <si>
    <t>ORD1870</t>
  </si>
  <si>
    <t>Susan Wagner</t>
  </si>
  <si>
    <t>PROD1925</t>
  </si>
  <si>
    <t>Gloriashire</t>
  </si>
  <si>
    <t>xlucero@thomas.net</t>
  </si>
  <si>
    <t>ORD1871</t>
  </si>
  <si>
    <t>CUST406</t>
  </si>
  <si>
    <t>Allen Thompson</t>
  </si>
  <si>
    <t>PROD1726</t>
  </si>
  <si>
    <t>Gregorychester</t>
  </si>
  <si>
    <t>Christian Inc</t>
  </si>
  <si>
    <t>hmooney@parker.biz</t>
  </si>
  <si>
    <t>ORD1872</t>
  </si>
  <si>
    <t>Cynthia Davis</t>
  </si>
  <si>
    <t>PROD9376</t>
  </si>
  <si>
    <t>Mooreton</t>
  </si>
  <si>
    <t>Peterson, Parrish and Martinez</t>
  </si>
  <si>
    <t>tylerpowell@bruce.net</t>
  </si>
  <si>
    <t>ORD1873</t>
  </si>
  <si>
    <t>Michael Mills</t>
  </si>
  <si>
    <t>PROD8585</t>
  </si>
  <si>
    <t>Jeffreyton</t>
  </si>
  <si>
    <t>Chase-Mann</t>
  </si>
  <si>
    <t>marksjean@morgan.info</t>
  </si>
  <si>
    <t>ORD1874</t>
  </si>
  <si>
    <t>Jessica Jenkins</t>
  </si>
  <si>
    <t>PROD1986</t>
  </si>
  <si>
    <t>Lake Tina</t>
  </si>
  <si>
    <t>Hernandez-Gonzalez</t>
  </si>
  <si>
    <t>jameswiley@bailey.com</t>
  </si>
  <si>
    <t>ORD1875</t>
  </si>
  <si>
    <t>Erik Cox</t>
  </si>
  <si>
    <t>Clayville</t>
  </si>
  <si>
    <t>Marshall-Shepard</t>
  </si>
  <si>
    <t>stephensronald@schultz-rangel.com</t>
  </si>
  <si>
    <t>ORD1876</t>
  </si>
  <si>
    <t>Amber Mason</t>
  </si>
  <si>
    <t>PROD1241</t>
  </si>
  <si>
    <t>Wadetown</t>
  </si>
  <si>
    <t>Morrison-Dawson</t>
  </si>
  <si>
    <t>hollandrachel@smith.org</t>
  </si>
  <si>
    <t>ORD1877</t>
  </si>
  <si>
    <t>Christopher Goodman</t>
  </si>
  <si>
    <t>PROD5105</t>
  </si>
  <si>
    <t>Vincentborough</t>
  </si>
  <si>
    <t>Cunningham-Harmon</t>
  </si>
  <si>
    <t>ballkelly@wright-washington.net</t>
  </si>
  <si>
    <t>ORD1878</t>
  </si>
  <si>
    <t>CUST119</t>
  </si>
  <si>
    <t>Stephanie Barnes</t>
  </si>
  <si>
    <t>PROD5586</t>
  </si>
  <si>
    <t>Lake Garyberg</t>
  </si>
  <si>
    <t>Jackson-Phillips</t>
  </si>
  <si>
    <t>rmiller@cooke.info</t>
  </si>
  <si>
    <t>ORD1879</t>
  </si>
  <si>
    <t>Lake Charlesview</t>
  </si>
  <si>
    <t>Hall PLC</t>
  </si>
  <si>
    <t>jake14@skinner-ellis.org</t>
  </si>
  <si>
    <t>ORD1880</t>
  </si>
  <si>
    <t>CUST425</t>
  </si>
  <si>
    <t>Abigail Swanson</t>
  </si>
  <si>
    <t>PROD4132</t>
  </si>
  <si>
    <t>Port Hectormouth</t>
  </si>
  <si>
    <t>Howard-Sanchez</t>
  </si>
  <si>
    <t>denise01@dixon.com</t>
  </si>
  <si>
    <t>ORD1881</t>
  </si>
  <si>
    <t>Marcus Reed</t>
  </si>
  <si>
    <t>PROD7905</t>
  </si>
  <si>
    <t>Ryanland</t>
  </si>
  <si>
    <t>Rodgers-Esparza</t>
  </si>
  <si>
    <t>daltondavid@hancock-morris.com</t>
  </si>
  <si>
    <t>ORD1882</t>
  </si>
  <si>
    <t>Jennifer Ward</t>
  </si>
  <si>
    <t>Lake Maria</t>
  </si>
  <si>
    <t>Hudson Inc</t>
  </si>
  <si>
    <t>humphreysteven@cox.com</t>
  </si>
  <si>
    <t>ORD1883</t>
  </si>
  <si>
    <t>Cameron Moore</t>
  </si>
  <si>
    <t>PROD9783</t>
  </si>
  <si>
    <t>Claytonfurt</t>
  </si>
  <si>
    <t>Cortez-Humphrey</t>
  </si>
  <si>
    <t>atkinsonsherri@smith.com</t>
  </si>
  <si>
    <t>ORD1884</t>
  </si>
  <si>
    <t>CUST299</t>
  </si>
  <si>
    <t>Kelly Hutchinson</t>
  </si>
  <si>
    <t>PROD4773</t>
  </si>
  <si>
    <t>Joannastad</t>
  </si>
  <si>
    <t>Gallegos and Sons</t>
  </si>
  <si>
    <t>waltertran@decker.org</t>
  </si>
  <si>
    <t>ORD1885</t>
  </si>
  <si>
    <t>Taylor Rivera</t>
  </si>
  <si>
    <t>Sanchezfort</t>
  </si>
  <si>
    <t>Rubio Inc</t>
  </si>
  <si>
    <t>johnoconnor@hill.biz</t>
  </si>
  <si>
    <t>ORD1886</t>
  </si>
  <si>
    <t>CUST207</t>
  </si>
  <si>
    <t>Donna Anderson</t>
  </si>
  <si>
    <t>PROD3702</t>
  </si>
  <si>
    <t>South Angelaberg</t>
  </si>
  <si>
    <t>Todd PLC</t>
  </si>
  <si>
    <t>shannon43@wright.com</t>
  </si>
  <si>
    <t>ORD1887</t>
  </si>
  <si>
    <t>Mary Smith</t>
  </si>
  <si>
    <t>PROD2883</t>
  </si>
  <si>
    <t>New Karen</t>
  </si>
  <si>
    <t>Watts-Jordan</t>
  </si>
  <si>
    <t>ushaw@carter-nicholson.biz</t>
  </si>
  <si>
    <t>ORD1888</t>
  </si>
  <si>
    <t>Crystal Fox</t>
  </si>
  <si>
    <t>PROD4795</t>
  </si>
  <si>
    <t>South Richard</t>
  </si>
  <si>
    <t>randy82@hernandez-jackson.com</t>
  </si>
  <si>
    <t>ORD1889</t>
  </si>
  <si>
    <t>Gary Jones</t>
  </si>
  <si>
    <t>PROD3645</t>
  </si>
  <si>
    <t>Bryanmouth</t>
  </si>
  <si>
    <t>Watson-Kennedy</t>
  </si>
  <si>
    <t>priscillamorgan@pham.net</t>
  </si>
  <si>
    <t>ORD1890</t>
  </si>
  <si>
    <t>CUST415</t>
  </si>
  <si>
    <t>Jason Edwards</t>
  </si>
  <si>
    <t>PROD8810</t>
  </si>
  <si>
    <t>Eduardoberg</t>
  </si>
  <si>
    <t>Quinn LLC</t>
  </si>
  <si>
    <t>elizabethharrell@hughes.com</t>
  </si>
  <si>
    <t>ORD1891</t>
  </si>
  <si>
    <t>John Williams</t>
  </si>
  <si>
    <t>PROD7467</t>
  </si>
  <si>
    <t>Barnettton</t>
  </si>
  <si>
    <t>Pruitt, Mendoza and Hill</t>
  </si>
  <si>
    <t>matthewfernandez@gill.com</t>
  </si>
  <si>
    <t>ORD1892</t>
  </si>
  <si>
    <t>CUST643</t>
  </si>
  <si>
    <t>Melinda Smith</t>
  </si>
  <si>
    <t>PROD5216</t>
  </si>
  <si>
    <t>Andrewport</t>
  </si>
  <si>
    <t>Howard, Carter and Shah</t>
  </si>
  <si>
    <t>amandamartinez@atkins.biz</t>
  </si>
  <si>
    <t>ORD1893</t>
  </si>
  <si>
    <t>Jane Juarez</t>
  </si>
  <si>
    <t>PROD9059</t>
  </si>
  <si>
    <t>North Cynthia</t>
  </si>
  <si>
    <t>Wilson-Edwards</t>
  </si>
  <si>
    <t>larsonkelli@ortiz.com</t>
  </si>
  <si>
    <t>ORD1894</t>
  </si>
  <si>
    <t>Bradley Davis</t>
  </si>
  <si>
    <t>PROD6668</t>
  </si>
  <si>
    <t>North Juan</t>
  </si>
  <si>
    <t>Wagner-Robinson</t>
  </si>
  <si>
    <t>colonjoshua@green.com</t>
  </si>
  <si>
    <t>ORD1895</t>
  </si>
  <si>
    <t>Cameron Herrera</t>
  </si>
  <si>
    <t>PROD7588</t>
  </si>
  <si>
    <t>North Jamesburgh</t>
  </si>
  <si>
    <t>Mccoy, Holmes and Rodgers</t>
  </si>
  <si>
    <t>olewis@frank.com</t>
  </si>
  <si>
    <t>ORD1896</t>
  </si>
  <si>
    <t>CUST323</t>
  </si>
  <si>
    <t>Jacqueline Duffy</t>
  </si>
  <si>
    <t>PROD1734</t>
  </si>
  <si>
    <t>Burgessborough</t>
  </si>
  <si>
    <t>Roman and Sons</t>
  </si>
  <si>
    <t>curtismelissa@cline.com</t>
  </si>
  <si>
    <t>ORD1897</t>
  </si>
  <si>
    <t>Kyle Riley</t>
  </si>
  <si>
    <t>PROD1147</t>
  </si>
  <si>
    <t>Martin-Rose</t>
  </si>
  <si>
    <t>hannahdillon@hernandez.com</t>
  </si>
  <si>
    <t>ORD1898</t>
  </si>
  <si>
    <t>Brian Evans</t>
  </si>
  <si>
    <t>PROD6091</t>
  </si>
  <si>
    <t>Lake Daniel</t>
  </si>
  <si>
    <t>Meyer and Sons</t>
  </si>
  <si>
    <t>bairdsusan@good-johnson.com</t>
  </si>
  <si>
    <t>ORD1899</t>
  </si>
  <si>
    <t>CUST117</t>
  </si>
  <si>
    <t>Kylie Wright</t>
  </si>
  <si>
    <t>PROD8532</t>
  </si>
  <si>
    <t>Nicholaschester</t>
  </si>
  <si>
    <t>Burnett Ltd</t>
  </si>
  <si>
    <t>jesus46@jefferson.net</t>
  </si>
  <si>
    <t>ORD1900</t>
  </si>
  <si>
    <t>Dana Cordova</t>
  </si>
  <si>
    <t>PROD6351</t>
  </si>
  <si>
    <t>Carolinefort</t>
  </si>
  <si>
    <t>Torres and Sons</t>
  </si>
  <si>
    <t>brianolson@johnson.com</t>
  </si>
  <si>
    <t>ORD1901</t>
  </si>
  <si>
    <t>Cody Reyes</t>
  </si>
  <si>
    <t>PROD1481</t>
  </si>
  <si>
    <t>Rodgersfurt</t>
  </si>
  <si>
    <t>Johnson, Schmitt and Harris</t>
  </si>
  <si>
    <t>jonesamy@cortez.com</t>
  </si>
  <si>
    <t>ORD1902</t>
  </si>
  <si>
    <t>CUST566</t>
  </si>
  <si>
    <t>Mark Vaughn</t>
  </si>
  <si>
    <t>PROD8276</t>
  </si>
  <si>
    <t>West Aaronborough</t>
  </si>
  <si>
    <t>Morris PLC</t>
  </si>
  <si>
    <t>uwilliams@schmidt.org</t>
  </si>
  <si>
    <t>ORD1903</t>
  </si>
  <si>
    <t>CUST954</t>
  </si>
  <si>
    <t>Amanda Ball</t>
  </si>
  <si>
    <t>PROD1778</t>
  </si>
  <si>
    <t>Karenland</t>
  </si>
  <si>
    <t>Huff-Lee</t>
  </si>
  <si>
    <t>qreed@terry-montgomery.org</t>
  </si>
  <si>
    <t>ORD1904</t>
  </si>
  <si>
    <t>Jennifer Dudley</t>
  </si>
  <si>
    <t>PROD4748</t>
  </si>
  <si>
    <t>Masseystad</t>
  </si>
  <si>
    <t>Wheeler, Hayes and Tucker</t>
  </si>
  <si>
    <t>kramirez@smith.com</t>
  </si>
  <si>
    <t>ORD1905</t>
  </si>
  <si>
    <t>Elizabeth Simmons</t>
  </si>
  <si>
    <t>PROD2723</t>
  </si>
  <si>
    <t>Hensleymouth</t>
  </si>
  <si>
    <t>Humphrey, Davis and Payne</t>
  </si>
  <si>
    <t>thomasmaria@watson.com</t>
  </si>
  <si>
    <t>ORD1906</t>
  </si>
  <si>
    <t>CUST396</t>
  </si>
  <si>
    <t>Steven Ruiz</t>
  </si>
  <si>
    <t>PROD4713</t>
  </si>
  <si>
    <t>Matthewberg</t>
  </si>
  <si>
    <t>Lewis, Miller and Allen</t>
  </si>
  <si>
    <t>williamsdiane@henson.com</t>
  </si>
  <si>
    <t>ORD1907</t>
  </si>
  <si>
    <t>Erica Marquez</t>
  </si>
  <si>
    <t>Ronnieland</t>
  </si>
  <si>
    <t>Jones-Whitehead</t>
  </si>
  <si>
    <t>cheryl70@jenkins-miller.org</t>
  </si>
  <si>
    <t>ORD1908</t>
  </si>
  <si>
    <t>Alyssa Keith</t>
  </si>
  <si>
    <t>PROD6451</t>
  </si>
  <si>
    <t>Lake Jenniferborough</t>
  </si>
  <si>
    <t>Hall-Stevenson</t>
  </si>
  <si>
    <t>charlesfriedman@wiley.com</t>
  </si>
  <si>
    <t>ORD1909</t>
  </si>
  <si>
    <t>CUST263</t>
  </si>
  <si>
    <t>Paula Davis</t>
  </si>
  <si>
    <t>PROD8722</t>
  </si>
  <si>
    <t>Lake Alejandrofurt</t>
  </si>
  <si>
    <t>Johnson-Morrow</t>
  </si>
  <si>
    <t>greenekenneth@flores.com</t>
  </si>
  <si>
    <t>ORD1910</t>
  </si>
  <si>
    <t>CUST142</t>
  </si>
  <si>
    <t>Lauren Harris</t>
  </si>
  <si>
    <t>PROD9654</t>
  </si>
  <si>
    <t>East Brittneybury</t>
  </si>
  <si>
    <t>Henderson LLC</t>
  </si>
  <si>
    <t>scastillo@hudson-warren.com</t>
  </si>
  <si>
    <t>ORD1911</t>
  </si>
  <si>
    <t>Hannah George</t>
  </si>
  <si>
    <t>PROD1007</t>
  </si>
  <si>
    <t>Grantbury</t>
  </si>
  <si>
    <t>Page-Wheeler</t>
  </si>
  <si>
    <t>matthewberger@hudson-vasquez.com</t>
  </si>
  <si>
    <t>ORD1912</t>
  </si>
  <si>
    <t>Alexis Miller</t>
  </si>
  <si>
    <t>PROD5661</t>
  </si>
  <si>
    <t>Sherriton</t>
  </si>
  <si>
    <t>Kidd, Johnson and Clark</t>
  </si>
  <si>
    <t>igonzalez@chambers.biz</t>
  </si>
  <si>
    <t>ORD1913</t>
  </si>
  <si>
    <t>Beth Perez</t>
  </si>
  <si>
    <t>PROD5364</t>
  </si>
  <si>
    <t>Trevinoport</t>
  </si>
  <si>
    <t>Johnson, Wilson and Deleon</t>
  </si>
  <si>
    <t>brookeburke@cohen.com</t>
  </si>
  <si>
    <t>ORD1914</t>
  </si>
  <si>
    <t>Lisa Carr</t>
  </si>
  <si>
    <t>Port Danielport</t>
  </si>
  <si>
    <t>Jimenez, Gregory and Mcclure</t>
  </si>
  <si>
    <t>frazierkelly@macdonald.biz</t>
  </si>
  <si>
    <t>ORD1915</t>
  </si>
  <si>
    <t>Cassandra Phillips</t>
  </si>
  <si>
    <t>PROD1823</t>
  </si>
  <si>
    <t>New Edwardfort</t>
  </si>
  <si>
    <t>Ward LLC</t>
  </si>
  <si>
    <t>christina21@richardson.com</t>
  </si>
  <si>
    <t>ORD1916</t>
  </si>
  <si>
    <t>CUST575</t>
  </si>
  <si>
    <t>Zachary Woodard</t>
  </si>
  <si>
    <t>PROD1349</t>
  </si>
  <si>
    <t>Walterborough</t>
  </si>
  <si>
    <t>Thomas, Hurley and Johnson</t>
  </si>
  <si>
    <t>laurarobertson@ray.net</t>
  </si>
  <si>
    <t>ORD1917</t>
  </si>
  <si>
    <t>CUST875</t>
  </si>
  <si>
    <t>Robin Bray</t>
  </si>
  <si>
    <t>PROD3844</t>
  </si>
  <si>
    <t>Hendrixmouth</t>
  </si>
  <si>
    <t>Douglas Group</t>
  </si>
  <si>
    <t>johnsonholly@thomas-boyd.com</t>
  </si>
  <si>
    <t>ORD1918</t>
  </si>
  <si>
    <t>Caitlin Martin</t>
  </si>
  <si>
    <t>PROD9724</t>
  </si>
  <si>
    <t>Port Melissaville</t>
  </si>
  <si>
    <t>Cummings Group</t>
  </si>
  <si>
    <t>dsullivan@miller.org</t>
  </si>
  <si>
    <t>ORD1919</t>
  </si>
  <si>
    <t>Rachel Collins</t>
  </si>
  <si>
    <t>PROD1842</t>
  </si>
  <si>
    <t>East Holly</t>
  </si>
  <si>
    <t>Martin, Nichols and Dunlap</t>
  </si>
  <si>
    <t>pjackson@herman.biz</t>
  </si>
  <si>
    <t>ORD1920</t>
  </si>
  <si>
    <t>CUST544</t>
  </si>
  <si>
    <t>Joseph Edwards</t>
  </si>
  <si>
    <t>PROD3969</t>
  </si>
  <si>
    <t>Holdermouth</t>
  </si>
  <si>
    <t>Wilson PLC</t>
  </si>
  <si>
    <t>lsimon@miller.com</t>
  </si>
  <si>
    <t>ORD1921</t>
  </si>
  <si>
    <t>CUST392</t>
  </si>
  <si>
    <t>Jenny King</t>
  </si>
  <si>
    <t>PROD2400</t>
  </si>
  <si>
    <t>South Joanbury</t>
  </si>
  <si>
    <t>Drake, Allen and Francis</t>
  </si>
  <si>
    <t>jamesbooker@garcia.com</t>
  </si>
  <si>
    <t>ORD1922</t>
  </si>
  <si>
    <t>Juan Nelson</t>
  </si>
  <si>
    <t>PROD6733</t>
  </si>
  <si>
    <t>Williamsville</t>
  </si>
  <si>
    <t>Wright Inc</t>
  </si>
  <si>
    <t>angie39@bell-torres.com</t>
  </si>
  <si>
    <t>ORD1923</t>
  </si>
  <si>
    <t>Christopher Dunn</t>
  </si>
  <si>
    <t>PROD3308</t>
  </si>
  <si>
    <t>Lake Meganburgh</t>
  </si>
  <si>
    <t>Norris-Phillips</t>
  </si>
  <si>
    <t>kyle23@thomas-jordan.info</t>
  </si>
  <si>
    <t>ORD1924</t>
  </si>
  <si>
    <t>Howard Simmons</t>
  </si>
  <si>
    <t>Lake Hollyport</t>
  </si>
  <si>
    <t>Perry-Martinez</t>
  </si>
  <si>
    <t>jonessabrina@gill.com</t>
  </si>
  <si>
    <t>ORD1925</t>
  </si>
  <si>
    <t>Anthony Morris</t>
  </si>
  <si>
    <t>PROD4025</t>
  </si>
  <si>
    <t>New Williamshire</t>
  </si>
  <si>
    <t>Chavez Group</t>
  </si>
  <si>
    <t>rebekahtaylor@osborne-campbell.net</t>
  </si>
  <si>
    <t>ORD1926</t>
  </si>
  <si>
    <t>CUST436</t>
  </si>
  <si>
    <t>Kimberly Perkins</t>
  </si>
  <si>
    <t>PROD2981</t>
  </si>
  <si>
    <t>Ortegabury</t>
  </si>
  <si>
    <t>Harper, Houston and Davis</t>
  </si>
  <si>
    <t>andreapeterson@herrera-garrett.net</t>
  </si>
  <si>
    <t>ORD1927</t>
  </si>
  <si>
    <t>Steve Lyons</t>
  </si>
  <si>
    <t>PROD9522</t>
  </si>
  <si>
    <t>New Julie</t>
  </si>
  <si>
    <t>Anderson-Martin</t>
  </si>
  <si>
    <t>perkinslisa@pace-jones.biz</t>
  </si>
  <si>
    <t>ORD1928</t>
  </si>
  <si>
    <t>Lori Villanueva</t>
  </si>
  <si>
    <t>PROD4749</t>
  </si>
  <si>
    <t>Derekburgh</t>
  </si>
  <si>
    <t>Espinoza PLC</t>
  </si>
  <si>
    <t>imoyer@white.com</t>
  </si>
  <si>
    <t>ORD1929</t>
  </si>
  <si>
    <t>Richard Pierce</t>
  </si>
  <si>
    <t>PROD9320</t>
  </si>
  <si>
    <t>Carlosport</t>
  </si>
  <si>
    <t>Woodard PLC</t>
  </si>
  <si>
    <t>zsmith@woodward-hunt.com</t>
  </si>
  <si>
    <t>ORD1930</t>
  </si>
  <si>
    <t>Carol Hayes</t>
  </si>
  <si>
    <t>PROD3007</t>
  </si>
  <si>
    <t>Port Patricktown</t>
  </si>
  <si>
    <t>Chambers-Christensen</t>
  </si>
  <si>
    <t>brownjames@walker.com</t>
  </si>
  <si>
    <t>ORD1931</t>
  </si>
  <si>
    <t>CUST127</t>
  </si>
  <si>
    <t>Nicole Davis</t>
  </si>
  <si>
    <t>South Crystalstad</t>
  </si>
  <si>
    <t>Howell-Castillo</t>
  </si>
  <si>
    <t>schristensen@green-blanchard.net</t>
  </si>
  <si>
    <t>ORD1932</t>
  </si>
  <si>
    <t>Pamela Morris</t>
  </si>
  <si>
    <t>PROD2699</t>
  </si>
  <si>
    <t>Emilyside</t>
  </si>
  <si>
    <t>Calderon, Alexander and Cooper</t>
  </si>
  <si>
    <t>oscar73@murphy-hunt.com</t>
  </si>
  <si>
    <t>ORD1933</t>
  </si>
  <si>
    <t>Shawn Buck</t>
  </si>
  <si>
    <t>Kingtown</t>
  </si>
  <si>
    <t>Lee, Christian and James</t>
  </si>
  <si>
    <t>kennedyjoshua@beck.com</t>
  </si>
  <si>
    <t>ORD1934</t>
  </si>
  <si>
    <t>Lisa Lopez</t>
  </si>
  <si>
    <t>PROD4113</t>
  </si>
  <si>
    <t>North Juliemouth</t>
  </si>
  <si>
    <t>Evans, Campbell and Howard</t>
  </si>
  <si>
    <t>matthewjackson@peterson.org</t>
  </si>
  <si>
    <t>ORD1935</t>
  </si>
  <si>
    <t>CUST503</t>
  </si>
  <si>
    <t>David Moss</t>
  </si>
  <si>
    <t>PROD3558</t>
  </si>
  <si>
    <t>Michelletown</t>
  </si>
  <si>
    <t>Evans-Whitehead</t>
  </si>
  <si>
    <t>jonathon80@santana-berry.com</t>
  </si>
  <si>
    <t>ORD1936</t>
  </si>
  <si>
    <t>Christina Orozco</t>
  </si>
  <si>
    <t>PROD3139</t>
  </si>
  <si>
    <t>Port Willie</t>
  </si>
  <si>
    <t>Peterson-Walsh</t>
  </si>
  <si>
    <t>edward20@mendez.com</t>
  </si>
  <si>
    <t>ORD1937</t>
  </si>
  <si>
    <t>Tyler Cordova</t>
  </si>
  <si>
    <t>PROD8802</t>
  </si>
  <si>
    <t>South Sheilafort</t>
  </si>
  <si>
    <t>Rice PLC</t>
  </si>
  <si>
    <t>teresarowland@stewart.biz</t>
  </si>
  <si>
    <t>ORD1938</t>
  </si>
  <si>
    <t>Kimberly Sanford</t>
  </si>
  <si>
    <t>PROD8307</t>
  </si>
  <si>
    <t>New Tamara</t>
  </si>
  <si>
    <t>Johnson-Collier</t>
  </si>
  <si>
    <t>jodi96@thomas-mcbride.biz</t>
  </si>
  <si>
    <t>ORD1939</t>
  </si>
  <si>
    <t>PROD9847</t>
  </si>
  <si>
    <t>Nicholastown</t>
  </si>
  <si>
    <t>Cervantes-Gallegos</t>
  </si>
  <si>
    <t>danaallen@kirk.com</t>
  </si>
  <si>
    <t>ORD1940</t>
  </si>
  <si>
    <t>CUST977</t>
  </si>
  <si>
    <t>Amanda Ward</t>
  </si>
  <si>
    <t>PROD4514</t>
  </si>
  <si>
    <t>Kimbury</t>
  </si>
  <si>
    <t>Perkins, Francis and Hernandez</t>
  </si>
  <si>
    <t>sanchezmatthew@walker.com</t>
  </si>
  <si>
    <t>ORD1941</t>
  </si>
  <si>
    <t>CUST819</t>
  </si>
  <si>
    <t>David Blackwell</t>
  </si>
  <si>
    <t>PROD2759</t>
  </si>
  <si>
    <t>Mathismouth</t>
  </si>
  <si>
    <t>Bradshaw, Bryant and Day</t>
  </si>
  <si>
    <t>kmartin@hall.biz</t>
  </si>
  <si>
    <t>ORD1942</t>
  </si>
  <si>
    <t>Joanne Mills</t>
  </si>
  <si>
    <t>PROD3935</t>
  </si>
  <si>
    <t>Careybury</t>
  </si>
  <si>
    <t>Morris LLC</t>
  </si>
  <si>
    <t>twelch@thompson-hart.com</t>
  </si>
  <si>
    <t>ORD1943</t>
  </si>
  <si>
    <t>CUST892</t>
  </si>
  <si>
    <t>Deborah Banks</t>
  </si>
  <si>
    <t>PROD3515</t>
  </si>
  <si>
    <t>North Roger</t>
  </si>
  <si>
    <t>Blake PLC</t>
  </si>
  <si>
    <t>carly35@lee-olsen.biz</t>
  </si>
  <si>
    <t>ORD1944</t>
  </si>
  <si>
    <t>Jacqueline Obrien</t>
  </si>
  <si>
    <t>PROD9974</t>
  </si>
  <si>
    <t>Sullivantown</t>
  </si>
  <si>
    <t>Leach, Strickland and Carter</t>
  </si>
  <si>
    <t>amyeaton@conrad.org</t>
  </si>
  <si>
    <t>ORD1945</t>
  </si>
  <si>
    <t>CUST295</t>
  </si>
  <si>
    <t>Amanda Riley</t>
  </si>
  <si>
    <t>PROD6444</t>
  </si>
  <si>
    <t>Walls Inc</t>
  </si>
  <si>
    <t>robertcarpenter@smith-smith.org</t>
  </si>
  <si>
    <t>ORD1946</t>
  </si>
  <si>
    <t>Jason Berg</t>
  </si>
  <si>
    <t>PROD1560</t>
  </si>
  <si>
    <t>East Eric</t>
  </si>
  <si>
    <t>Fox-Barr</t>
  </si>
  <si>
    <t>jamiewright@cobb.com</t>
  </si>
  <si>
    <t>ORD1947</t>
  </si>
  <si>
    <t>Joshua Hurley</t>
  </si>
  <si>
    <t>PROD2330</t>
  </si>
  <si>
    <t>New Mario</t>
  </si>
  <si>
    <t>Mclaughlin Group</t>
  </si>
  <si>
    <t>ngray@diaz.org</t>
  </si>
  <si>
    <t>ORD1948</t>
  </si>
  <si>
    <t>CUST168</t>
  </si>
  <si>
    <t>Diana Young</t>
  </si>
  <si>
    <t>PROD9061</t>
  </si>
  <si>
    <t>Stephaniehaven</t>
  </si>
  <si>
    <t>Carter, Wood and Moran</t>
  </si>
  <si>
    <t>jennifer81@simpson.com</t>
  </si>
  <si>
    <t>ORD1949</t>
  </si>
  <si>
    <t>CUST701</t>
  </si>
  <si>
    <t>Paul Powell</t>
  </si>
  <si>
    <t>PROD9905</t>
  </si>
  <si>
    <t>South Samantha</t>
  </si>
  <si>
    <t>Hernandez LLC</t>
  </si>
  <si>
    <t>delacruzelizabeth@mejia-byrd.biz</t>
  </si>
  <si>
    <t>ORD1950</t>
  </si>
  <si>
    <t>Joseph Daniel</t>
  </si>
  <si>
    <t>PROD9697</t>
  </si>
  <si>
    <t>East Josemouth</t>
  </si>
  <si>
    <t>Neal and Sons</t>
  </si>
  <si>
    <t>lmartin@galvan-arias.com</t>
  </si>
  <si>
    <t>ORD1951</t>
  </si>
  <si>
    <t>CUST810</t>
  </si>
  <si>
    <t>Jacqueline Le</t>
  </si>
  <si>
    <t>PROD7925</t>
  </si>
  <si>
    <t>South Johnmouth</t>
  </si>
  <si>
    <t>Daniel-Miller</t>
  </si>
  <si>
    <t>danieldavis@curtis.com</t>
  </si>
  <si>
    <t>ORD1952</t>
  </si>
  <si>
    <t>Kelsey Reed</t>
  </si>
  <si>
    <t>PROD1845</t>
  </si>
  <si>
    <t>Jonathonmouth</t>
  </si>
  <si>
    <t>Gilbert, Cunningham and Hobbs</t>
  </si>
  <si>
    <t>joseph90@burgess-barker.com</t>
  </si>
  <si>
    <t>ORD1953</t>
  </si>
  <si>
    <t>Kelly Rollins</t>
  </si>
  <si>
    <t>PROD7302</t>
  </si>
  <si>
    <t>Kellyhaven</t>
  </si>
  <si>
    <t>hayley28@harmon-smith.biz</t>
  </si>
  <si>
    <t>ORD1954</t>
  </si>
  <si>
    <t>Mr. Luis Hancock Jr.</t>
  </si>
  <si>
    <t>PROD7078</t>
  </si>
  <si>
    <t>Meganmouth</t>
  </si>
  <si>
    <t>Campbell PLC</t>
  </si>
  <si>
    <t>jenna88@robinson-nicholson.com</t>
  </si>
  <si>
    <t>ORD1955</t>
  </si>
  <si>
    <t>CUST905</t>
  </si>
  <si>
    <t>Nathaniel Lopez</t>
  </si>
  <si>
    <t>PROD4335</t>
  </si>
  <si>
    <t>Hansonfort</t>
  </si>
  <si>
    <t>Johnson-Weaver</t>
  </si>
  <si>
    <t>carol87@wheeler-walton.com</t>
  </si>
  <si>
    <t>ORD1956</t>
  </si>
  <si>
    <t>CUST267</t>
  </si>
  <si>
    <t>Allison Marquez</t>
  </si>
  <si>
    <t>PROD6709</t>
  </si>
  <si>
    <t>East Frankfurt</t>
  </si>
  <si>
    <t>Parker PLC</t>
  </si>
  <si>
    <t>nancy14@robertson-williams.com</t>
  </si>
  <si>
    <t>ORD1957</t>
  </si>
  <si>
    <t>Julia Myers</t>
  </si>
  <si>
    <t>PROD5084</t>
  </si>
  <si>
    <t>Taylorburgh</t>
  </si>
  <si>
    <t>Cole-Pace</t>
  </si>
  <si>
    <t>robertburns@daniel.net</t>
  </si>
  <si>
    <t>ORD1958</t>
  </si>
  <si>
    <t>Diana Henderson</t>
  </si>
  <si>
    <t>PROD6480</t>
  </si>
  <si>
    <t>Rachelton</t>
  </si>
  <si>
    <t>Martinez, Ewing and Steele</t>
  </si>
  <si>
    <t>cindy18@foley.org</t>
  </si>
  <si>
    <t>ORD1959</t>
  </si>
  <si>
    <t>Peter Miller</t>
  </si>
  <si>
    <t>Ortizmouth</t>
  </si>
  <si>
    <t>Hernandez, Smith and Myers</t>
  </si>
  <si>
    <t>marshallzachary@cook-gonzalez.info</t>
  </si>
  <si>
    <t>ORD1960</t>
  </si>
  <si>
    <t>CUST891</t>
  </si>
  <si>
    <t>Elizabeth Mcdonald</t>
  </si>
  <si>
    <t>PROD3960</t>
  </si>
  <si>
    <t>East Ericchester</t>
  </si>
  <si>
    <t>Leonard-Mack</t>
  </si>
  <si>
    <t>vincent58@aguilar-caldwell.biz</t>
  </si>
  <si>
    <t>ORD1961</t>
  </si>
  <si>
    <t>CUST254</t>
  </si>
  <si>
    <t>Matthew Johnson</t>
  </si>
  <si>
    <t>PROD6776</t>
  </si>
  <si>
    <t>Brittneyberg</t>
  </si>
  <si>
    <t>Holmes, Smith and Weiss</t>
  </si>
  <si>
    <t>aguirrechristopher@brown.com</t>
  </si>
  <si>
    <t>ORD1962</t>
  </si>
  <si>
    <t>Robert Macdonald</t>
  </si>
  <si>
    <t>PROD2939</t>
  </si>
  <si>
    <t>Port Williamland</t>
  </si>
  <si>
    <t>Walker, Hill and Carter</t>
  </si>
  <si>
    <t>fyoung@deleon.com</t>
  </si>
  <si>
    <t>ORD1963</t>
  </si>
  <si>
    <t>Isaac Campos</t>
  </si>
  <si>
    <t>PROD5492</t>
  </si>
  <si>
    <t>East Shannon</t>
  </si>
  <si>
    <t>Hunt, Valenzuela and Lowe</t>
  </si>
  <si>
    <t>mikayla14@palmer.biz</t>
  </si>
  <si>
    <t>ORD1964</t>
  </si>
  <si>
    <t>CUST973</t>
  </si>
  <si>
    <t>Catherine Cooley</t>
  </si>
  <si>
    <t>PROD8415</t>
  </si>
  <si>
    <t>East Ryan</t>
  </si>
  <si>
    <t>Bryan, Allen and Richardson</t>
  </si>
  <si>
    <t>greenrichard@sexton.net</t>
  </si>
  <si>
    <t>ORD1965</t>
  </si>
  <si>
    <t>CUST229</t>
  </si>
  <si>
    <t>Joshua Bowen</t>
  </si>
  <si>
    <t>PROD2739</t>
  </si>
  <si>
    <t>Robertchester</t>
  </si>
  <si>
    <t>Lopez Inc</t>
  </si>
  <si>
    <t>ericperez@weaver.net</t>
  </si>
  <si>
    <t>ORD1966</t>
  </si>
  <si>
    <t>James Cruz</t>
  </si>
  <si>
    <t>PROD9934</t>
  </si>
  <si>
    <t>Kennedy Inc</t>
  </si>
  <si>
    <t>cindy07@greene.info</t>
  </si>
  <si>
    <t>ORD1967</t>
  </si>
  <si>
    <t>Elijah Perez</t>
  </si>
  <si>
    <t>PROD8911</t>
  </si>
  <si>
    <t>Matthewchester</t>
  </si>
  <si>
    <t>Moran, Rhodes and Reynolds</t>
  </si>
  <si>
    <t>kevinmedina@boyd-carrillo.com</t>
  </si>
  <si>
    <t>ORD1968</t>
  </si>
  <si>
    <t>Amanda Rubio</t>
  </si>
  <si>
    <t>PROD5972</t>
  </si>
  <si>
    <t>Virginiaville</t>
  </si>
  <si>
    <t>Wood PLC</t>
  </si>
  <si>
    <t>tyler75@williams-smith.biz</t>
  </si>
  <si>
    <t>ORD1969</t>
  </si>
  <si>
    <t>James Burgess</t>
  </si>
  <si>
    <t>PROD5530</t>
  </si>
  <si>
    <t>Berrystad</t>
  </si>
  <si>
    <t>Hinton-Williams</t>
  </si>
  <si>
    <t>hernandezgary@howard.com</t>
  </si>
  <si>
    <t>ORD1970</t>
  </si>
  <si>
    <t>CUST926</t>
  </si>
  <si>
    <t>Justin Smith</t>
  </si>
  <si>
    <t>PROD6683</t>
  </si>
  <si>
    <t>New Jenniferbury</t>
  </si>
  <si>
    <t>Price, Rodriguez and Russell</t>
  </si>
  <si>
    <t>whiteheather@pitts-lee.com</t>
  </si>
  <si>
    <t>ORD1971</t>
  </si>
  <si>
    <t>CUST466</t>
  </si>
  <si>
    <t>Aaron Carter</t>
  </si>
  <si>
    <t>PROD2994</t>
  </si>
  <si>
    <t>West Brooketon</t>
  </si>
  <si>
    <t>Castro, Jackson and Leonard</t>
  </si>
  <si>
    <t>pamelaalvarez@mcmahon-sweeney.com</t>
  </si>
  <si>
    <t>ORD1972</t>
  </si>
  <si>
    <t>Paul Cochran</t>
  </si>
  <si>
    <t>PROD4177</t>
  </si>
  <si>
    <t>East Joshua</t>
  </si>
  <si>
    <t>ashley34@robinson.com</t>
  </si>
  <si>
    <t>ORD1973</t>
  </si>
  <si>
    <t>Elizabeth Day</t>
  </si>
  <si>
    <t>PROD4843</t>
  </si>
  <si>
    <t>East Melissa</t>
  </si>
  <si>
    <t>Williams LLC</t>
  </si>
  <si>
    <t>jonespamela@berry.com</t>
  </si>
  <si>
    <t>ORD1974</t>
  </si>
  <si>
    <t>Christine Cummings</t>
  </si>
  <si>
    <t>PROD2868</t>
  </si>
  <si>
    <t>Martinezside</t>
  </si>
  <si>
    <t>Smith, White and Robinson</t>
  </si>
  <si>
    <t>ericshaw@powers-mendez.com</t>
  </si>
  <si>
    <t>ORD1975</t>
  </si>
  <si>
    <t>Mr. Steve Mendoza Jr.</t>
  </si>
  <si>
    <t>Garciabury</t>
  </si>
  <si>
    <t>Nicholson Group</t>
  </si>
  <si>
    <t>manuelbennett@henderson-black.com</t>
  </si>
  <si>
    <t>ORD1976</t>
  </si>
  <si>
    <t>Jessica Smith</t>
  </si>
  <si>
    <t>PROD5047</t>
  </si>
  <si>
    <t>New Michaeltown</t>
  </si>
  <si>
    <t>Brewer and Sons</t>
  </si>
  <si>
    <t>matthewrivera@turner.net</t>
  </si>
  <si>
    <t>ORD1977</t>
  </si>
  <si>
    <t>Dale Valdez</t>
  </si>
  <si>
    <t>South Dustin</t>
  </si>
  <si>
    <t>Roth and Sons</t>
  </si>
  <si>
    <t>john38@riley.com</t>
  </si>
  <si>
    <t>ORD1978</t>
  </si>
  <si>
    <t>Scott Morgan</t>
  </si>
  <si>
    <t>PROD2556</t>
  </si>
  <si>
    <t>Johnborough</t>
  </si>
  <si>
    <t>Harris-Hunt</t>
  </si>
  <si>
    <t>matthew25@gay-burke.info</t>
  </si>
  <si>
    <t>ORD1979</t>
  </si>
  <si>
    <t>Tammy Schultz</t>
  </si>
  <si>
    <t>Chadville</t>
  </si>
  <si>
    <t>Arellano, Crawford and Herrera</t>
  </si>
  <si>
    <t>jeffery03@taylor-keith.com</t>
  </si>
  <si>
    <t>ORD1980</t>
  </si>
  <si>
    <t>CUST859</t>
  </si>
  <si>
    <t>Toni Gamble</t>
  </si>
  <si>
    <t>PROD7829</t>
  </si>
  <si>
    <t>Philipton</t>
  </si>
  <si>
    <t>Wilson, Valentine and Martinez</t>
  </si>
  <si>
    <t>gtrevino@mcdonald-martinez.com</t>
  </si>
  <si>
    <t>ORD1981</t>
  </si>
  <si>
    <t>CUST781</t>
  </si>
  <si>
    <t>Heather Mcfarland</t>
  </si>
  <si>
    <t>PROD8122</t>
  </si>
  <si>
    <t>South Brian</t>
  </si>
  <si>
    <t>Bowman Inc</t>
  </si>
  <si>
    <t>jerome33@robertson-morrison.com</t>
  </si>
  <si>
    <t>ORD1982</t>
  </si>
  <si>
    <t>Nicole Stone</t>
  </si>
  <si>
    <t>PROD8242</t>
  </si>
  <si>
    <t>Nicholsburgh</t>
  </si>
  <si>
    <t>Mccarthy, Hawkins and Ramirez</t>
  </si>
  <si>
    <t>vsullivan@smith-cole.info</t>
  </si>
  <si>
    <t>ORD1983</t>
  </si>
  <si>
    <t>Kristen Best</t>
  </si>
  <si>
    <t>PROD3588</t>
  </si>
  <si>
    <t>West Devon</t>
  </si>
  <si>
    <t>Thornton, Miles and Reed</t>
  </si>
  <si>
    <t>mmorales@green.com</t>
  </si>
  <si>
    <t>ORD1984</t>
  </si>
  <si>
    <t>CUST439</t>
  </si>
  <si>
    <t>Matthew James</t>
  </si>
  <si>
    <t>PROD4551</t>
  </si>
  <si>
    <t>Codychester</t>
  </si>
  <si>
    <t>Gonzalez-Rodriguez</t>
  </si>
  <si>
    <t>brittany90@gonzalez.com</t>
  </si>
  <si>
    <t>ORD1985</t>
  </si>
  <si>
    <t>Jermaine Gomez</t>
  </si>
  <si>
    <t>PROD8662</t>
  </si>
  <si>
    <t>Hutchinsonmouth</t>
  </si>
  <si>
    <t>Burton PLC</t>
  </si>
  <si>
    <t>michaeljefferson@oneill.info</t>
  </si>
  <si>
    <t>ORD1986</t>
  </si>
  <si>
    <t>Heather David DDS</t>
  </si>
  <si>
    <t>PROD7390</t>
  </si>
  <si>
    <t>Johnschester</t>
  </si>
  <si>
    <t>Jordan, Clements and Powell</t>
  </si>
  <si>
    <t>maldonadochad@oconnor.com</t>
  </si>
  <si>
    <t>ORD1987</t>
  </si>
  <si>
    <t>Daniel Moore</t>
  </si>
  <si>
    <t>PROD6798</t>
  </si>
  <si>
    <t>New Whitneytown</t>
  </si>
  <si>
    <t>Miller, Campbell and Mendoza</t>
  </si>
  <si>
    <t>hroberts@dixon.com</t>
  </si>
  <si>
    <t>ORD1988</t>
  </si>
  <si>
    <t>CUST932</t>
  </si>
  <si>
    <t>Joshua Gordon</t>
  </si>
  <si>
    <t>West April</t>
  </si>
  <si>
    <t>Hall Group</t>
  </si>
  <si>
    <t>susanfry@rogers.com</t>
  </si>
  <si>
    <t>ORD1989</t>
  </si>
  <si>
    <t>Gina Gonzalez</t>
  </si>
  <si>
    <t>PROD4714</t>
  </si>
  <si>
    <t>North Kevinshire</t>
  </si>
  <si>
    <t>Johnson, Bowers and Salazar</t>
  </si>
  <si>
    <t>ralph40@waller.org</t>
  </si>
  <si>
    <t>ORD1990</t>
  </si>
  <si>
    <t>Nicholas Massey</t>
  </si>
  <si>
    <t>PROD4753</t>
  </si>
  <si>
    <t>Crossview</t>
  </si>
  <si>
    <t>Flowers Ltd</t>
  </si>
  <si>
    <t>gjacobs@jensen-baldwin.info</t>
  </si>
  <si>
    <t>ORD1991</t>
  </si>
  <si>
    <t>CUST363</t>
  </si>
  <si>
    <t>Evan Black</t>
  </si>
  <si>
    <t>PROD5856</t>
  </si>
  <si>
    <t>Loristad</t>
  </si>
  <si>
    <t>Schultz, Hudson and Johnson</t>
  </si>
  <si>
    <t>turnernoah@peterson-murphy.com</t>
  </si>
  <si>
    <t>ORD1992</t>
  </si>
  <si>
    <t>Jennifer Williams</t>
  </si>
  <si>
    <t>PROD3206</t>
  </si>
  <si>
    <t>Blackwellberg</t>
  </si>
  <si>
    <t>Goodman-Mann</t>
  </si>
  <si>
    <t>johnsonsandra@gomez.info</t>
  </si>
  <si>
    <t>ORD1993</t>
  </si>
  <si>
    <t>Cynthia Holt PhD</t>
  </si>
  <si>
    <t>PROD4012</t>
  </si>
  <si>
    <t>Erikaland</t>
  </si>
  <si>
    <t>Meyer, Scott and Buchanan</t>
  </si>
  <si>
    <t>alicia67@hamilton-silva.biz</t>
  </si>
  <si>
    <t>ORD1994</t>
  </si>
  <si>
    <t>CUST146</t>
  </si>
  <si>
    <t>Crystal Dillon</t>
  </si>
  <si>
    <t>PROD2307</t>
  </si>
  <si>
    <t>Bridgeschester</t>
  </si>
  <si>
    <t>Stone-Griffin</t>
  </si>
  <si>
    <t>roy31@taylor.com</t>
  </si>
  <si>
    <t>ORD1995</t>
  </si>
  <si>
    <t>CUST453</t>
  </si>
  <si>
    <t>Lori Campbell</t>
  </si>
  <si>
    <t>PROD2493</t>
  </si>
  <si>
    <t>Lake Breanna</t>
  </si>
  <si>
    <t>Carlson and Sons</t>
  </si>
  <si>
    <t>krobinson@alvarez.com</t>
  </si>
  <si>
    <t>ORD1996</t>
  </si>
  <si>
    <t>CUST709</t>
  </si>
  <si>
    <t>Deborah Lewis</t>
  </si>
  <si>
    <t>PROD4602</t>
  </si>
  <si>
    <t>Jackport</t>
  </si>
  <si>
    <t>Anderson LLC</t>
  </si>
  <si>
    <t>richardhall@jackson-richardson.com</t>
  </si>
  <si>
    <t>ORD1997</t>
  </si>
  <si>
    <t>Mrs. Felicia Shelton</t>
  </si>
  <si>
    <t>PROD4407</t>
  </si>
  <si>
    <t>Walker-Arias</t>
  </si>
  <si>
    <t>john92@york-christensen.com</t>
  </si>
  <si>
    <t>ORD1998</t>
  </si>
  <si>
    <t>CUST890</t>
  </si>
  <si>
    <t>Sarah Ward</t>
  </si>
  <si>
    <t>PROD7727</t>
  </si>
  <si>
    <t>Port Courtney</t>
  </si>
  <si>
    <t>Green, Lopez and Phillips</t>
  </si>
  <si>
    <t>pittsjustin@contreras.net</t>
  </si>
  <si>
    <t>ORD1999</t>
  </si>
  <si>
    <t>CUST430</t>
  </si>
  <si>
    <t>Tyler Scott</t>
  </si>
  <si>
    <t>PROD9449</t>
  </si>
  <si>
    <t>Jamesfurt</t>
  </si>
  <si>
    <t>Yang-Carter</t>
  </si>
  <si>
    <t>tiffany11@peterson.org</t>
  </si>
  <si>
    <t>Sum of Sales Amount</t>
  </si>
  <si>
    <t>Sum of Profit</t>
  </si>
  <si>
    <t>Row Labels</t>
  </si>
  <si>
    <t>Grand Total</t>
  </si>
  <si>
    <r>
      <rPr>
        <sz val="10"/>
        <color theme="1"/>
        <rFont val="Segoe UI Semibold"/>
        <family val="2"/>
      </rPr>
      <t>Total Sales By Customer Segmen</t>
    </r>
    <r>
      <rPr>
        <b/>
        <sz val="11"/>
        <color theme="1"/>
        <rFont val="Segoe UI Semibold"/>
        <family val="2"/>
      </rPr>
      <t>t</t>
    </r>
  </si>
  <si>
    <t>Total Sales By Region</t>
  </si>
  <si>
    <t>Total Profit by Category</t>
  </si>
  <si>
    <t>2023</t>
  </si>
  <si>
    <t>2024</t>
  </si>
  <si>
    <t>2025</t>
  </si>
  <si>
    <t>Total Sales by Year</t>
  </si>
  <si>
    <t>Profit Margin (%)</t>
  </si>
  <si>
    <t>KPI's</t>
  </si>
  <si>
    <t>Total Count by Quantity</t>
  </si>
  <si>
    <t>Total Stock left</t>
  </si>
  <si>
    <t>Total Profit</t>
  </si>
  <si>
    <t>Avg Unit Price</t>
  </si>
  <si>
    <t>Jan</t>
  </si>
  <si>
    <t>Feb</t>
  </si>
  <si>
    <t>Mar</t>
  </si>
  <si>
    <t>Apr</t>
  </si>
  <si>
    <t>May</t>
  </si>
  <si>
    <t>Jun</t>
  </si>
  <si>
    <t>Jul</t>
  </si>
  <si>
    <t>Aug</t>
  </si>
  <si>
    <t>Sep</t>
  </si>
  <si>
    <t>Oct</t>
  </si>
  <si>
    <t>Nov</t>
  </si>
  <si>
    <t>Dec</t>
  </si>
  <si>
    <t>Total Sales by Month</t>
  </si>
  <si>
    <t>Qtr1</t>
  </si>
  <si>
    <t>Qtr2</t>
  </si>
  <si>
    <t>Qtr3</t>
  </si>
  <si>
    <t>Qtr4</t>
  </si>
  <si>
    <t>Total Sales By Quarter</t>
  </si>
  <si>
    <t>Top 10 Sales By State</t>
  </si>
  <si>
    <t>Top 5 Customer Profit</t>
  </si>
  <si>
    <t>Sales by Top 5 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</si>
</sst>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quot;₹&quot;\ 0.00,,\ &quot;M&quot;"/>
    <numFmt numFmtId="166" formatCode="&quot;₹&quot;\ 0.00,\ &quot;K&quot;"/>
    <numFmt numFmtId="167" formatCode="&quot;₹&quot;\ #,##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Segoe UI Semibold"/>
      <family val="2"/>
    </font>
    <font>
      <b/>
      <sz val="11"/>
      <color theme="1"/>
      <name val="Segoe UI Semibold"/>
      <family val="2"/>
    </font>
    <font>
      <sz val="10"/>
      <color theme="1"/>
      <name val="Segoe UI Semibold"/>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79998168889431442"/>
        <bgColor indexed="64"/>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16" fillId="34" borderId="0" xfId="0" applyFont="1" applyFill="1"/>
    <xf numFmtId="165" fontId="0" fillId="0" borderId="0" xfId="0" applyNumberFormat="1"/>
    <xf numFmtId="166" fontId="0" fillId="0" borderId="0" xfId="0" applyNumberFormat="1"/>
    <xf numFmtId="3" fontId="0" fillId="0" borderId="0" xfId="0" applyNumberFormat="1"/>
    <xf numFmtId="167" fontId="0" fillId="0" borderId="0" xfId="0" applyNumberFormat="1"/>
    <xf numFmtId="0" fontId="19" fillId="33" borderId="0" xfId="0" applyFont="1" applyFill="1" applyAlignment="1">
      <alignment horizontal="center"/>
    </xf>
    <xf numFmtId="0" fontId="20" fillId="33" borderId="0" xfId="0" applyFont="1" applyFill="1" applyAlignment="1">
      <alignment horizontal="center"/>
    </xf>
    <xf numFmtId="0" fontId="18"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7">
    <dxf>
      <fill>
        <patternFill>
          <fgColor rgb="FF0F95CB"/>
          <bgColor theme="4" tint="0.39994506668294322"/>
        </patternFill>
      </fill>
    </dxf>
    <dxf>
      <fill>
        <patternFill>
          <bgColor theme="3" tint="0.24994659260841701"/>
        </patternFill>
      </fill>
    </dxf>
    <dxf>
      <fill>
        <patternFill patternType="none">
          <fgColor indexed="64"/>
          <bgColor auto="1"/>
        </patternFill>
      </fill>
    </dxf>
    <dxf>
      <fill>
        <patternFill>
          <fgColor theme="3" tint="0.24994659260841701"/>
        </patternFill>
      </fill>
    </dxf>
    <dxf>
      <numFmt numFmtId="167" formatCode="&quot;₹&quot;\ #,##0"/>
    </dxf>
    <dxf>
      <numFmt numFmtId="166" formatCode="&quot;₹&quot;\ 0.00,\ &quot;K&quot;"/>
    </dxf>
    <dxf>
      <numFmt numFmtId="165" formatCode="&quot;₹&quot;\ 0.00,,\ &quot;M&quot;"/>
    </dxf>
    <dxf>
      <numFmt numFmtId="165" formatCode="&quot;₹&quot;\ 0.00,,\ &quot;M&quot;"/>
    </dxf>
    <dxf>
      <numFmt numFmtId="166" formatCode="&quot;₹&quot;\ 0.00,\ &quot;K&quot;"/>
    </dxf>
    <dxf>
      <numFmt numFmtId="165" formatCode="&quot;₹&quot;\ 0.00,,\ &quot;M&quot;"/>
    </dxf>
    <dxf>
      <numFmt numFmtId="165" formatCode="&quot;₹&quot;\ 0.00,,\ &quot;M&quot;"/>
    </dxf>
    <dxf>
      <numFmt numFmtId="166" formatCode="&quot;₹&quot;\ 0.00,\ &quot;K&quot;"/>
    </dxf>
    <dxf>
      <numFmt numFmtId="3" formatCode="#,##0"/>
    </dxf>
    <dxf>
      <numFmt numFmtId="3" formatCode="#,##0"/>
    </dxf>
    <dxf>
      <numFmt numFmtId="166" formatCode="&quot;₹&quot;\ 0.00,\ &quot;K&quot;"/>
    </dxf>
    <dxf>
      <numFmt numFmtId="165" formatCode="&quot;₹&quot;\ 0.00,,\ &quot;M&quot;"/>
    </dxf>
    <dxf>
      <numFmt numFmtId="167" formatCode="&quot;₹&quot;\ #,##0"/>
    </dxf>
    <dxf>
      <numFmt numFmtId="166" formatCode="&quot;₹&quot;\ 0.00,\ &quot;K&quot;"/>
    </dxf>
    <dxf>
      <numFmt numFmtId="165" formatCode="&quot;₹&quot;\ 0.00,,\ &quot;M&quot;"/>
    </dxf>
    <dxf>
      <numFmt numFmtId="165" formatCode="&quot;₹&quot;\ 0.00,,\ &quot;M&quot;"/>
    </dxf>
    <dxf>
      <numFmt numFmtId="166" formatCode="&quot;₹&quot;\ 0.00,\ &quot;K&quot;"/>
    </dxf>
    <dxf>
      <numFmt numFmtId="165" formatCode="&quot;₹&quot;\ 0.00,,\ &quot;M&quot;"/>
    </dxf>
    <dxf>
      <numFmt numFmtId="165" formatCode="&quot;₹&quot;\ 0.00,,\ &quot;M&quot;"/>
    </dxf>
    <dxf>
      <numFmt numFmtId="166" formatCode="&quot;₹&quot;\ 0.00,\ &quot;K&quot;"/>
    </dxf>
    <dxf>
      <numFmt numFmtId="3" formatCode="#,##0"/>
    </dxf>
    <dxf>
      <numFmt numFmtId="3" formatCode="#,##0"/>
    </dxf>
    <dxf>
      <numFmt numFmtId="166" formatCode="&quot;₹&quot;\ 0.00,\ &quot;K&quot;"/>
    </dxf>
    <dxf>
      <numFmt numFmtId="165" formatCode="&quot;₹&quot;\ 0.00,,\ &quot;M&quot;"/>
    </dxf>
    <dxf>
      <numFmt numFmtId="167" formatCode="&quot;₹&quot;\ #,##0"/>
    </dxf>
    <dxf>
      <numFmt numFmtId="166" formatCode="&quot;₹&quot;\ 0.00,\ &quot;K&quot;"/>
    </dxf>
    <dxf>
      <numFmt numFmtId="165" formatCode="&quot;₹&quot;\ 0.00,,\ &quot;M&quot;"/>
    </dxf>
    <dxf>
      <numFmt numFmtId="165" formatCode="&quot;₹&quot;\ 0.00,,\ &quot;M&quot;"/>
    </dxf>
    <dxf>
      <numFmt numFmtId="166" formatCode="&quot;₹&quot;\ 0.00,\ &quot;K&quot;"/>
    </dxf>
    <dxf>
      <numFmt numFmtId="165" formatCode="&quot;₹&quot;\ 0.00,,\ &quot;M&quot;"/>
    </dxf>
    <dxf>
      <numFmt numFmtId="165" formatCode="&quot;₹&quot;\ 0.00,,\ &quot;M&quot;"/>
    </dxf>
    <dxf>
      <numFmt numFmtId="166" formatCode="&quot;₹&quot;\ 0.00,\ &quot;K&quot;"/>
    </dxf>
    <dxf>
      <numFmt numFmtId="3" formatCode="#,##0"/>
    </dxf>
    <dxf>
      <numFmt numFmtId="3" formatCode="#,##0"/>
    </dxf>
    <dxf>
      <numFmt numFmtId="166" formatCode="&quot;₹&quot;\ 0.00,\ &quot;K&quot;"/>
    </dxf>
    <dxf>
      <numFmt numFmtId="165" formatCode="&quot;₹&quot;\ 0.00,,\ &quot;M&quot;"/>
    </dxf>
    <dxf>
      <numFmt numFmtId="166" formatCode="&quot;₹&quot;\ 0.00,\ &quot;K&quot;"/>
    </dxf>
    <dxf>
      <numFmt numFmtId="167" formatCode="&quot;₹&quot;\ #,##0"/>
    </dxf>
    <dxf>
      <numFmt numFmtId="166" formatCode="&quot;₹&quot;\ 0.00,\ &quot;K&quot;"/>
    </dxf>
    <dxf>
      <numFmt numFmtId="165" formatCode="&quot;₹&quot;\ 0.00,,\ &quot;M&quot;"/>
    </dxf>
    <dxf>
      <numFmt numFmtId="165" formatCode="&quot;₹&quot;\ 0.00,,\ &quot;M&quot;"/>
    </dxf>
    <dxf>
      <numFmt numFmtId="165" formatCode="&quot;₹&quot;\ 0.00,,\ &quot;M&quot;"/>
    </dxf>
    <dxf>
      <numFmt numFmtId="165" formatCode="&quot;₹&quot;\ 0.00,,\ &quot;M&quot;"/>
    </dxf>
    <dxf>
      <numFmt numFmtId="166" formatCode="&quot;₹&quot;\ 0.00,\ &quot;K&quot;"/>
    </dxf>
    <dxf>
      <numFmt numFmtId="165" formatCode="&quot;₹&quot;\ 0.00,,\ &quot;M&quot;"/>
    </dxf>
    <dxf>
      <numFmt numFmtId="3" formatCode="#,##0"/>
    </dxf>
    <dxf>
      <numFmt numFmtId="3" formatCode="#,##0"/>
    </dxf>
    <dxf>
      <numFmt numFmtId="166" formatCode="&quot;₹&quot;\ 0.00,\ &quot;K&quot;"/>
    </dxf>
    <dxf>
      <numFmt numFmtId="165" formatCode="&quot;₹&quot;\ 0.00,,\ &quot;M&quot;"/>
    </dxf>
    <dxf>
      <numFmt numFmtId="167" formatCode="&quot;₹&quot;\ #,##0"/>
    </dxf>
    <dxf>
      <numFmt numFmtId="166" formatCode="&quot;₹&quot;\ 0.00,\ &quot;K&quot;"/>
    </dxf>
    <dxf>
      <numFmt numFmtId="165" formatCode="&quot;₹&quot;\ 0.00,,\ &quot;M&quot;"/>
    </dxf>
    <dxf>
      <numFmt numFmtId="165" formatCode="&quot;₹&quot;\ 0.00,,\ &quot;M&quot;"/>
    </dxf>
    <dxf>
      <numFmt numFmtId="166" formatCode="&quot;₹&quot;\ 0.00,\ &quot;K&quot;"/>
    </dxf>
    <dxf>
      <numFmt numFmtId="165" formatCode="&quot;₹&quot;\ 0.00,,\ &quot;M&quot;"/>
    </dxf>
    <dxf>
      <numFmt numFmtId="165" formatCode="&quot;₹&quot;\ 0.00,,\ &quot;M&quot;"/>
    </dxf>
    <dxf>
      <numFmt numFmtId="166" formatCode="&quot;₹&quot;\ 0.00,\ &quot;K&quot;"/>
    </dxf>
    <dxf>
      <numFmt numFmtId="3" formatCode="#,##0"/>
    </dxf>
    <dxf>
      <numFmt numFmtId="3" formatCode="#,##0"/>
    </dxf>
    <dxf>
      <numFmt numFmtId="166" formatCode="&quot;₹&quot;\ 0.00,\ &quot;K&quot;"/>
    </dxf>
    <dxf>
      <numFmt numFmtId="167" formatCode="&quot;₹&quot;\ #,##0"/>
    </dxf>
    <dxf>
      <numFmt numFmtId="166" formatCode="&quot;₹&quot;\ 0.00,\ &quot;K&quot;"/>
    </dxf>
    <dxf>
      <numFmt numFmtId="165" formatCode="&quot;₹&quot;\ 0.00,,\ &quot;M&quot;"/>
    </dxf>
    <dxf>
      <numFmt numFmtId="166" formatCode="&quot;₹&quot;\ 0.00,\ &quot;K&quot;"/>
    </dxf>
    <dxf>
      <numFmt numFmtId="165" formatCode="&quot;₹&quot;\ 0.00,,\ &quot;M&quot;"/>
    </dxf>
    <dxf>
      <numFmt numFmtId="165" formatCode="&quot;₹&quot;\ 0.00,,\ &quot;M&quot;"/>
    </dxf>
    <dxf>
      <numFmt numFmtId="166" formatCode="&quot;₹&quot;\ 0.00,\ &quot;K&quot;"/>
    </dxf>
    <dxf>
      <numFmt numFmtId="165" formatCode="&quot;₹&quot;\ 0.00,,\ &quot;M&quot;"/>
    </dxf>
    <dxf>
      <numFmt numFmtId="3" formatCode="#,##0"/>
    </dxf>
    <dxf>
      <numFmt numFmtId="3" formatCode="#,##0"/>
    </dxf>
    <dxf>
      <numFmt numFmtId="166" formatCode="&quot;₹&quot;\ 0.00,\ &quot;K&quot;"/>
    </dxf>
    <dxf>
      <numFmt numFmtId="165" formatCode="&quot;₹&quot;\ 0.00,,\ &quot;M&quot;"/>
    </dxf>
    <dxf>
      <numFmt numFmtId="167" formatCode="&quot;₹&quot;\ #,##0"/>
    </dxf>
    <dxf>
      <numFmt numFmtId="166" formatCode="&quot;₹&quot;\ 0.00,\ &quot;K&quot;"/>
    </dxf>
    <dxf>
      <numFmt numFmtId="165" formatCode="&quot;₹&quot;\ 0.00,,\ &quot;M&quot;"/>
    </dxf>
    <dxf>
      <numFmt numFmtId="166" formatCode="&quot;₹&quot;\ 0.00,\ &quot;K&quot;"/>
    </dxf>
    <dxf>
      <numFmt numFmtId="165" formatCode="&quot;₹&quot;\ 0.00,,\ &quot;M&quot;"/>
    </dxf>
    <dxf>
      <numFmt numFmtId="165" formatCode="&quot;₹&quot;\ 0.00,,\ &quot;M&quot;"/>
    </dxf>
    <dxf>
      <numFmt numFmtId="166" formatCode="&quot;₹&quot;\ 0.00,\ &quot;K&quot;"/>
    </dxf>
    <dxf>
      <numFmt numFmtId="165" formatCode="&quot;₹&quot;\ 0.00,,\ &quot;M&quot;"/>
    </dxf>
    <dxf>
      <numFmt numFmtId="3" formatCode="#,##0"/>
    </dxf>
    <dxf>
      <numFmt numFmtId="3" formatCode="#,##0"/>
    </dxf>
    <dxf>
      <numFmt numFmtId="166" formatCode="&quot;₹&quot;\ 0.00,\ &quot;K&quot;"/>
    </dxf>
    <dxf>
      <numFmt numFmtId="165" formatCode="&quot;₹&quot;\ 0.00,,\ &quot;M&quot;"/>
    </dxf>
    <dxf>
      <numFmt numFmtId="167" formatCode="&quot;₹&quot;\ #,##0"/>
    </dxf>
    <dxf>
      <numFmt numFmtId="166" formatCode="&quot;₹&quot;\ 0.00,\ &quot;K&quot;"/>
    </dxf>
    <dxf>
      <numFmt numFmtId="165" formatCode="&quot;₹&quot;\ 0.00,,\ &quot;M&quot;"/>
    </dxf>
    <dxf>
      <numFmt numFmtId="166" formatCode="&quot;₹&quot;\ 0.00,\ &quot;K&quot;"/>
    </dxf>
    <dxf>
      <numFmt numFmtId="165" formatCode="&quot;₹&quot;\ 0.00,,\ &quot;M&quot;"/>
    </dxf>
    <dxf>
      <numFmt numFmtId="165" formatCode="&quot;₹&quot;\ 0.00,,\ &quot;M&quot;"/>
    </dxf>
    <dxf>
      <numFmt numFmtId="166" formatCode="&quot;₹&quot;\ 0.00,\ &quot;K&quot;"/>
    </dxf>
    <dxf>
      <numFmt numFmtId="165" formatCode="&quot;₹&quot;\ 0.00,,\ &quot;M&quot;"/>
    </dxf>
    <dxf>
      <numFmt numFmtId="3" formatCode="#,##0"/>
    </dxf>
    <dxf>
      <numFmt numFmtId="3" formatCode="#,##0"/>
    </dxf>
    <dxf>
      <numFmt numFmtId="166" formatCode="&quot;₹&quot;\ 0.00,\ &quot;K&quot;"/>
    </dxf>
    <dxf>
      <numFmt numFmtId="165" formatCode="&quot;₹&quot;\ 0.00,,\ &quot;M&quot;"/>
    </dxf>
    <dxf>
      <numFmt numFmtId="167" formatCode="&quot;₹&quot;\ #,##0"/>
    </dxf>
    <dxf>
      <numFmt numFmtId="166" formatCode="&quot;₹&quot;\ 0.00,\ &quot;K&quot;"/>
    </dxf>
    <dxf>
      <numFmt numFmtId="165" formatCode="&quot;₹&quot;\ 0.00,,\ &quot;M&quot;"/>
    </dxf>
    <dxf>
      <numFmt numFmtId="166" formatCode="&quot;₹&quot;\ 0.00,\ &quot;K&quot;"/>
    </dxf>
    <dxf>
      <numFmt numFmtId="165" formatCode="&quot;₹&quot;\ 0.00,,\ &quot;M&quot;"/>
    </dxf>
    <dxf>
      <numFmt numFmtId="165" formatCode="&quot;₹&quot;\ 0.00,,\ &quot;M&quot;"/>
    </dxf>
    <dxf>
      <numFmt numFmtId="166" formatCode="&quot;₹&quot;\ 0.00,\ &quot;K&quot;"/>
    </dxf>
    <dxf>
      <numFmt numFmtId="165" formatCode="&quot;₹&quot;\ 0.00,,\ &quot;M&quot;"/>
    </dxf>
    <dxf>
      <numFmt numFmtId="3" formatCode="#,##0"/>
    </dxf>
    <dxf>
      <numFmt numFmtId="3" formatCode="#,##0"/>
    </dxf>
    <dxf>
      <numFmt numFmtId="166" formatCode="&quot;₹&quot;\ 0.00,\ &quot;K&quot;"/>
    </dxf>
    <dxf>
      <numFmt numFmtId="165" formatCode="&quot;₹&quot;\ 0.00,,\ &quot;M&quot;"/>
    </dxf>
    <dxf>
      <numFmt numFmtId="165" formatCode="&quot;₹&quot;\ 0.00,,\ &quot;M&quot;"/>
    </dxf>
    <dxf>
      <numFmt numFmtId="167" formatCode="&quot;₹&quot;\ #,##0"/>
    </dxf>
    <dxf>
      <numFmt numFmtId="166" formatCode="&quot;₹&quot;\ 0.00,\ &quot;K&quot;"/>
    </dxf>
    <dxf>
      <numFmt numFmtId="165" formatCode="&quot;₹&quot;\ 0.00,,\ &quot;M&quot;"/>
    </dxf>
    <dxf>
      <numFmt numFmtId="166" formatCode="&quot;₹&quot;\ 0.00,\ &quot;K&quot;"/>
    </dxf>
    <dxf>
      <numFmt numFmtId="165" formatCode="&quot;₹&quot;\ 0.00,,\ &quot;M&quot;"/>
    </dxf>
    <dxf>
      <numFmt numFmtId="165" formatCode="&quot;₹&quot;\ 0.00,,\ &quot;M&quot;"/>
    </dxf>
    <dxf>
      <numFmt numFmtId="166" formatCode="&quot;₹&quot;\ 0.00,\ &quot;K&quot;"/>
    </dxf>
    <dxf>
      <numFmt numFmtId="165" formatCode="&quot;₹&quot;\ 0.00,,\ &quot;M&quot;"/>
    </dxf>
    <dxf>
      <numFmt numFmtId="3" formatCode="#,##0"/>
    </dxf>
    <dxf>
      <numFmt numFmtId="3" formatCode="#,##0"/>
    </dxf>
    <dxf>
      <numFmt numFmtId="166" formatCode="&quot;₹&quot;\ 0.00,\ &quot;K&quot;"/>
    </dxf>
    <dxf>
      <numFmt numFmtId="165" formatCode="&quot;₹&quot;\ 0.00,,\ &quot;M&quot;"/>
    </dxf>
    <dxf>
      <numFmt numFmtId="165" formatCode="&quot;₹&quot;\ 0.00,,\ &quot;M&quot;"/>
    </dxf>
    <dxf>
      <font>
        <color theme="4" tint="0.39994506668294322"/>
      </font>
    </dxf>
    <dxf>
      <font>
        <color theme="4" tint="0.59996337778862885"/>
      </font>
    </dxf>
    <dxf>
      <numFmt numFmtId="166" formatCode="&quot;₹&quot;\ 0.00,\ &quot;K&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6" formatCode="&quot;₹&quot;\ 0.00,\ &quot;K&quot;"/>
    </dxf>
    <dxf>
      <numFmt numFmtId="166" formatCode="&quot;₹&quot;\ 0.00,\ &quot;K&quot;"/>
    </dxf>
    <dxf>
      <numFmt numFmtId="3" formatCode="#,##0"/>
    </dxf>
    <dxf>
      <numFmt numFmtId="165" formatCode="&quot;₹&quot;\ 0.00,,\ &quot;M&quot;"/>
    </dxf>
    <dxf>
      <numFmt numFmtId="165" formatCode="&quot;₹&quot;\ 0.00,,\ &quot;M&quot;"/>
    </dxf>
    <dxf>
      <numFmt numFmtId="165" formatCode="&quot;₹&quot;\ 0.00,,\ &quot;M&quot;"/>
    </dxf>
    <dxf>
      <numFmt numFmtId="166" formatCode="&quot;₹&quot;\ 0.00,\ &quot;K&quot;"/>
    </dxf>
    <dxf>
      <numFmt numFmtId="3" formatCode="#,##0"/>
    </dxf>
    <dxf>
      <numFmt numFmtId="166" formatCode="&quot;₹&quot;\ 0.00,\ &quot;K&quot;"/>
    </dxf>
    <dxf>
      <numFmt numFmtId="167" formatCode="&quot;₹&quot;\ #,##0"/>
    </dxf>
    <dxf>
      <numFmt numFmtId="165" formatCode="&quot;₹&quot;\ 0.00,,\ &quot;M&quot;"/>
    </dxf>
    <dxf>
      <numFmt numFmtId="19" formatCode="dd/mm/yyyy"/>
    </dxf>
    <dxf>
      <numFmt numFmtId="19" formatCode="dd/mm/yyyy"/>
    </dxf>
  </dxfs>
  <tableStyles count="7" defaultTableStyle="TableStyleMedium2" defaultPivotStyle="PivotStyleLight16">
    <tableStyle name="Slicer Style 1" pivot="0" table="0" count="1" xr9:uid="{6467947A-63FF-4D9F-A227-0089821812B2}">
      <tableStyleElement type="wholeTable" dxfId="127"/>
    </tableStyle>
    <tableStyle name="Slicer Style 2" pivot="0" table="0" count="1" xr9:uid="{88BEDD7B-98BB-4936-87AF-BB3D7D4690A4}">
      <tableStyleElement type="headerRow" dxfId="126"/>
    </tableStyle>
    <tableStyle name="Slicer Style 3" pivot="0" table="0" count="1" xr9:uid="{488B47CB-A78C-41B2-A9A8-E0085E2D6D73}"/>
    <tableStyle name="Slicer Style 4" pivot="0" table="0" count="1" xr9:uid="{07FB34AC-6CE6-44F8-BA1E-1A9DFED16187}">
      <tableStyleElement type="wholeTable" dxfId="3"/>
    </tableStyle>
    <tableStyle name="Slicer Style 5" pivot="0" table="0" count="1" xr9:uid="{14590981-B980-4A42-8DDB-4839DE289D35}">
      <tableStyleElement type="headerRow" dxfId="2"/>
    </tableStyle>
    <tableStyle name="Slicer Style 6" pivot="0" table="0" count="1" xr9:uid="{128F369E-BCAD-4F90-B535-90ECE0EF7501}">
      <tableStyleElement type="headerRow" dxfId="1"/>
    </tableStyle>
    <tableStyle name="Slicer Style 7" pivot="0" table="0" count="1" xr9:uid="{46C9FA9F-C62E-48B8-8706-2107823B773D}">
      <tableStyleElement type="wholeTable" dxfId="0"/>
    </tableStyle>
  </tableStyles>
  <colors>
    <mruColors>
      <color rgb="FF0F95CB"/>
      <color rgb="FF184772"/>
      <color rgb="FF1C1C1C"/>
      <color rgb="FF084F6A"/>
    </mruColors>
  </colors>
  <extLst>
    <ext xmlns:x14="http://schemas.microsoft.com/office/spreadsheetml/2009/9/main" uri="{46F421CA-312F-682f-3DD2-61675219B42D}">
      <x14:dxfs count="1">
        <dxf>
          <font>
            <color theme="4" tint="-0.24994659260841701"/>
          </font>
        </dxf>
      </x14:dxfs>
    </ext>
    <ext xmlns:x14="http://schemas.microsoft.com/office/spreadsheetml/2009/9/main" uri="{EB79DEF2-80B8-43e5-95BD-54CBDDF9020C}">
      <x14:slicerStyles defaultSlicerStyle="Slicer Style 5">
        <x14:slicerStyle name="Slicer Style 1"/>
        <x14:slicerStyle name="Slicer Style 2"/>
        <x14:slicerStyle name="Slicer Style 3">
          <x14:slicerStyleElements>
            <x14:slicerStyleElement type="selectedItemWithData" dxfId="0"/>
          </x14:slicerStyleElements>
        </x14:slicerStyle>
        <x14:slicerStyle name="Slicer Style 4"/>
        <x14:slicerStyle name="Slicer Style 5"/>
        <x14:slicerStyle name="Slicer Style 6"/>
        <x14:slicerStyle name="Slicer Style 7"/>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[Superstore_Management_System.xlsx]Pivot Table!PivotTable1</c:name>
    <c:fmtId val="0"/>
  </c:pivotSource>
  <c:chart>
    <c:autoTitleDeleted val="1"/>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Table'!$I$17</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 Table'!$H$18:$H$30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Table'!$I$18:$I$30</c:f>
              <c:numCache>
                <c:formatCode>"₹"\ 0.00,\ "K"</c:formatCode>
                <c:ptCount val="12"/>
                <c:pt idx="0">
                  <c:v>827003.20000000007</c:v>
                </c:pt>
                <c:pt idx="1">
                  <c:v>838208.75</c:v>
                </c:pt>
                <c:pt idx="2">
                  <c:v>1186328.1999999995</c:v>
                </c:pt>
                <c:pt idx="3">
                  <c:v>1331785.7</c:v>
                </c:pt>
                <c:pt idx="4">
                  <c:v>987206.90000000014</c:v>
                </c:pt>
                <c:pt idx="5">
                  <c:v>1081110.6499999999</c:v>
                </c:pt>
                <c:pt idx="6">
                  <c:v>1159462</c:v>
                </c:pt>
                <c:pt idx="7">
                  <c:v>934171.9500000003</c:v>
                </c:pt>
                <c:pt idx="8">
                  <c:v>951387.6</c:v>
                </c:pt>
                <c:pt idx="9">
                  <c:v>1141077.2500000002</c:v>
                </c:pt>
                <c:pt idx="10">
                  <c:v>723276.05000000028</c:v>
                </c:pt>
                <c:pt idx="11">
                  <c:v>1144345.5</c:v>
                </c:pt>
              </c:numCache>
            </c:numRef>
          </c:val>
          <c:smooth val="0"/>
          <c:extLst>
            <c:ext xmlns:c16="http://schemas.microsoft.com/office/drawing/2014/chart" uri="{C3380CC4-5D6E-409C-BE32-E72D297353CC}">
              <c16:uniqueId val="{00000000-2513-4EE0-B5B4-E8338CF4A5E8}"/>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358966495"/>
        <c:axId val="358966975"/>
      </c:lineChart>
      <c:catAx>
        <c:axId val="358966495"/>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358966975"/>
        <c:crosses val="autoZero"/>
        <c:auto val="1"/>
        <c:lblAlgn val="ctr"/>
        <c:lblOffset val="100"/>
        <c:noMultiLvlLbl val="0"/>
      </c:catAx>
      <c:valAx>
        <c:axId val="358966975"/>
        <c:scaling>
          <c:orientation val="minMax"/>
        </c:scaling>
        <c:delete val="0"/>
        <c:axPos val="l"/>
        <c:numFmt formatCode="&quot;₹&quot;\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58966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[Superstore_Management_System.xlsx]Pivot Table!PivotTable3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Table'!$C$6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'Pivot Table'!$B$7:$B$10</c:f>
              <c:strCache>
                <c:ptCount val="3"/>
                <c:pt idx="0">
                  <c:v>Consumer</c:v>
                </c:pt>
                <c:pt idx="1">
                  <c:v>Home Office</c:v>
                </c:pt>
                <c:pt idx="2">
                  <c:v>Corporate</c:v>
                </c:pt>
              </c:strCache>
            </c:strRef>
          </c:cat>
          <c:val>
            <c:numRef>
              <c:f>'Pivot Table'!$C$7:$C$10</c:f>
              <c:numCache>
                <c:formatCode>"₹"\ 0.00,,\ "M"</c:formatCode>
                <c:ptCount val="3"/>
                <c:pt idx="0">
                  <c:v>4268038.0500000007</c:v>
                </c:pt>
                <c:pt idx="1">
                  <c:v>4146338.1999999988</c:v>
                </c:pt>
                <c:pt idx="2">
                  <c:v>3890987.5</c:v>
                </c:pt>
              </c:numCache>
            </c:numRef>
          </c:val>
          <c:extLst>
            <c:ext xmlns:c16="http://schemas.microsoft.com/office/drawing/2014/chart" uri="{C3380CC4-5D6E-409C-BE32-E72D297353CC}">
              <c16:uniqueId val="{00000000-4613-47E2-A6EC-AB71874DA42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[Superstore_Management_System.xlsx]Pivot Table!PivotTable5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Table'!$F$6</c:f>
              <c:strCache>
                <c:ptCount val="1"/>
                <c:pt idx="0">
                  <c:v>Total</c:v>
                </c:pt>
              </c:strCache>
            </c:strRef>
          </c:tx>
          <c:spPr>
            <a:solidFill>
              <a:schemeClr val="accent1"/>
            </a:solidFill>
            <a:ln>
              <a:noFill/>
            </a:ln>
            <a:effectLst/>
          </c:spPr>
          <c:invertIfNegative val="0"/>
          <c:cat>
            <c:strRef>
              <c:f>'Pivot Table'!$E$7:$E$11</c:f>
              <c:strCache>
                <c:ptCount val="4"/>
                <c:pt idx="0">
                  <c:v>Grocery</c:v>
                </c:pt>
                <c:pt idx="1">
                  <c:v>Office Supplies</c:v>
                </c:pt>
                <c:pt idx="2">
                  <c:v>Furniture</c:v>
                </c:pt>
                <c:pt idx="3">
                  <c:v>Electronics</c:v>
                </c:pt>
              </c:strCache>
            </c:strRef>
          </c:cat>
          <c:val>
            <c:numRef>
              <c:f>'Pivot Table'!$F$7:$F$11</c:f>
              <c:numCache>
                <c:formatCode>"₹"\ 0.00,\ "K"</c:formatCode>
                <c:ptCount val="4"/>
                <c:pt idx="0">
                  <c:v>140233.25999999995</c:v>
                </c:pt>
                <c:pt idx="1">
                  <c:v>144582.45000000013</c:v>
                </c:pt>
                <c:pt idx="2">
                  <c:v>148421.27000000002</c:v>
                </c:pt>
                <c:pt idx="3">
                  <c:v>150066.40999999986</c:v>
                </c:pt>
              </c:numCache>
            </c:numRef>
          </c:val>
          <c:extLst>
            <c:ext xmlns:c16="http://schemas.microsoft.com/office/drawing/2014/chart" uri="{C3380CC4-5D6E-409C-BE32-E72D297353CC}">
              <c16:uniqueId val="{00000000-7751-4DDA-9154-15B74397B4DE}"/>
            </c:ext>
          </c:extLst>
        </c:ser>
        <c:dLbls>
          <c:showLegendKey val="0"/>
          <c:showVal val="0"/>
          <c:showCatName val="0"/>
          <c:showSerName val="0"/>
          <c:showPercent val="0"/>
          <c:showBubbleSize val="0"/>
        </c:dLbls>
        <c:gapWidth val="182"/>
        <c:axId val="1379086544"/>
        <c:axId val="1379085584"/>
      </c:barChart>
      <c:catAx>
        <c:axId val="1379086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085584"/>
        <c:crosses val="autoZero"/>
        <c:auto val="1"/>
        <c:lblAlgn val="ctr"/>
        <c:lblOffset val="100"/>
        <c:noMultiLvlLbl val="0"/>
      </c:catAx>
      <c:valAx>
        <c:axId val="1379085584"/>
        <c:scaling>
          <c:orientation val="minMax"/>
        </c:scaling>
        <c:delete val="0"/>
        <c:axPos val="b"/>
        <c:numFmt formatCode="&quot;₹&quot;\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086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[Superstore_Management_System.xlsx]Pivot Table!PivotTable14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Table'!$I$34</c:f>
              <c:strCache>
                <c:ptCount val="1"/>
                <c:pt idx="0">
                  <c:v>Total</c:v>
                </c:pt>
              </c:strCache>
            </c:strRef>
          </c:tx>
          <c:spPr>
            <a:solidFill>
              <a:schemeClr val="accent1"/>
            </a:solidFill>
            <a:ln>
              <a:noFill/>
            </a:ln>
            <a:effectLst/>
          </c:spPr>
          <c:invertIfNegative val="0"/>
          <c:cat>
            <c:strRef>
              <c:f>'Pivot Table'!$H$35:$H$40</c:f>
              <c:strCache>
                <c:ptCount val="5"/>
                <c:pt idx="0">
                  <c:v>West Marissa</c:v>
                </c:pt>
                <c:pt idx="1">
                  <c:v>South Ravenfurt</c:v>
                </c:pt>
                <c:pt idx="2">
                  <c:v>Shieldsmouth</c:v>
                </c:pt>
                <c:pt idx="3">
                  <c:v>South Scott</c:v>
                </c:pt>
                <c:pt idx="4">
                  <c:v>Port David</c:v>
                </c:pt>
              </c:strCache>
            </c:strRef>
          </c:cat>
          <c:val>
            <c:numRef>
              <c:f>'Pivot Table'!$I$35:$I$40</c:f>
              <c:numCache>
                <c:formatCode>General</c:formatCode>
                <c:ptCount val="5"/>
                <c:pt idx="0">
                  <c:v>68186.8</c:v>
                </c:pt>
                <c:pt idx="1">
                  <c:v>50527</c:v>
                </c:pt>
                <c:pt idx="2">
                  <c:v>49881</c:v>
                </c:pt>
                <c:pt idx="3">
                  <c:v>49740</c:v>
                </c:pt>
                <c:pt idx="4">
                  <c:v>49105</c:v>
                </c:pt>
              </c:numCache>
            </c:numRef>
          </c:val>
          <c:extLst>
            <c:ext xmlns:c16="http://schemas.microsoft.com/office/drawing/2014/chart" uri="{C3380CC4-5D6E-409C-BE32-E72D297353CC}">
              <c16:uniqueId val="{00000000-D145-4FBD-ABAB-8BD3CCEB90A1}"/>
            </c:ext>
          </c:extLst>
        </c:ser>
        <c:dLbls>
          <c:showLegendKey val="0"/>
          <c:showVal val="0"/>
          <c:showCatName val="0"/>
          <c:showSerName val="0"/>
          <c:showPercent val="0"/>
          <c:showBubbleSize val="0"/>
        </c:dLbls>
        <c:gapWidth val="219"/>
        <c:overlap val="-27"/>
        <c:axId val="1721942576"/>
        <c:axId val="1721940176"/>
      </c:barChart>
      <c:catAx>
        <c:axId val="1721942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940176"/>
        <c:crosses val="autoZero"/>
        <c:auto val="1"/>
        <c:lblAlgn val="ctr"/>
        <c:lblOffset val="100"/>
        <c:noMultiLvlLbl val="0"/>
      </c:catAx>
      <c:valAx>
        <c:axId val="1721940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942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[Superstore_Management_System.xlsx]Pivot Table!PivotTable4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Table'!$C$14</c:f>
              <c:strCache>
                <c:ptCount val="1"/>
                <c:pt idx="0">
                  <c:v>Total</c:v>
                </c:pt>
              </c:strCache>
            </c:strRef>
          </c:tx>
          <c:spPr>
            <a:solidFill>
              <a:schemeClr val="accent1"/>
            </a:solidFill>
            <a:ln>
              <a:noFill/>
            </a:ln>
            <a:effectLst/>
          </c:spPr>
          <c:invertIfNegative val="0"/>
          <c:cat>
            <c:strRef>
              <c:f>'Pivot Table'!$B$15:$B$19</c:f>
              <c:strCache>
                <c:ptCount val="4"/>
                <c:pt idx="0">
                  <c:v>South</c:v>
                </c:pt>
                <c:pt idx="1">
                  <c:v>West</c:v>
                </c:pt>
                <c:pt idx="2">
                  <c:v>East</c:v>
                </c:pt>
                <c:pt idx="3">
                  <c:v>North</c:v>
                </c:pt>
              </c:strCache>
            </c:strRef>
          </c:cat>
          <c:val>
            <c:numRef>
              <c:f>'Pivot Table'!$C$15:$C$19</c:f>
              <c:numCache>
                <c:formatCode>"₹"\ 0.00,,\ "M"</c:formatCode>
                <c:ptCount val="4"/>
                <c:pt idx="0">
                  <c:v>2913078.2500000005</c:v>
                </c:pt>
                <c:pt idx="1">
                  <c:v>3013506.0500000007</c:v>
                </c:pt>
                <c:pt idx="2">
                  <c:v>3160397.9000000018</c:v>
                </c:pt>
                <c:pt idx="3">
                  <c:v>3218381.5499999993</c:v>
                </c:pt>
              </c:numCache>
            </c:numRef>
          </c:val>
          <c:extLst>
            <c:ext xmlns:c16="http://schemas.microsoft.com/office/drawing/2014/chart" uri="{C3380CC4-5D6E-409C-BE32-E72D297353CC}">
              <c16:uniqueId val="{00000000-77EA-4EF3-9268-E89A365614BC}"/>
            </c:ext>
          </c:extLst>
        </c:ser>
        <c:dLbls>
          <c:showLegendKey val="0"/>
          <c:showVal val="0"/>
          <c:showCatName val="0"/>
          <c:showSerName val="0"/>
          <c:showPercent val="0"/>
          <c:showBubbleSize val="0"/>
        </c:dLbls>
        <c:gapWidth val="182"/>
        <c:axId val="1521686752"/>
        <c:axId val="1521691072"/>
      </c:barChart>
      <c:catAx>
        <c:axId val="1521686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691072"/>
        <c:crosses val="autoZero"/>
        <c:auto val="1"/>
        <c:lblAlgn val="ctr"/>
        <c:lblOffset val="100"/>
        <c:noMultiLvlLbl val="0"/>
      </c:catAx>
      <c:valAx>
        <c:axId val="1521691072"/>
        <c:scaling>
          <c:orientation val="minMax"/>
        </c:scaling>
        <c:delete val="0"/>
        <c:axPos val="b"/>
        <c:numFmt formatCode="&quot;₹&quot;\ 0.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686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[Superstore_Management_System.xlsx]Pivot Table!PivotTable1</c:name>
    <c:fmtId val="6"/>
  </c:pivotSource>
  <c:chart>
    <c:autoTitleDeleted val="1"/>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84F6A"/>
            </a:solidFill>
            <a:round/>
          </a:ln>
          <a:effectLst>
            <a:outerShdw dist="25400" dir="2700000" algn="tl" rotWithShape="0">
              <a:schemeClr val="accent1"/>
            </a:outerShdw>
          </a:effectLst>
        </c:spPr>
        <c:marker>
          <c:symbol val="circle"/>
          <c:size val="5"/>
          <c:spPr>
            <a:solidFill>
              <a:srgbClr val="1C1C1C"/>
            </a:solidFill>
            <a:ln w="22225">
              <a:solidFill>
                <a:srgbClr val="084F6A"/>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084F6A"/>
            </a:solidFill>
            <a:round/>
          </a:ln>
          <a:effectLst>
            <a:outerShdw dist="25400" dir="2700000" algn="tl" rotWithShape="0">
              <a:schemeClr val="accent1"/>
            </a:outerShdw>
          </a:effectLst>
        </c:spPr>
        <c:marker>
          <c:symbol val="circle"/>
          <c:size val="5"/>
          <c:spPr>
            <a:solidFill>
              <a:srgbClr val="1C1C1C"/>
            </a:solidFill>
            <a:ln w="22225">
              <a:solidFill>
                <a:srgbClr val="084F6A"/>
              </a:solidFill>
              <a:round/>
            </a:ln>
            <a:effectLst/>
          </c:spPr>
        </c:marker>
      </c:pivotFmt>
    </c:pivotFmts>
    <c:plotArea>
      <c:layout/>
      <c:lineChart>
        <c:grouping val="standard"/>
        <c:varyColors val="0"/>
        <c:ser>
          <c:idx val="0"/>
          <c:order val="0"/>
          <c:tx>
            <c:strRef>
              <c:f>'Pivot Table'!$I$17</c:f>
              <c:strCache>
                <c:ptCount val="1"/>
                <c:pt idx="0">
                  <c:v>Total</c:v>
                </c:pt>
              </c:strCache>
            </c:strRef>
          </c:tx>
          <c:spPr>
            <a:ln w="28575" cap="rnd">
              <a:solidFill>
                <a:srgbClr val="084F6A"/>
              </a:solidFill>
              <a:round/>
            </a:ln>
            <a:effectLst>
              <a:outerShdw dist="25400" dir="2700000" algn="tl" rotWithShape="0">
                <a:schemeClr val="accent1"/>
              </a:outerShdw>
            </a:effectLst>
          </c:spPr>
          <c:marker>
            <c:symbol val="circle"/>
            <c:size val="5"/>
            <c:spPr>
              <a:solidFill>
                <a:srgbClr val="1C1C1C"/>
              </a:solidFill>
              <a:ln w="22225">
                <a:solidFill>
                  <a:srgbClr val="084F6A"/>
                </a:solidFill>
                <a:round/>
              </a:ln>
              <a:effectLst/>
            </c:spPr>
          </c:marker>
          <c:cat>
            <c:strRef>
              <c:f>'Pivot Table'!$H$18:$H$30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Table'!$I$18:$I$30</c:f>
              <c:numCache>
                <c:formatCode>"₹"\ 0.00,\ "K"</c:formatCode>
                <c:ptCount val="12"/>
                <c:pt idx="0">
                  <c:v>827003.20000000007</c:v>
                </c:pt>
                <c:pt idx="1">
                  <c:v>838208.75</c:v>
                </c:pt>
                <c:pt idx="2">
                  <c:v>1186328.1999999995</c:v>
                </c:pt>
                <c:pt idx="3">
                  <c:v>1331785.7</c:v>
                </c:pt>
                <c:pt idx="4">
                  <c:v>987206.90000000014</c:v>
                </c:pt>
                <c:pt idx="5">
                  <c:v>1081110.6499999999</c:v>
                </c:pt>
                <c:pt idx="6">
                  <c:v>1159462</c:v>
                </c:pt>
                <c:pt idx="7">
                  <c:v>934171.9500000003</c:v>
                </c:pt>
                <c:pt idx="8">
                  <c:v>951387.6</c:v>
                </c:pt>
                <c:pt idx="9">
                  <c:v>1141077.2500000002</c:v>
                </c:pt>
                <c:pt idx="10">
                  <c:v>723276.05000000028</c:v>
                </c:pt>
                <c:pt idx="11">
                  <c:v>1144345.5</c:v>
                </c:pt>
              </c:numCache>
            </c:numRef>
          </c:val>
          <c:smooth val="1"/>
          <c:extLst>
            <c:ext xmlns:c16="http://schemas.microsoft.com/office/drawing/2014/chart" uri="{C3380CC4-5D6E-409C-BE32-E72D297353CC}">
              <c16:uniqueId val="{00000000-86AC-4489-B5CC-57E523CE1C00}"/>
            </c:ext>
          </c:extLst>
        </c:ser>
        <c:dLbls>
          <c:showLegendKey val="0"/>
          <c:showVal val="0"/>
          <c:showCatName val="0"/>
          <c:showSerName val="0"/>
          <c:showPercent val="0"/>
          <c:showBubbleSize val="0"/>
        </c:dLbls>
        <c:dropLines>
          <c:spPr>
            <a:ln w="9525" cap="flat" cmpd="sng" algn="ctr">
              <a:solidFill>
                <a:schemeClr val="tx1"/>
              </a:solidFill>
              <a:round/>
            </a:ln>
            <a:effectLst/>
          </c:spPr>
        </c:dropLines>
        <c:marker val="1"/>
        <c:smooth val="0"/>
        <c:axId val="358966495"/>
        <c:axId val="358966975"/>
      </c:lineChart>
      <c:catAx>
        <c:axId val="358966495"/>
        <c:scaling>
          <c:orientation val="minMax"/>
        </c:scaling>
        <c:delete val="0"/>
        <c:axPos val="b"/>
        <c:numFmt formatCode="General" sourceLinked="1"/>
        <c:majorTickMark val="none"/>
        <c:minorTickMark val="none"/>
        <c:tickLblPos val="nextTo"/>
        <c:spPr>
          <a:noFill/>
          <a:ln w="12700" cap="flat" cmpd="sng" algn="ctr">
            <a:solidFill>
              <a:srgbClr val="1C1C1C"/>
            </a:solidFill>
            <a:round/>
          </a:ln>
          <a:effectLst/>
        </c:spPr>
        <c:txPr>
          <a:bodyPr rot="-60000000" spcFirstLastPara="1" vertOverflow="ellipsis" vert="horz" wrap="square" anchor="ctr" anchorCtr="1"/>
          <a:lstStyle/>
          <a:p>
            <a:pPr>
              <a:defRPr sz="900" b="0" i="0" u="none" strike="noStrike" kern="1200" spc="100" baseline="0">
                <a:ln>
                  <a:noFill/>
                </a:ln>
                <a:solidFill>
                  <a:schemeClr val="tx1"/>
                </a:solidFill>
                <a:latin typeface="+mn-lt"/>
                <a:ea typeface="+mn-ea"/>
                <a:cs typeface="+mn-cs"/>
              </a:defRPr>
            </a:pPr>
            <a:endParaRPr lang="en-US"/>
          </a:p>
        </c:txPr>
        <c:crossAx val="358966975"/>
        <c:crosses val="autoZero"/>
        <c:auto val="1"/>
        <c:lblAlgn val="ctr"/>
        <c:lblOffset val="100"/>
        <c:noMultiLvlLbl val="0"/>
      </c:catAx>
      <c:valAx>
        <c:axId val="358966975"/>
        <c:scaling>
          <c:orientation val="minMax"/>
        </c:scaling>
        <c:delete val="0"/>
        <c:axPos val="l"/>
        <c:numFmt formatCode="&quot;₹&quot;\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358966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[Superstore_Management_System.xlsx]Pivot Table!PivotTable3</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084F6A"/>
          </a:solidFill>
          <a:ln w="0">
            <a:solidFill>
              <a:schemeClr val="bg1"/>
            </a:solidFill>
          </a:ln>
          <a:effectLst>
            <a:outerShdw blurRad="50800" dist="50800" dir="5400000" algn="ctr" rotWithShape="0">
              <a:schemeClr val="accent1">
                <a:lumMod val="60000"/>
                <a:lumOff val="40000"/>
              </a:schemeClr>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84F6A"/>
          </a:solidFill>
          <a:ln w="0">
            <a:solidFill>
              <a:schemeClr val="bg1"/>
            </a:solidFill>
          </a:ln>
          <a:effectLst>
            <a:outerShdw blurRad="50800" dist="50800" dir="5400000" algn="ctr" rotWithShape="0">
              <a:schemeClr val="accent1">
                <a:lumMod val="60000"/>
                <a:lumOff val="40000"/>
              </a:schemeClr>
            </a:outerShdw>
          </a:effectLst>
        </c:spPr>
        <c:dLbl>
          <c:idx val="0"/>
          <c:layout>
            <c:manualLayout>
              <c:x val="-1.7188214500906709E-2"/>
              <c:y val="-1.8334259226837984E-2"/>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84772"/>
          </a:solidFill>
          <a:ln w="0">
            <a:solidFill>
              <a:schemeClr val="bg1"/>
            </a:solidFill>
          </a:ln>
          <a:effectLst>
            <a:outerShdw blurRad="50800" dist="50800" dir="5400000" algn="ctr" rotWithShape="0">
              <a:schemeClr val="accent1">
                <a:lumMod val="60000"/>
                <a:lumOff val="40000"/>
              </a:schemeClr>
            </a:outerShdw>
          </a:effectLst>
        </c:spPr>
        <c:dLbl>
          <c:idx val="0"/>
          <c:layout>
            <c:manualLayout>
              <c:x val="0.25859886691724843"/>
              <c:y val="-7.3073640674231638E-2"/>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F95CB"/>
          </a:solidFill>
          <a:ln w="0">
            <a:solidFill>
              <a:schemeClr val="bg1"/>
            </a:solidFill>
          </a:ln>
          <a:effectLst>
            <a:outerShdw blurRad="50800" dist="50800" dir="5400000" algn="ctr" rotWithShape="0">
              <a:schemeClr val="accent1">
                <a:lumMod val="60000"/>
                <a:lumOff val="40000"/>
              </a:schemeClr>
            </a:outerShdw>
          </a:effectLst>
        </c:spPr>
        <c:dLbl>
          <c:idx val="0"/>
          <c:layout>
            <c:manualLayout>
              <c:x val="-3.4311909074146087E-2"/>
              <c:y val="2.1715033496788813E-2"/>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Table'!$C$6</c:f>
              <c:strCache>
                <c:ptCount val="1"/>
                <c:pt idx="0">
                  <c:v>Total</c:v>
                </c:pt>
              </c:strCache>
            </c:strRef>
          </c:tx>
          <c:spPr>
            <a:solidFill>
              <a:srgbClr val="084F6A"/>
            </a:solidFill>
            <a:ln w="0">
              <a:solidFill>
                <a:schemeClr val="bg1"/>
              </a:solidFill>
            </a:ln>
            <a:effectLst>
              <a:outerShdw blurRad="50800" dist="50800" dir="5400000" algn="ctr" rotWithShape="0">
                <a:schemeClr val="accent1">
                  <a:lumMod val="60000"/>
                  <a:lumOff val="40000"/>
                </a:schemeClr>
              </a:outerShdw>
            </a:effectLst>
          </c:spPr>
          <c:dPt>
            <c:idx val="0"/>
            <c:bubble3D val="0"/>
            <c:spPr>
              <a:solidFill>
                <a:srgbClr val="084F6A"/>
              </a:solidFill>
              <a:ln w="0">
                <a:solidFill>
                  <a:schemeClr val="bg1"/>
                </a:solidFill>
              </a:ln>
              <a:effectLst>
                <a:outerShdw blurRad="50800" dist="50800" dir="5400000" algn="ctr" rotWithShape="0">
                  <a:schemeClr val="accent1">
                    <a:lumMod val="60000"/>
                    <a:lumOff val="40000"/>
                  </a:schemeClr>
                </a:outerShdw>
              </a:effectLst>
            </c:spPr>
            <c:extLst>
              <c:ext xmlns:c16="http://schemas.microsoft.com/office/drawing/2014/chart" uri="{C3380CC4-5D6E-409C-BE32-E72D297353CC}">
                <c16:uniqueId val="{00000001-ADE8-468F-8B17-101002A64096}"/>
              </c:ext>
            </c:extLst>
          </c:dPt>
          <c:dPt>
            <c:idx val="1"/>
            <c:bubble3D val="0"/>
            <c:spPr>
              <a:solidFill>
                <a:srgbClr val="184772"/>
              </a:solidFill>
              <a:ln w="0">
                <a:solidFill>
                  <a:schemeClr val="bg1"/>
                </a:solidFill>
              </a:ln>
              <a:effectLst>
                <a:outerShdw blurRad="50800" dist="50800" dir="5400000" algn="ctr" rotWithShape="0">
                  <a:schemeClr val="accent1">
                    <a:lumMod val="60000"/>
                    <a:lumOff val="40000"/>
                  </a:schemeClr>
                </a:outerShdw>
              </a:effectLst>
            </c:spPr>
            <c:extLst>
              <c:ext xmlns:c16="http://schemas.microsoft.com/office/drawing/2014/chart" uri="{C3380CC4-5D6E-409C-BE32-E72D297353CC}">
                <c16:uniqueId val="{00000003-ADE8-468F-8B17-101002A64096}"/>
              </c:ext>
            </c:extLst>
          </c:dPt>
          <c:dPt>
            <c:idx val="2"/>
            <c:bubble3D val="0"/>
            <c:spPr>
              <a:solidFill>
                <a:srgbClr val="0F95CB"/>
              </a:solidFill>
              <a:ln w="0">
                <a:solidFill>
                  <a:schemeClr val="bg1"/>
                </a:solidFill>
              </a:ln>
              <a:effectLst>
                <a:outerShdw blurRad="50800" dist="50800" dir="5400000" algn="ctr" rotWithShape="0">
                  <a:schemeClr val="accent1">
                    <a:lumMod val="60000"/>
                    <a:lumOff val="40000"/>
                  </a:schemeClr>
                </a:outerShdw>
              </a:effectLst>
            </c:spPr>
            <c:extLst>
              <c:ext xmlns:c16="http://schemas.microsoft.com/office/drawing/2014/chart" uri="{C3380CC4-5D6E-409C-BE32-E72D297353CC}">
                <c16:uniqueId val="{00000005-ADE8-468F-8B17-101002A64096}"/>
              </c:ext>
            </c:extLst>
          </c:dPt>
          <c:dLbls>
            <c:dLbl>
              <c:idx val="0"/>
              <c:layout>
                <c:manualLayout>
                  <c:x val="-1.7188214500906709E-2"/>
                  <c:y val="-1.83342592268379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DE8-468F-8B17-101002A64096}"/>
                </c:ext>
              </c:extLst>
            </c:dLbl>
            <c:dLbl>
              <c:idx val="1"/>
              <c:layout>
                <c:manualLayout>
                  <c:x val="0.25859886691724843"/>
                  <c:y val="-7.30736406742316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DE8-468F-8B17-101002A64096}"/>
                </c:ext>
              </c:extLst>
            </c:dLbl>
            <c:dLbl>
              <c:idx val="2"/>
              <c:layout>
                <c:manualLayout>
                  <c:x val="-3.4311909074146087E-2"/>
                  <c:y val="2.17150334967888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DE8-468F-8B17-101002A64096}"/>
                </c:ext>
              </c:extLst>
            </c:dLbl>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Table'!$B$7:$B$10</c:f>
              <c:strCache>
                <c:ptCount val="3"/>
                <c:pt idx="0">
                  <c:v>Consumer</c:v>
                </c:pt>
                <c:pt idx="1">
                  <c:v>Home Office</c:v>
                </c:pt>
                <c:pt idx="2">
                  <c:v>Corporate</c:v>
                </c:pt>
              </c:strCache>
            </c:strRef>
          </c:cat>
          <c:val>
            <c:numRef>
              <c:f>'Pivot Table'!$C$7:$C$10</c:f>
              <c:numCache>
                <c:formatCode>"₹"\ 0.00,,\ "M"</c:formatCode>
                <c:ptCount val="3"/>
                <c:pt idx="0">
                  <c:v>4268038.0500000007</c:v>
                </c:pt>
                <c:pt idx="1">
                  <c:v>4146338.1999999988</c:v>
                </c:pt>
                <c:pt idx="2">
                  <c:v>3890987.5</c:v>
                </c:pt>
              </c:numCache>
            </c:numRef>
          </c:val>
          <c:extLst>
            <c:ext xmlns:c16="http://schemas.microsoft.com/office/drawing/2014/chart" uri="{C3380CC4-5D6E-409C-BE32-E72D297353CC}">
              <c16:uniqueId val="{00000006-ADE8-468F-8B17-101002A64096}"/>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[Superstore_Management_System.xlsx]Pivot Table!PivotTable5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Table'!$F$6</c:f>
              <c:strCache>
                <c:ptCount val="1"/>
                <c:pt idx="0">
                  <c:v>Total</c:v>
                </c:pt>
              </c:strCache>
            </c:strRef>
          </c:tx>
          <c:spPr>
            <a:solidFill>
              <a:schemeClr val="accent1"/>
            </a:solidFill>
            <a:ln>
              <a:noFill/>
            </a:ln>
            <a:effectLst/>
          </c:spPr>
          <c:invertIfNegative val="0"/>
          <c:cat>
            <c:strRef>
              <c:f>'Pivot Table'!$E$7:$E$11</c:f>
              <c:strCache>
                <c:ptCount val="4"/>
                <c:pt idx="0">
                  <c:v>Grocery</c:v>
                </c:pt>
                <c:pt idx="1">
                  <c:v>Office Supplies</c:v>
                </c:pt>
                <c:pt idx="2">
                  <c:v>Furniture</c:v>
                </c:pt>
                <c:pt idx="3">
                  <c:v>Electronics</c:v>
                </c:pt>
              </c:strCache>
            </c:strRef>
          </c:cat>
          <c:val>
            <c:numRef>
              <c:f>'Pivot Table'!$F$7:$F$11</c:f>
              <c:numCache>
                <c:formatCode>"₹"\ 0.00,\ "K"</c:formatCode>
                <c:ptCount val="4"/>
                <c:pt idx="0">
                  <c:v>140233.25999999995</c:v>
                </c:pt>
                <c:pt idx="1">
                  <c:v>144582.45000000013</c:v>
                </c:pt>
                <c:pt idx="2">
                  <c:v>148421.27000000002</c:v>
                </c:pt>
                <c:pt idx="3">
                  <c:v>150066.40999999986</c:v>
                </c:pt>
              </c:numCache>
            </c:numRef>
          </c:val>
          <c:extLst>
            <c:ext xmlns:c16="http://schemas.microsoft.com/office/drawing/2014/chart" uri="{C3380CC4-5D6E-409C-BE32-E72D297353CC}">
              <c16:uniqueId val="{00000000-E8E1-4F7E-9792-A6277D4C1A0E}"/>
            </c:ext>
          </c:extLst>
        </c:ser>
        <c:dLbls>
          <c:showLegendKey val="0"/>
          <c:showVal val="0"/>
          <c:showCatName val="0"/>
          <c:showSerName val="0"/>
          <c:showPercent val="0"/>
          <c:showBubbleSize val="0"/>
        </c:dLbls>
        <c:gapWidth val="182"/>
        <c:axId val="1379086544"/>
        <c:axId val="1379085584"/>
      </c:barChart>
      <c:catAx>
        <c:axId val="13790865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085584"/>
        <c:crosses val="autoZero"/>
        <c:auto val="1"/>
        <c:lblAlgn val="ctr"/>
        <c:lblOffset val="100"/>
        <c:noMultiLvlLbl val="0"/>
      </c:catAx>
      <c:valAx>
        <c:axId val="1379085584"/>
        <c:scaling>
          <c:orientation val="minMax"/>
        </c:scaling>
        <c:delete val="0"/>
        <c:axPos val="b"/>
        <c:numFmt formatCode="&quot;₹&quot;\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086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[Superstore_Management_System.xlsx]Pivot Table!PivotTable14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Table'!$I$34</c:f>
              <c:strCache>
                <c:ptCount val="1"/>
                <c:pt idx="0">
                  <c:v>Total</c:v>
                </c:pt>
              </c:strCache>
            </c:strRef>
          </c:tx>
          <c:spPr>
            <a:solidFill>
              <a:schemeClr val="accent1"/>
            </a:solidFill>
            <a:ln>
              <a:noFill/>
            </a:ln>
            <a:effectLst/>
          </c:spPr>
          <c:invertIfNegative val="0"/>
          <c:cat>
            <c:strRef>
              <c:f>'Pivot Table'!$H$35:$H$40</c:f>
              <c:strCache>
                <c:ptCount val="5"/>
                <c:pt idx="0">
                  <c:v>West Marissa</c:v>
                </c:pt>
                <c:pt idx="1">
                  <c:v>South Ravenfurt</c:v>
                </c:pt>
                <c:pt idx="2">
                  <c:v>Shieldsmouth</c:v>
                </c:pt>
                <c:pt idx="3">
                  <c:v>South Scott</c:v>
                </c:pt>
                <c:pt idx="4">
                  <c:v>Port David</c:v>
                </c:pt>
              </c:strCache>
            </c:strRef>
          </c:cat>
          <c:val>
            <c:numRef>
              <c:f>'Pivot Table'!$I$35:$I$40</c:f>
              <c:numCache>
                <c:formatCode>General</c:formatCode>
                <c:ptCount val="5"/>
                <c:pt idx="0">
                  <c:v>68186.8</c:v>
                </c:pt>
                <c:pt idx="1">
                  <c:v>50527</c:v>
                </c:pt>
                <c:pt idx="2">
                  <c:v>49881</c:v>
                </c:pt>
                <c:pt idx="3">
                  <c:v>49740</c:v>
                </c:pt>
                <c:pt idx="4">
                  <c:v>49105</c:v>
                </c:pt>
              </c:numCache>
            </c:numRef>
          </c:val>
          <c:extLst>
            <c:ext xmlns:c16="http://schemas.microsoft.com/office/drawing/2014/chart" uri="{C3380CC4-5D6E-409C-BE32-E72D297353CC}">
              <c16:uniqueId val="{00000000-C8B6-4784-B452-363452C470CC}"/>
            </c:ext>
          </c:extLst>
        </c:ser>
        <c:dLbls>
          <c:dLblPos val="outEnd"/>
          <c:showLegendKey val="0"/>
          <c:showVal val="0"/>
          <c:showCatName val="0"/>
          <c:showSerName val="0"/>
          <c:showPercent val="0"/>
          <c:showBubbleSize val="0"/>
        </c:dLbls>
        <c:gapWidth val="219"/>
        <c:overlap val="-27"/>
        <c:axId val="1721942576"/>
        <c:axId val="1721940176"/>
      </c:barChart>
      <c:catAx>
        <c:axId val="1721942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940176"/>
        <c:crosses val="autoZero"/>
        <c:auto val="1"/>
        <c:lblAlgn val="ctr"/>
        <c:lblOffset val="100"/>
        <c:noMultiLvlLbl val="0"/>
      </c:catAx>
      <c:valAx>
        <c:axId val="1721940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1942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[Superstore_Management_System.xlsx]Pivot Table!PivotTable4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Table'!$C$14</c:f>
              <c:strCache>
                <c:ptCount val="1"/>
                <c:pt idx="0">
                  <c:v>Total</c:v>
                </c:pt>
              </c:strCache>
            </c:strRef>
          </c:tx>
          <c:spPr>
            <a:solidFill>
              <a:schemeClr val="accent1"/>
            </a:solidFill>
            <a:ln>
              <a:noFill/>
            </a:ln>
            <a:effectLst/>
          </c:spPr>
          <c:invertIfNegative val="0"/>
          <c:cat>
            <c:strRef>
              <c:f>'Pivot Table'!$B$15:$B$19</c:f>
              <c:strCache>
                <c:ptCount val="4"/>
                <c:pt idx="0">
                  <c:v>South</c:v>
                </c:pt>
                <c:pt idx="1">
                  <c:v>West</c:v>
                </c:pt>
                <c:pt idx="2">
                  <c:v>East</c:v>
                </c:pt>
                <c:pt idx="3">
                  <c:v>North</c:v>
                </c:pt>
              </c:strCache>
            </c:strRef>
          </c:cat>
          <c:val>
            <c:numRef>
              <c:f>'Pivot Table'!$C$15:$C$19</c:f>
              <c:numCache>
                <c:formatCode>"₹"\ 0.00,,\ "M"</c:formatCode>
                <c:ptCount val="4"/>
                <c:pt idx="0">
                  <c:v>2913078.2500000005</c:v>
                </c:pt>
                <c:pt idx="1">
                  <c:v>3013506.0500000007</c:v>
                </c:pt>
                <c:pt idx="2">
                  <c:v>3160397.9000000018</c:v>
                </c:pt>
                <c:pt idx="3">
                  <c:v>3218381.5499999993</c:v>
                </c:pt>
              </c:numCache>
            </c:numRef>
          </c:val>
          <c:extLst>
            <c:ext xmlns:c16="http://schemas.microsoft.com/office/drawing/2014/chart" uri="{C3380CC4-5D6E-409C-BE32-E72D297353CC}">
              <c16:uniqueId val="{00000000-1646-46ED-8B4E-A334B08139C4}"/>
            </c:ext>
          </c:extLst>
        </c:ser>
        <c:dLbls>
          <c:showLegendKey val="0"/>
          <c:showVal val="0"/>
          <c:showCatName val="0"/>
          <c:showSerName val="0"/>
          <c:showPercent val="0"/>
          <c:showBubbleSize val="0"/>
        </c:dLbls>
        <c:gapWidth val="182"/>
        <c:axId val="1521686752"/>
        <c:axId val="1521691072"/>
      </c:barChart>
      <c:catAx>
        <c:axId val="1521686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691072"/>
        <c:crosses val="autoZero"/>
        <c:auto val="1"/>
        <c:lblAlgn val="ctr"/>
        <c:lblOffset val="100"/>
        <c:noMultiLvlLbl val="0"/>
      </c:catAx>
      <c:valAx>
        <c:axId val="1521691072"/>
        <c:scaling>
          <c:orientation val="minMax"/>
        </c:scaling>
        <c:delete val="0"/>
        <c:axPos val="b"/>
        <c:numFmt formatCode="&quot;₹&quot;\ 0.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686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4A89947A-15FB-44D3-AFBA-5E9651FBB535}">
          <cx:dataId val="0"/>
          <cx:layoutPr>
            <cx:geography cultureLanguage="en-US" cultureRegion="IN" attribution="Powered by Bing">
              <cx:geoCache provider="{E9337A44-BEBE-4D9F-B70C-5C5E7DAFC167}">
                <cx:binary>7H1pb9xGs+5fMfz5Uul9eXFygJCc0b5Ylrd8ISayTDZ3srn/+lu0Fo+Yia2D6FxggDsJLEicHhb7
6ap6qrq65r9uh//cpneb+s2Qpbn9z+3w+9uoacr//PabvY3uso09yMxtXdjiW3NwW2S/Fd++mdu7
377Wm97k4W8EYfbbbbSpm7vh7X//F3xaeFecFbebxhT5u/auHq/vbJs29ifXdl56s/mamdw3tqnN
bYN/f3ucpiYvjH375i5vTDPejOXd72+fvevtm9+Wn/W3+75JQbSm/QpjGTrAhGFFBdP3r7dv0iIP
Hy47Sh9gpgTlij9dv7/3xSaD8S+R6Ls8m69f6ztr4ZG+/9we+Ux+uHD29s1t0ebNPG8hTOHvbz/k
prn7+uZ9s2nu4OGNLbz7N3jF/BAf3n9/6t+ez/x//9fiDzAPi79sgbOctF9d+hs267SozdfN60FD
1AHXnGNG0f0LL6AhB0xJyoh6eAN9vPc9NC8QaDcyTwMXwKz3E5jj/KvZ5K8IDNUHGmvNFFf3wMDE
P9MZcUAUllpTcn+dPwfmBQLtBuZp4AKY44u91JiLom6iN/4mKZpXRIfJA8YERQrTJ4u1jQ5G6IAJ
wIYAht9fz9F5qVS7IXo+eoHThb+XOJ0ba+f/y9I8TtW/dzyUHEiClHzyK3qhRPpAcEEQIw9KJB7v
fW/dXijUbpSeDV6AdA7OZA/dz6exAK4QPk7SvweIkQPQDkEEfvD86jlAGMmD2TsxjtAuPXqBQLvB
eRq4AObTl70Exr9LN/2mvns9ZMD/INAcQegPTrZt4SQHA6cEo1jdA7PwPy+RaDc0P0YusPFXe4nN
+6L93/BA7IBRgRmXwAHml1xqDjogFDGNBXtcFfdG7aXy7Ebn+egFQu/31PcUefOq5A3oAaKUYy3Z
TvKGETgexjERdAHO+a9F2Y3L08AFJOc3e6k0s/Ms2vo1uYA6oEICm2ZAzuYXea4wGiIdKanEj5Rt
YdBeItE/QPP0LEtsLvcSm5u7PIco++41vQ0/UIxojdRDtLMAR4kDyijQBKBz318Qpm5nCF4k0m50
toYu4LnZz4jn8K6oQ/OKwQ6waMEUUeBLniZ/mwooCsEQo2DrfoSq2+C8QKDd0DwNXABz+Mee6s2w
sY/r9t9zZ4qBgVHFFN4Ni9YHlFKipQTFml/Arbdhubn7hTi7QXkYtoDk5vNeQvJpYyMIaJoif5yb
f4/LnBvAmHKp/oGZEQQxDWjUoyda2LKXybQbnO2xC4Q+7afSnG5y+6paoyChyUAlpNxpzDTQBIWw
Qo9xD/Dqba35tTy7kXkct0DldD8TAedmpgCvm1KbXbyGRLR+8CKgFtteRrMDrCELDTm154i8SJbd
oGwNXeByvp++/490Y5PN4/z8e1smYNLBt0tEHtIvEK5sg4I5OSBSKyYwpNa29eTXkuyG5HHcAo8/
TvfSv1xHsHf05timm/zr4/z8e1QYPhBEEc0fUi+zZ99GReIDjoFJQ4h57/lh72Abm5dKtRuh56MX
OF0f7yVOH5pN9DhH/x4fyJ1RQiUkzyBtOb8W0QzGAKBUhBCxSDj/So7diNyPWiDxYT8Df6+ALc7N
1+IV0VCQY1acQ5b/Ho2FY8GIH3AmYXd6oSYvEWU3ID9GLkDx9jPi9wpw97eNuW2b18MFrBiXHHNI
lO3ERcLmDYWwE5NFJuaF0vwTNFuPskRnP1XmCvIxdky7Tf6aUT8UbSgtxCMbQ2ihNlIeKKrUzKPv
ncwivHypVLthej56gdPVH3vpZI6/bqJXtGuMQaSikYTKmicAtlkAxgx2NzWVCi0U6JeC7MbkYdgC
jGN/L8H4dGebNx8NZMpeVWuoglwZgdgfPyRdFtsyCh0ITCXV6CFps/A5LxZrN0SL4QuoPn3cS6ju
t5y8TV1AYdorBjeUHmhENSOPCTTAYluBACulIakJdO1ewRZk7eVy7QZrOX6B1ntvL9H6o05eO2XD
AAfwQ/QfigTmnRuqMeePpVILc/cSiXYj9GPkAps/rvcSm/ONtZvbqLV3TWNfkcmRA9iYgQ0A+VAk
uKQKEO4gDjuiapFMe7E8u+FZDF9gdL6fLOHjXZ3BJvArosMOkOQE/lvYNyDYAkpvtFAPRWwLvXmB
JLtxeRq4QOTjfvJrb5Oab0X9ujxBHhDOgF5jvTP4AZcDREESiR/Z3eOCuC/ieJlMu+HZHrtAyNtP
nTmF7FZ7m4yPc/QKKRyoOyOSKMF/bJ494wYcym8l1AvgB5O30J2XSLQbnR8jF9icftlLn3Nc9K/I
2aBgEEkmuGS7K2s0PZizCQKjh+sLzvYraXZjcj9qgcfxfurKxV3/5vxuMLevGIpSKEYjENZgJu6t
2cLTYCQOMAI3A2T6UUfv7djLpNmNyvbYBTYX53upK+ebenzdrQKIRzUYMtjMfB7bSHEgEcSoEP7s
3CJ4iSS7UfkxcoHJ+X4mCs7NbWTCzWsWCEA8A1xZQ5JgZ+JGcUh8Ig3VA7vjzpdI9A/YPD3LEpv9
3LaZLcDJXW3vXtHzz4fVwFBpTnfXCUrIqsGBAjiPdw+eZn+3aL+WaTc+28+zQOjiZC8t2lnRGvvK
J6PQgVaAjYA95/vXc9OmMaQLMOyuqR971tu7ny8SaTc+W0MX8JztJxn4ozZT8ao5NXYATgXmHj/4
lUX+8/vW57wvDeduvlOFBR94gUC7oXkauADmjz/3Um+gDOKvTbZ5NC2vENDAbpqA1DQhC0SgtFYx
yM0Q9BDpAFPYVpcXSPIPiDw+whKR/TzhOdvmo01WQsHga56zYfRAKA6m7HEXdEGd51qOuZIAPNI9
tV5UP71YrN0gLYYvoLo42kvlOYKzUMY8LuN/rzvfczFwGApRiCa3swCQc57TBHNhwX24ubBmvxZk
NyqP4xZwHO0nS/tk7G2RW/O6FFpA0pJT8eDjwWhtAwMdBSSUPnPY/nwKSLeN2otE2o3N1tAFPJ/2
E57zjcnvXk9ZGIc6TvA0fKuAdhsaoQ8IhoNrkMa5Z28L/vxLcXbD8jBsAcn5ai8N2MXdX/XrFnLO
xTaQTJ6L0p7cyDYqcFgAOPV8UuCh+naRz3yJRLuB+TFygc3FnmLzvaHA/8JuNLgSCtUaHEL/768F
T5PQJEVxqoR4QHCR2bxvCvASuf4Bp8VzLdHy9lKTLpMUim5elUgDTopC94eHqrVlXZSGnQNIdSL0
eDAXXNO263mJRLsR+jFygc3lfhZHX9x1m9fsZTOX3cK5GvA8PyrStm0cxgIKokCF5MMpwwVb+7U8
u3F5HLdA5eLjfmpMZF5xZwCyaQxYMpyE3o2JgrAUgdWjcMbg+wvCn2fa8gtpdiNy+X3UAo/L/Qxm
/hdq1MBCYaI0HIe+9zRQubmtJxJq2IAGcKgtvL++wOQlEu3G5cfIBTYf/9hPXanvwlc9OggVaeDh
oRWauJ/5RViDvx8dBKIG9eoLPfmlJLsRuXwYt8Djcj/rm+ZsxpeiTh7n5t+H/nODGqoJm/Njj/bp
ma5wOIqDECRwHqKZJSt7gUS7kfnxLAtsLr7sha7c/rS73r2Nv8fn2Tv/h60FwedDYRmUA9Af/mMb
H4hr4DAnHO143OdcRJuLpn//LNZukBbDnz3J/6OOgv/cbfCpJaO/aTar770ctxoO/vzq98eFDpOL
oQ++eade3c/d8dff30IzRwVpyqcekfOHPPPqTz3m/jbmbmOb3986ih1ION429xQg0PhBQjTaQ8H2
fEUdoPnYm6BQ2K4RHLF6+yafQxdoM4kPJAeiAcwbWkbBAWvA2s7Nd35/S+XBfN53HqaVnuuzn3po
XhXpCEb8aToefn+Tt9lVYfLGwgfP1ra8f9/8fBzO3H/veyQgA0XEvNUE128313CUHN6O/09LIEs8
RYNzHNBp8GmVphseB0HotgaR0o2mjnTuaMfJs63T9V4SEnwmojo7n0TABg/jPFkFyHRfZYuzyykY
8j81isfCDXUSGhdGZf5QBM06y6f8z4wH9BiKXshlbXrRuHFX0/MJp2rykjgLs5XVqTg0Qr2XdZJe
10PbXaJukxV17UY2Sj42Haq/FInpHG/q0nw6TFAJ3QHSJhtcY51xch0aksAfdE4HlzYyTFalqJK/
IiehoUvrLIzdkdTBqiCjOU6GarBukOr2PByHgK5bFEzM5zU0kVilBTSU9GqqY+zGKqaHlY6myB2i
IDqjsezUio7SSNfJU0G9xEmK29KW5ZeiQdNFa0fktTS1p6G2/a3KuvwLawxPvU6F46npk+rdWMbh
hkSEuCYmhZtV7bprs9ITLUHeYFR/MfGhuOJ0LLTbq6Gq3THr5WE6mORC0Wx4x1I6rcux8UdbHEvZ
t6FbJa3X5W3tCjYe9sTIK1xZTdyYZreDTbFLh0xdCY7L46CJm/d07C00VbV2xfqRHgVTiVM3d5L8
hDeh9ONxak/V0JvgeLK4OummNEpcFHIduoZX8kyhjORe7YzpR5qV7fuWJbUbt7if3Dbp8Gcjk+Bz
45TDcdnzapXn2jnrJxK7TW6EW0wj8/ohmM6mELef0mQsK4/rrD7rg7o6jZTqvulaT7Ebjo2T+DZl
0WXH8nRVVjqP/bzXVe5iLLvz1Blq7GrRJptqjNNVaIeKH4YmKzKXxL39M47TNPX6oKpKN6loeJUr
neMjUBdzHZUJ/UTCzLzTE4e7USTr97gk8bqtInaKSdwhN2qL6MihTWjdsSh90nTVUT/i7jqMstQT
WTx8cfKwPqEo03d93ct6LVAWMhfTXplVX1X6Wsdi6j3bhIXzOQ6puIqYyRO3U4GTu9pOyS0rC6rd
NiLJKkRT5mveYK/KcH4DOCYfemyjKznE9tziMTqRNen0Chd9dRYFOfMdMYaZD8u1uFG0Qpdh3RTW
dyq4jouQnVcda4sVZBrKiziX0D3X7TPQ8s9DjmMWu2kIrTxhegbYlC5PdGcQ/ChyHDaNO+hujMW1
LfSA0rMcoSFvXGKdZjrK+rZ3g25CwfXYd3Q8iXgUH1W9uMIqTvySycmj1ITuyGr9fkhBe1Z2aNMv
QaBHF6dBl/qyZdp6SUkKL88sf9+2vC3d0eDGa9hYeVFu0AUrs+Gs4SI6ZFXMXVvY1EuSMVzpoEtW
irawFEFfrgM7IOmarks/DEFPszPRNii+ksZOqfZZObXoPZtsn9WpK0XOLwiunKO+rT+yNOrfOYnS
iT/UtD+mdXfShbk4L8qyPsyahPjpkE6HZZuN76pCkeM2Tiu3UDw8VqNN3/U1ra/TPh48lsRmHVCd
rmQJQAJXdrPAGhdX0UUWg35kTeSixpx18UnZG/gk6lSHrQyqlTbkiwgi7vLYOYlj4rZVgVyssIWP
cXpvqCz7GDHKjgNbFx6GaVnD8XZ7aRD7otsy9PuJ6lXRd855POHgKJyt9diiTzluSjcIAwB5/Frb
7rSZYA6DBp3GhjSjh3WC1shGHwYa5W4aFx+VHOVxpspbDoitBkOu0VhrP2jSjyGtL0Ufx1dNlX9m
AR9cMp5KM6J1hor3naGZmw2y8Xo0Zi7qk84nedolbjuU6khGOPFGkadu29lKulMkziuD7UlN7WkT
B+F61Ko7JLRjPrZjUrmMSORLnUQndSiZgccrpy/RYO25Hnq2Fj12CSyjUwFon6GwJi5y2vwaDVVx
6PDcOWTjBKtpLKaLsQ7iANYP7lxlePmuGkd9Tac6iXxo95y+S5yhvxS6/iqLCJ0kJsSnU6arlWN7
lXklH/BsZisncxUsvxuJ6tCHM6KFXw2crCZjMz8U4XiRDlPgjh2uP0xJ2HoOZ/aCaPOO104FKpFE
Xt119iKrk8yrszR736VB8I6TgLmsrWOXF2j0KcCkA9T7CaHRJh2CTWRR9Y6Usr8igx5OTW3ptTA6
f9/2ReY1VJxYmeXe0MLSiR30iduocrkD/0TxEHhQ1VD4JJG3/dDZa+Vo6U3tMK7pOOl128v0m7BB
fjH1K9tO7VnfMJq6dWvZBdgY5yxujCRuFWXVNU+j1K9knpxSWVCPB6Q81IONblmagm7pwlpPJu01
LML0QhcovYp5wF2RC7kyYrI+nGm6kswyvyFxfZxNlF6lUIDpO+1YXvIe/8m7Wqwq7CTvM50QlzeS
fGoKVq1tTxIMKyNKUhd4gfAwk/l6NKR2XNhwO8RlbU6dTugTbvvxKFdmOBYNuMghmcSxk8Lmjr/d
KvsZwbotyrE2YfTQp/zp1/++KTL4/3vv7B9/nNuc//gN6t7u+6P/9F3QNGouLbXLN808+emzfnTp
nrnpU8vuBdu976j+D1T4pxdfxpMJFQQ46j/z5OeNfn+Q5YeBD2RZiwM+l9NwDC3UYTN6bsXxwJah
DPoAQZ9OjQiHtCfw5R9seW7wiYSGy9DdgyOgxI9sGbbwNFS/UQnDFAS+FP+P2LKE+2+xZQZnhIHC
Cwr19JgrhinEBttsmWlVWjFIcjZBYiOcDo0FVhL4BUFuNtpzp2F6VWYybcCf87hyFaPTF4ekAnvE
4CPblc5ZAEx/NYLhWIdjVXiymOx5EeZHUU3bE1X10mepFqcQlDrvq9yWcIg8dE4bo7Bbsky871Q5
fIiVbnK3LWIHVnkF1NHGlSesHV34PLwmVWWATXQBPYwrDeoOY9yIh0eJic4FzeoTMnv5qAre9VN1
OdjChwMCyGVZiY8qW1IXcjuJJ1NxglngB22i/SisvrYc934bl9bLujoGapyP50Edhqu+Qf7QodvI
EcatUuusgjjG6xFN0yEvqtDNQ3Lo5Dz/pMcuXtkyMf6UAsUe6ss6GdnKCZNmU5OGrlOZKbCvZX1E
MwH3z7AF7leBfQC6djTa1lzLMCr8DOPpqEyI9vpiDNy+LLujsIkv61Ejr7LJtMrAmbgt0cJlqKSr
CHEKtt3hwHjawe2K1IJdl+cR1gEwtOxao6xfNYE81Fl7VLI+gcCA5O6oi9pjNEQ+CdChY2Ls8Wj8
yJtu9LpmfogyafympYGfjm0I/MMRq1S1f2VW+3QYspMyx+YUjNHoUTKsikmuHZOWaz5Vud8mwgEi
LaVbcXGkA30C7gl5KoHoy0yB83GkpgA62vKVLUrl0nYY1oSF2nW6bDwmRRTfyLicji1WnQ8hANjF
AfM18LLRBxLE/Fxz4XIVHg6tYG4F322w0jj+sxxKdlo56njMg8yDM1eV39q6d2kaHka0la6uyspP
U2eVxNVNYcVHNUxnMemlG3aCrR2gYyuMpuhQltlm4vGfcdWww7gIaq+P+3yFNFCXiug7Njmx33Sa
+7AmblI7uKKHJaHq8J0u4mLdhsnokTAAJhc2EB7hyWM2BbbT8OOKxPjPkU3YS2p7OjjJXxAwDKsh
UuUqNvF4xPMw86YpV66TwloweVz5MizZUTSxdsWicfBQCn9LcP3ZsU3mJ3IIfJHbzrPFWB1iBQgC
4Qb2EGc1sLX4Q01EeJ6jKFtT9RdEb+hkCCVEJaVwblKGM+u1ImK+TI25zrpEebkVyI2TaDwsja5v
UD4oHzreJ9eTVMy3djqH76xI18CE+xUJIrGekjbzoTJXrvIBh25DHHRlRD2t0JRkK2xV5LUciGbU
0NgtZCyOMYSsnglVd0RIeNzwjpxaB7W+Q6LyQ8spzKIKqE9YLD0R6t7nfVa5iBfGszxGH8aAIbdx
sADNraZ1E5XS0+2E3XpK8veJQ8eroGzRCW5szyGIEpHxeieJVqJUvT80mfDaFEJ9OtpkDaK2Z9LJ
KbzROYOv4EgPi0RcOCz5y3Qi8uJcpcddJSGLoDrHlxPMZzlZDowvjV1D0bchiJQ/9AU/KbsJGIpo
3iNljtu8EydqksZlNb8WQVytekQhXNFD5U59KnzGBog5Kg0NPtJrMw5XAW6v0hYCERQbfDga5y5j
07hO6+m0buSZ6eH9VuaHvRhHN2d5vpahU3tZbUt/DDrrRtC7w8XMbKoi7N1QTe9tQYYj2SWhmybS
gcC7bTw4FDKuiCmIX+cVLKlQ1Ocjkes2Ixtd0RJIZEy9bo5bAhKFXib1qh0dF4GqHQ6suuts2rty
GoMLXkMqAaUYnwQqTdZxSroVhL0QUzZJ6fc6U0cRRZdFSv4Uwp7FIYuPLR8+qt5KVxrReOlIxXGL
TH6jdfcpDereL0t5J6K+97rAAN0O0xuC21PJmvqiVOTEFHUGVLJIz1Mp3BzVVylEi35AI+VBPPyt
rlvkG80Cl09tcchYa/yAj/Gq6pv0bEz7+pANtQJaFeijNM5dS6M/9aj0zchGiKBzYMcihvQFGat1
o9LOHxTcMZ+mGwg4zZVNxFmMwQkNTjC4Sa9Bn3GYruuWcxdl/H2ZZJEvmsqcjpU9DmsI0buOOm7Y
tMRNI3AvQDbFlzQZPvdB2x5BSPK1aCE3FYVptG5J0x8O+eCswzzgnsw6fdmk3RUKZeRWjM2C9+dl
ZQOv4aT0suC6iKdi1QuzHirTu2DQ0mMcOZ9aXcZu5QxfqSkJ2MK2PVbdVIOtMfVqDAJxBPbXnEQd
6w9DB6xcrxzutbWCOCAl9NBMlK9D2dM1SUvqDazEh6GMP/Wd4ceTo27Gxp7aBDI5pRN+o04pT9I8
DdaOTCeXlQKveSHVCrMMnagSEbeA9IA7gVVd16Iu/F6NE83/SoXNmw/MNIFNYM06kAs5GnrHsNIb
mkoV/ccm6DIJqlgJG6duBasvU5cBr3VfuhJyC7OSFXHGLT2qSGE67MlSkOADbfucisQdx9qqcMVt
AdY7casJAtTEzUnArynLpIAsXDdASg+Ctc5K7cWFUpK7eZwaJ4IEUllPdQ2Hm4AzPiR+/z+93v7+
osedn+9paCjK/Bm7fmw194NXz6cG4RPuc9BwOupAz0dANeQrZxINBPmeVsO5XOh4Cx08IJNMNDAh
ILwPOWgo16UMqj+YhG9ugQ7gHAj3Qw6awyWO4BtdoCvrfV77f8KqgYM/I9UgDnSq5gyiLWgkCgUn
cKNtUq1kN2ZZi9hdhKYy/pZmU0CR3/fEqYBWNTEZP8YpxORrO9I084Dkcn47BGmZQ0YLyCVZlw7L
AkjpKaeAJQqBchCBNibR8KFGmROPXg2aNQnXBEMIieOOdhXrPFBu0CXfxK0ll1jKUtZuiEqn/xA1
bVCv0rgNG+WzEXIx4H1axNUhtaGpuDuYmOvaS/vBUcE672JbGm+0YFIdqD56CpMeVvx2hh4DbNsh
B4Q1cAoBQ2oeCw6No5ezA7wLF42d+F1p+06nbgYmLU3cGjb6knMNaVi45YBNnn2rBDDMm7ljKIhG
oraG58lxHw4ffi4S+ZtIUBCEIT6Db7mCtr3Ql/85YDImQ1bYOvyKU8ST85KZMDkBtlVZczgHAECc
M2kiHLtJVKrWTeKhTKQbo7JINsVgx6pyZcud+CRFnUXRagrCqYV4YAAoVk0zRdPHqBaBM6zElFTi
YpoSDG/LNLO8gtyzbaV2f/5QEK1uTzNURM9rcC4a5Bi+xkMvIrsgSgbjJGl+h3pnFO95bpziOkuD
Yrr6+Y0WISTcCNqEMQYJFtjNU3C/55M3plmlJzEEX+c24ZiuyjRIgJoRBO0wBypjdtnbgtPIHQVP
ncYrcSi768TwPP72c0lgf2nxyPA9ZfDNChDKQlCr529X2NY7TMMR6SEWXzuranHByzGGJG+dOVDk
chJaMUHY8PM7zgvjx2YTFMaAuYCwWUONDITjYJKe35GYPE1Kw8lXIL3WsDsypjKKjoF4wloIi2p+
7HQUbatXP78x/vuzaojW0XwKHqYeDiA8v3NcFDjpO5J9hf0Dnskjo4P8Q0oaUGYP9oiCsLwc9BSg
7KwwdS7QindRMn2MrSwhGM5SsBwBMMwg0+/iWEARkBd1OUnPki6s1XjU9oxl9dHPhf7bkoQclQLD
C6eREZx7nQ36Nj4ODh1ZpJLepm1VF6NfjaUDqdNOTcHY/wKZv98LFj4kXiCDAicCIbh/fi9ap7bW
cWJvB6RbNbmxTFV3HRDHwJL4+WP9bRFwBe1voE0hrAQEiZ6F9YD0siIDQfltPjY1TG7t6CT+1uHR
4Z+LIhMF9YOsK5rgF/fFf39GDQ8Iu5xwXHhulbS4ceBgNJQQnP81cQeTydOSmxaSk6qMauRhmhKb
HoGaJHIzRmk4QCq3rmsNbNEZSHdjsqmvczeCKLj5K4TdEr2muYB0N89GZpX/i1lSyyULAkpIZgHw
eu4duFyyPOzLOmvr4q9IGQKqGKuxma4g/VQDPtOIwrE71BbyURcODQysD5szBs4gh0AHjKVOWDje
ApZZDLncufAD3B9LJuC6mBXxt3sDzIISrAvk9UPx2cLWTwDxdyYTAL2Db2gEdPK6EeCGc4o7QCTK
gtlEOzaK4IZkHFL1LojKZvgyjTOFcCvIdsNckDimYOTRZEQVQ7ai4rBiq6g3w1UpWJzdib7FkJyh
wF+nK1jQmn/OYRts+lhPQMx7F5exzlsX5y3+nEDeI85XrYBdl49TQ2V309WV6K5tDH/p3SiPQSfc
KBIFYEaiAfbZ3IxGBrIKMS0dMCqBgs+gboHiOIJdhSiHHR/X9jHkyVyBDYRBrhHSZuKQd0PUvGt6
mYEzG6shBhNsaxaH4yoONdzaMb2Gt0+0n+/mhGMpLqhOTPWlgn2E7ihgXWXOU5Yr2H3FdshPo8oZ
25N2aAdYS4MKZl02ncHjqepsBM4SBc3sMysVEDAipaoaS7yC5WWSHD08AI+bCB41hxJEEfsIBQ5M
KEc5LD87hLPBTDOJnGwFIY6AH0aWYxZ7kGeL68fPgHSOU6+oCbiJPFhyRQ8b5NHEYQ5aaka49VBG
YIhHWsAzhfezypKkh5njCra76qO+b6LkJE/r1kk9HOn5jtSRwNrGMhAwLeUoK3g8MF3zcikgSRl/
o0mRw6KJA0iwXOcNxDdyHVPokSXckscEdKrLtYZVE5Ia9n89OiD4QCh+xYFcN2GTKHrisMGMt1U2
dDCHxdDFcH/InygcvFcpHLCN/Um2Ku2PA5F3ifHCCXrlKz/GA4VrowC2CA8R61IM5xUNujxcFU49
4y5JB1ZgVU+0g4cpSDCv35pWDH4LYQeVdifadgw+pRhh06GB9CcUvsWAfAMpArcmRQMijfD08Me+
jWdZmI7gZIknpAQVHFWVwEqhExw1OeqghRGIF2dGzbwt6FBiLiwknvln0zL4xdNQUwBixUzPc1x1
GcxgO/QtTOek5LzmUqCA7ChuBgbzEyIxL9GZWnc3pcrh3wpSWqDAMm7ANgB1nIBlsN6Ano/1OM3G
I0qAiMUVrWeVZnr+0Bp6/AMSsE3Uwo+mxLS7kSYhMAtRIUs7HnUDsnF23kEGDD6wqm0N8k3AxeZV
TSE8bvwy0RPmR4NK+VD7MbrRETe68zH0sZ8tU5RG8QRb4s6aJzos6bqBrTOGfFjbKWy7daicrvg4
DrD8lVVkTlRmfTrm4Pr6QlxASXQHtQURatIKeZAdouaywJEJLGxTtjPCuelGBOlv0OXOOTYWpf+X
vTPZrlPJ1vW73D5jUAbQuB1WoaVatuWyw3C1qQMIICie/n4hOU9ayznke077tHY6ZQuIYsacfzGj
WJNF9VDgu6UeBmu+rtIh5B1TC+j+e+9HRRvQBc6RfIxMSwQ27+KmT315xwW38RLthF34c30gEBNu
DqOXlVDRWTe1MRw9efuik9QVY34COZyCDFizIsyK79scWH5ugu3KN8clnFORJypf8jy7qdp8csK7
cYkHs3iK0oSUcJzXvjtWoAz8yZ6WgTWUekVfZdft1m78rHf1pBxUIR6hcuglo7RvKuZDJottOVN/
N8zCJeSWsp+YJeng+MsPLaoRflfc2yYKgizGrFy76NJRH+2xm/mblDA9PxtVauJSZWvEJfFYmoww
96eM8NT5C8Tz9ZhbRAfNKLIXHHccWFC6V0hULpn9fg2uozVjpUc1WobsGmnRxKN9p154f8Ilx5Fe
O6jCfZMGHTsv8mtzyI7j1LMcFxEUrcWhrFbiwxrlln+/QDd3qE3WJvBPXT8CzR6iVrUq2RrXZCu2
NVfr9ybqqUZ+1SFEfTM4c9t7bXxRKaJqfMjycvYs+PptUyB2kZft+3SW6cG3p7R/l/YLH1+0HP7r
Qa9zyBuH5WwxSm2Th2zsctpIp09RMZkR/LWsm2I2P1v91mPhbsViEmfRWibcD1bEoeVYrErv4IUq
BmAn681s9qcFFzHu/CgNQieZcyfs7tyCsLtH5aFGC7DQWcUXS861emc3S/0Yu25csoZUX/RXQna6
OopWT933ruGMuVZZY/m3KW/qwRl1Rf+lIOZuxyqUbf3DL+tNvW1a0XBPM1zsfL/FFiD7bNVje915
wdzJJCohC7pdj65gmI7zHET6TvV5urSJaOzGufFqjtVDGo3gRT1zpAjyS9QjmMmlVigMsqXSJknd
1LzWiR+ugPJJhzpo/ByDSPrvRD2ufgYu5VeLlcS1u6Zt0sV8P5KsNc3GyzHnJKt34VbP27aPi3qz
weXdbW6vFzbHlIixup1p89sddRxm3j4gQdses9LNWw4+MYZXw7pOUCX+6Dq7FcFruyYiG6FjrNYN
yx26O1ftsqDOTnQDHPdIK+btOo2RtFw4s5O7x7RbHDDlEVSu2OWpF1gPXdU2/vtp6FXZXthdiFDp
AJ+9LI/LuHjjLeSCtN76lj9sH6Cq/DoJlBDQ/iHqkTapRxGq7iJagmxbEluDtu3jZaurCwDbcjlu
rR81bRJXrefmu1BtQx99c5oykj9ytwNr21diXPufcRl407Sbwq4NE9cbgtG+GFPZBxFUkh2gnksb
CzA+dkKrqi606Ehr8595JL0R1LWNqslt904wrps4CG/0rOxOuXxM+fAr+7bXOhXO2zlr2hZ1ENgg
x1LXIO4K3s9r0HX+vktnlWryKTsjR1l1GJCNoU9gw6hlNbmmtFRJBqW8RZtjJSaQsLn7yKSPigOc
7ZD7wkS4JrBNhllYa+qkxxKsOavNh3VzdL31mUVKGuS95ugJ8qbklBllkLnbxRqG/M7jFLQm+xMg
zMSUsHQ23nb1dVPHF1PfFOJTIAc8vfCkVljFgLYjWEM39QFhMhgGMvuoshilC7rhkgXPNrmbtYvX
uSOWlRGiwvk6teZ05gwH3rcP2pFi8060Y61JiSSsMzGlmRqbDyUvicCbgqBRJiA2tcsZPePCIjWZ
13hkgDoZmpMTpnfhTVWWhzx7CjeI23faD3p+1qbxwi+zQX3ZS0PQKt5/iEsTJys/rPkr0GIxbyTT
bnDUVxRyJl9FA0W0ccdJiW/z3Mv2KNwylDdZi3rNOY5dZ3Ip2YUmZcnj0YwRNwqJ0flnshDYxPu5
dvRUJ5yH4AZJ2KULYxvbKmD4ieGrSZGe4B4xNOaU+nWC+U7LOFaoO4hoIp7N2zseijZr10FfxC3E
TEPRUU8WA0uYKc0bTIOVs3z+NRJbzxZKps7byEhDmfMb22YUjQ93J9cIlZCFdKjYFTZ5wNugWdLg
U60csKfnaeTAdJwPlH/T+Bj16cIXe6V0mKNp0KGj7mRW6Tl/2ObSTuPPugqDsjrlncia+RLvj9CP
W8hFh3nibJ0BnyBFdJFfdrY0SYU9lgUp+IxslEMxEj2LpQGvc5ZdMdsqHPd+5ZKloD412bxuO6WC
k91lg44etjEHZL8RaWjzPuvmm33gecrmUzVaRA0t6pst0je9AbxgMfkLqfZNoubUlMZF75gF5qVT
0bsXvRvW5NnZ8+maa42ccDeh9mJDeV5HFig8ZfLNUZj1mNZlSWZtMwLlP+mGWmfd8f+bv01WoraH
uY5Cjksn573cXZ6HJjWsxJSZZN7rzNs+b48K/oSXRWXEpKqBwNfceIunsy86mrNCnQInrEJ2dc9a
qHfFSk5QHn2F7K/b1dKN5W0zO5ke91k9RM50xS9oPJJaSHzmFo1xw7PkpvgEu9OFwWAck1rHuqXk
y8K4UF+1moyybKimDhUEtaXv3fizM1YySQOXddbYrikCyy6gYrOdxUzI4MeklxSezPO4Btt67c0u
9RPeonXRF4vr9dVXnTsLg4Iw1mQ+Q2Zrco2hjRRfWywomtfDr4o42mRMYrBkmU31JbPe408ZNQs0
kWVZy3dPT/32YFvatnde3uWUIzpX2WCdItF506PYam+ydtbsMP5WHpuiOxSRycLU4pgiP4yVSeQz
9KD6MR1SQ5OPDYBuC7tmbZDdSgeSHCUO2u0Do24i7ub01LyXfdjJeTD1A8tJBDweaC/dTKjsiMni
1IXBMuYHGS4s/RPCwpxSpULL9v1560ldm9SqtppYNglKlXroIfH1YBaGRG3hJVbqrWZJhnY0y3vb
XxbZMyCbqbiDGDGM2M1OaLY41XLW3QpR+SSv61xmF2kul+kNWpptuIymxalP0eBSU3CwWT75gbeM
mtAp6qrl18TwmMSqspcmE3WlSxTfzc9V41JlqFou+1I7BCkS/kmgVZ+Jzoc406YKfC4sapTNvHS7
LfOa7dhla9ElYwS7deVr5LLrniLJZvXPuZRMaeFM5tUnuXASIjiY0nE8WIv0q9uwAxzhL24rK2qF
S2OtjUyjle+Waigg7ISF0BRmIPdk9dVrF1Ohr8+RI14Gk+g2TmVW5euo0X/AjOguHdMrInaNdeAM
MoyWNprTuJ6/Lelo6kydW3Ue7C3ks3WcDJPie//yyHNUDZiKuxMCjBI+VjwSp5fI4dpJGdmjGL8F
YjbszfPSqCPLYJWvf92fjwpNNyyMZRBGUFNnICW0erdp0IlvhZ+a+NQK39MkhQRrYtfrz3pCA3/H
qulbC/DqmaYonviTlRpsB8q0rrxvi9dMFDJT3risxGD0c7YhBgiHs3ATLUFjkn4wAKLouo/qXTe6
1N2gEIbZiCl5Tex5jsy/uA+pMlMiyBBytbgJRT/zp9df/4+hMjYvElu0b5Tj3Av/clYWlTZjNofB
17FwFt6DA8qUhRyulFCvP+qPNYf7Ei9KgDYPXDU6h45JowpXkkB9jXPk1+spXaNy/uBsodkiIs3m
vy65cwrF9OekkZDL3YOA1X94VlQ/eFEGV/C183MTo8aFzfYwFUT2t5kbmzMrjcn3SSZW/vyzRjWs
7ol2TXD5+refD7PpRR0YdB6aNHDQgLwc5lmOi57jzPsCJkHpuOY5KFUkQ1POv/6k81FGf2XztdgO
eBrg2Bl4XZEYRp6DFmqSbVjdjl1tDqiipFI76dw1WePrD3xpDIKgobOZaX4W0f2ELX6+gsYy2ggm
q/qiJDxRflBeasIcQXFlXvFm1IuT0G9yzWP0vUHOyfj6C/h/DC7OKJd7DdC+ofjEn/RycKkS89rp
Qvmlz+01kwe4rK06gHrkcXnxnLZolZvUGCu9id+/QHErGA3k1QgMJvnl/Dw4TYn8G7wqsFZ2cevH
HtXCVkeSI2Go5jYa9pE3WtGcFE41Eq3DOTCHpV6nVrf7PLXZ+An94gz+OoYT4JEzq2UuSN+A6A4R
ybw7XhZQy9G2byvL5FaDHkzaZSk3pIoZit4c56IryG3CwTNHPJaCjtcKnwH6gdSeqFlVrkmaymh8
yvhcxyTLadmURBJ7yGbGP8pKdBdXrl6QKV3nsgKWfX34/1hwoe/6Nv2JcZl5fy7ticoit+xt/dzm
PYLRU9aNpgSKt9FkAL8g69cfaXbL7yHXhFpuToajidAChEZx8DvhBee0jv0QzZ/jTBiMcSpiUd0i
B3Yr684ebN4gQRs7UUQtTmqSQqtuzNu8/hrnX+6hgESWhaKYz4Z4PztEpeglXowx/1y1wJ9XRaPG
5r1bza66cYeR6xZf4/fPFznS5ABpLfcOmgtw/eBskdP+OSvybhi+6L4rtw9BGZplUZaIz+Vfvsv0
x/t9fPntUWhuaxUhzJtHY4+X45vN2HZqqd33chjtCFWvI8bsmAGjUukW5czpkEB4N/wnBLBhXS40
evlAKhwg/eqAdYFgKHkMf9/NXk0e6my+SdSLjAolDwkC3/O2zA2stVgGBohG0bIJdSQMTFw1sCOP
2nI8Ps6qAs6iLLMMU+ToxsRrCgIceZeWRRytj7K1MSz9t8abMYgp4Wz2KXc8/EkEB0E2xo2YlvdT
U5qTOW2hKqrEmlsq59cf5Z2tZzOnBC+B4AIjPHH0bD3PbQem6vjpY+S3T8+akJDeVbo3qf5EqCcE
PXPvNSIdRkEiYWNx//qT0pNBCKzZZnADPzR4JrVgR6RzmyEFUbCqcrK2m4GtKmCwuqaaL1ZvomA6
VDKlPC42gpo+/iL+YIsMiWTVpcve2SJ742e6bcyEo9/lKdYTEx8+QxPaAQEd91aAcBr60SFrQcGo
CfztflSFAZZ/UWjsSNZuCefBuZemoBxesjrNDATy+pBGL7cLbep9VAO2i2CJ9ido/c+WcM8X6Mju
0u+19sJPpZKBe3ShR0+iijofjD8fj5m/xNdrVNQpvrNUnhq3qj/orLB1IqNJQppmCFetNRoSkY/9
+5T6dXiol0HnuzzS7qmIyzcNVNt33flDlwhl5esOLkfc6yBtr3O7GG45kfKNaj3X1d4aSu8jUt9O
XyHFxJXW1TG6a1DD6oO1WSPFQb3kmP5i9eBzKlVHv7a823BVej92a3+AE68/5EgTrurahSUouxE4
r61mKLzRqb+gAwiu1yWzimTaetvZe50KH13O569d3jpBkiqRA2Fkw3DhllI+zqE3fSg8L0cHZVu+
3Fvgdp+rKR5+1Fan3gl/GEiL0ulU4hA6QhOs3Q4HsVh2yxwXVjL5jUaY2B7GOdYANnlZfpzo6ARq
jhlgP86qfdzKCUjMd6wctM/yd7aw3/jjan9z0Th+ccLNf59j4dvli2iuq3AoDn6xFnQA+v+PnywI
0i+jTiNTgQ/6Qzw2BUPcVr5qfvRSUs95aPGXY+M56MFef9CTLuHfp9PTk2g6ahqQP93te15bLW5T
uRq5yg9nbllKnksUTZDVOsV+yevwrXRRlRZDanWJXQdxt/d0hzAa3afYL/WIGgoNm7hHxRlfSasP
33MM4QUEbhs/NA1nujvKpkvc0fHf2LqU/zSTF91IUMs3qGrdj3FJ+ZY4rWN3u6zK7r0mZnqtsBGA
GhUUlTPH4E0qXn+ULTr6sp/U0ckC+6u9jN5uo676b6UITyPyNPqkaRjvuJ3t5XnSAr2FfZDJH+yV
5SF2U/Thom7Hki1ji/evj//LYPr8sBCRokmxyJ/Ps0Fc2aTVKpY/hB026LMW+9GRYNtJ01S32vcm
au+sbd5Az4bVX3LhMxEeDzdpAGkQC8DjjD5PCRwrHBYf5e0PfzKrLC+8/MJry/q0bMtX6cT1Z8+K
l/3kZpAevbLEyZdrIPevD0FgBvTFEgyNWNPoQbhAmmP87EBxqrSBPsjDH9kEcQCcpqpkiYIw3g+w
JONe+w3C9WZcpqSwuga2p21OLbjVre6EHpMa6fv95mT+ydtWgDOVxl+aAjx9pyrrtlhleLN664X0
Gu8RDLS+by1WZyIgxtbdNi7QLmWLhjrs4vAtaaNuj7Nf/LOKsrjzwq7AjA/kWWRtd98EYz3u23SY
vq11Pr23A7d6Y8mIA0Isznz0UGxP2PGL7HGu47zc5b3NB+SLEyd6zKAAwrIvIUI4E9/5gRXdFPnq
f3RAtdME0gGn6euDa8bufGx90AXu5KCa5S7Cl4sZ3z/0mh2mP/rCD+6s3is/dIW3rvuql/adM1NL
/OWJzkvhK6uK3vlGdYseyUOC559Vj47t1qrh6PxZdqV/BWyGmTTFNHANUFkeISJGIn2QqR+dZ9cf
imwZb4oitt9YOvaOr3/9nyvc9PFHloU4Spi7es72sufCtVXLXP2MBBVoEs9x+Q0dwQovxTWkZO3h
j22Y0kshrW84uGZsUUJ3zf9gSPDpkZhxxVbsU32+nAW0OEMzbGH9M23EOu3FkK8PYpvy+qaoxXi0
Nx0/9kpOx1Xk6aGL0+VzHindnfJhcx7/Mib/YUlg0AO9ZHEijDvXhG7NNOt2qcqfWWiLd71whrdu
beFnATq85oiZ7qa6H686XzaX9eI5t6MMOROw/y0PRZhHSF7lrG8Ka/L+QZvdB0nUF9W7199S/BkU
KBIIvtyjHaKhPpdxqhkNf5QxSdkCNQTi0qZfWrXlet83a5D0tluBTTVtikk2AOXdl7kIGK+soJnC
HMc7qGq8F6oV4SeMz9qA9pAf0hry20oUw6n3vOVOTHl2mQUhzQzaMHbnZFgdNwebtpspUU7U7qJm
C7oLiwV9LKvRuo2Fo/kLc2jdPE3jikNb7sug6I7ZTN61a52iumkg6KkFvEbjtulriRhoLmHfoas/
BBpQgSxyeDe6i7zMm9pTiQoROhFDIPp2Arz2wYsLCVmOxHOBi4YRHEVdZ5i7wu527uJhSNqiEyii
I7d1LpEV4WWxReZ+HFVbfJrkPP7jFy7ehkGX6d8gS+ePYysUKDgDtjiaaYrKswWtm3TFNe5PP0G9
++w9p1uAedL112QabH3nCl3BKQ2biPaRCtp/8s0Oq2TDRT1fYKgePgRxnd3Y4Vy9dxWunN3EKXBU
JXYye8swe/k9dO/zNvxfn8Xj2v38v//nRRuq330WzJPr/rb9/mj381/3wf3bafHr3/yyWuCaoK70
6M7DjJumOsT8Xw7m0ONyRzTQlOCOQCUieNK/+v0E9HYirTA7GBDgqUvQL6+FT1tBl5VD4UqOa1Pm
/Xe8Fi/LJ7In0MqYi44904qIXOLskIsgd7eCThWnKCJQNXkeJSXM1V+i+Ms1DxXAxbB8I3kK148w
EmdrPp1073ptlp4mahEn0XYcJdGStl/kqJeHBjj5st76Su3bbew+/zYfD88H9u9+CTNfv53jzw9H
xsyVGQwbidvZJ+Zs/sWje8cpQ/ZRHUM1zHu9ODw3sKu3peO2X7O46WBDZOHth20tfi7WKOVBKOHt
4ZO3ZJ3K4mLUYPleb/VXE2qt+wFpjLUra9xlI2qkw5Bl2+00hOnbRtTz/n/wEeBvuCyAw1hIZyNo
41fxmnGLT/22uIfFb7djYzX+ZRHO6/ves/UudarQO1jNqrEmLt3nGdn2Pmizlfcr4uVBSHd5aIco
QmqyoQygc9FRR1V9SROX6hjp2Xlsimk8rnIjX7caWVy8/g0vUbTneQBu4v4SmCHQ+rOEYiAjn9Zw
jk+F183IC7c6QQqyXoTQs68/6eUx/etJ0F78LxwpsXE3/Q4bBtoZsK3zJI1H+wSEyOTBo16p0evf
2AH24Nefd7aJnpY3+U5kCk4W2Xkl4jqDlI1V8zz47jdElAFzUBZzWcRrhe1/GD+T6wMgYROh6jgb
v1gRLurZik7KnYuLiFHrOOlO1RA9vv6gpxZf/858n8YvAFEhMJm48EdQKDP8YzNr8OQiC7vcwsHF
b8uaWVcmbm3wBiROLjhG27F6u+oguulqUe390knf5pPcrpsg6N+oFc4zEToYks4xWAsSn+2U1V16
hT10vShYm+91FkoEvpvt4+ws500lfsZDcKK7B6i/4jS4Yvg4i604vf6R3lMx+uIraQcOaBxwEyVG
OEDXl6skddN6yje1nObSc3BRtfMlvo/h0upVdWyrwU2E1/6z1MraB1WtoI7C8lQ3xtPqdOOxQs1x
R9cCAP9RevteSPuj4yLeDeLV/xLOTfMx6MVBObP7zkFBSrcUtDQ7XEw4ce0qPuZbIeHP8aTlmXT3
MivWiyo7OiXSCcJZdRJjENxnE1iWLtr2mtMlPzVd6h68TBQnS8brrg0K5Lhco34xeG30qNKgvCyt
stlLOgqNSZ+l33MOnl0zVNklPY70fVdTMaHGC/0b5JGgEakIDp12/Z3wu2knJtHWQExZe6pUS3e1
Qe7qnoY8slmte0CM9ce6rgNmunw80KHBuwhSvxzwa+coHSskbBYwz5sAv/IjWs7mI50Zqn86JycX
q+x4XXexyinYQExg3mW+fAojWe3DxkUoEsf1ZbmWy83Wx+Iepj/aj1Eh48RDUXk/jbL/hps0+Gr3
OA6WmBIxrX5alRXd0nDN2vtZkR2sUF01jeCthdMfKje+XLSFdjft0oSccUY9oegGY2EAR1R+Y8Zz
39Zlt6MGtAwtOyRO430OcjEn/pLbl1nVNDe4Itb3Vl2NLj+ll5szWWTPKzzbweZ8Qb49exduG0eX
0+Z7X1UqhoeScZKXI2KQXQ+581j5sP8dK0Lj1pvIob+2uHiOVe5awHcLfuHWleq9pKHFrqXyYmqW
MhmWNqOl2HTMc++NmzbTgdimL0fEPglZ+RihIHZ/eIo5V8Lp3qyqvkXQn4MSA0TqrJ72U2o00s04
7ZRtX9HBLMMx5/tJGS/ZO1lmt2kmvuSo9E5oQuy3qbNhbVDiI+7zr24j5X5WQ7mzShF/GIM0OnpK
OTfhMs1XEuFw0upt2TU2vfSmsrcS+u6kCFWsnBA1zTsHLmwHGbdcW1GG7hb/w27FI/nZ6vKVl1nS
I95j3FOV17YJ8ifN4tL0POEYoq9AFglKhLko9hhSXPRFg3UdbG17M1r0xFBLsH4t58F+w1VdYZQA
sUR0eHLL7n5rbWbIGZz+ekXweYm6pD45XmGfwpbtIix6alR0tHDpvHBwZyoX2ApMnWOe7ha7lN+V
9rNPZepMP9COr588rearhuZzl5WOMcPQUOJG2VZ30Y9VSpMjW19ODvvLWqsumep1BVK2y3BwLmUR
h1u/d3rRHBo7a3C8b8t7X9vyCC2RX9pV1h38uvV35TqlSexNSBOhnG6KBbWltJsRnz5/LOVEN4BC
LP1V3NnVXrTTemEJQOt+sKtjWur1Hz2qub0Diq73aUdSgDrCTlTr0nDNbaJ9kXFyOFsa4S6cuoOt
ZxpTjbm6CsXoHma1Vrhl7PV6G+3h4xbP/r3LRr1bC7uf9lU6winYKE9/OiUNBuLa3k5rWarvebhk
CI+L8EMOdnQjkS8/Wjb5Rd12+T1+EbITTcrXtjOFWhaXvB3qb4pQEI/DYovqbZ35/Sc8QtW+srcZ
7Sd5oRV060VdOd7l7PfVscvi6QPO1/qyL4LhB9oam8YDPrFH8ZF9R/oF1phebbHPe61ed4eXJb0K
B8XJNaMg2NFjqNqXKKEPsdJ8OSqhe9PiZR9Mnnvox809+HTxud+QOQ5J5W/8Gzeuh4+ZEMbS7/Em
QOb2hdYjn2QJ06nDC7dsN1ZlcPAwN9w7BIbdZuSl3ehuJ7sUNb6yKb0iVwl2eGJAs6JaXWlu4kMR
ma//kAPrD4VWxPXW7a/Qu+o6IbdxLxy76S9wEAfXVKbW25UH5DCcnLxbCiWzD9Y8+DJj4c+SFOLi
rR0iik9pKvZW2W6/V2HufLKjgO4CtJyAp2kvhhLVNB1fbO86WJAJ9wQFR03encbfcuzyfrkE1BY7
XZf5sfVSnAJyenRSC23TOBZJUM3BISzsB5XKWOPmzfSF6vSaXzD8YfVd+VGf36ih6TWrOUAvvchp
TcZG2Vho6FhyE6dN0BFZ14EWQJHr53fLjHt4e+aF/rdgfS5Yv//egfj3gtU1oon/yir/KFfPmvr+
u2h9+ne/SlYhaA4A520STdJ1OP9/laymOwDVB3fdcqdX8Nw34LfuANSinvDQiJjOtb/KVYdbWj3X
FJkAHvTKh4P+V9exX8Xba+1pPe9FMWeeiHYJoIiOW0CCeNJeJm01kQcHexX8xOhlRBlu5xu5xLMw
NKA9ZPXVt1QwHGVPj1paRLlLkC87q01tLJrKCLnp5VKFV+xV4MQqtiQdO+OmHm7roOmsNeHoDbpv
QYUEHzefEDVdXDKAW+dnuLTr9LbOl7D+GkUBnCOwOGJKsjHDb8L7DLyK3wWquc8de5wlktZAcR60
c0AS4YRrzytnTYMyyG08fFzWoFv+zW9T+h8q3jNWHw6brt5xQC0imL4/pF6hQx0H/Rv9RJ6BbPg0
Nn7tn2pfDyo8bUOGtxCRb8fN8LWdFm56fP3xzsuC2xcGTghhgICwmSle5uUcbaUXDcIWxY/SqYzm
cGw94+OOY/o3lNgB5gzNvsrHDP2M5VtbJx/Q6xoRkeNvYvauOGckXUxakEC8TTRT7vnZ6y/5skQE
dEEyRd3GRQFGE/eH8XzJC/okKc/6ISylbXdP9MrC/lhH/ujZTx5X8aUKELX8ha8+mxvzXB+hAaAe
8DEQ/9nYdNPahq3lRT/wPdWDAArp6uFT7qeuzJK5LKbiXqakYZis8tZ1/6YCjF9uHx4PqQCihNiB
TIg99HJqskAXlr3k3g+6y4Q9zRlnBD9f2UjWeNluRVjfFRaE4q1X9ev0DsEi3bwSGkLXDMrrE/Dn
myDhEr4IwGUQqJ5XsyRbSNBXW/3wxcyWO66O2JzqGKh5GvxDEaW++KImhqBPBmyT4gtdL7WKD5RC
djf/ZVZeltasBuB8c/7SDcCoCM8L+BHYuFwRSHxP400G6qLtO2Dag5XSsG29WCO1sERe/37nLJLx
TCh/dgkbFWbjuTz9rc92RgdjyqnR+saljGFjnVAjmg3RLG0+tLtpLv3N3xXNsNL2bYFaYyCCws6n
d00nEPBLC3cmzsS8UbghMYS4bxtdyOHb669p4um/i2Q/pEC2DQKASJ8YDgH9csFMcxqRk2/Lt0WN
ikVgYylifuxlxgGFkdLT1rsOPsFsmnFuzX+KLpv+Mj9/DBaaYkPDocACDPUJbS9fI+rdYVwH0X6T
dWA8JCXRi0SG7Bbh/rWHb7D6OmSTqr7+kvWprlHGl2eVRsxDX1LvKfI/yV1ksdX62l+qjsaorw+X
6Ud5Nl4MEp6QEOQWEcw5Trd4s+xiuXnfBjyg6IGx3Hb19NBvY9HJ3dzT5rHeQdE/WYvXvkG6E1Xb
ar1DP59eogepS1qFbRtJOBY+iZRNgqiiFZwCLHBvRRNnG735PDTj6APoZOPIK3uLjbOiKlJjcfjL
B72kJIlUCO/ojwE+jVwpYLG+HHlWpuy11N2XMGiDkgyWhJKlmKaTaSqDqPfJTb8+R8968vkZ0nbC
SeekhttdZlrP9nSQxcT9tz3kn0dxhFskI8hRDV/K3j1bFhXa+ibN2+5Lp9hF/cEbqsi/dZ3cw8sx
TEaW9uyAaihv15AW2mru8x0BfxZvs55miifV+CiVlDUh0Y4KYRKE5dkrVk2BmZ528Iy189nS1qkS
n+0G2mWUl3VtDq2C0WeCWhkbSRcGCCwqUbNAPJHFl3QDTYbNznAddMHgDUcRYktyd9WSUd/ByJnH
x1Fm7PtRuxhFZ0vywJsXljS5wdgFDY1gBiHh0WKtHP3O98DJb5SqUpXUWM7cZmdlKAFAuDlcP8tI
pv4HbWsjSA9hAjHYYv0iRXl9bZxHTUYf8gIFPiSGgNg4WxpeusrMibv6y0YHRGqQBba8M/7Asq0v
vamfCRSvP/E8GsHF+2i9OLe5BIE+rmdPHBRdqOfGmz9722QW44wqifDnDjiM+qPQfSC+YALfWISz
O41DdgtBikjkL7vcpLMvdjndceDEOSvoKIDC/bxjCZ0Bpt6KRfOhgekdMUm3NC/62fa5cTvn1SCd
g0pppf6AmM9o5LocIJ7mAaOr2wTLxFxrWjxm/XWdRuLdAqAarXSfcJCrj5FlF7s+2BaUlQtKfbok
+SkSEx8LptnsaO/021bnZBeXqeFV2fm4BL17dPFhtyZepbDz/AW7P49rNPaKwK3NV/O1yF7OwOeK
zuNy7ofwvZ6ksTcFCovotas3s259kizaazqzqemXKjb6zWx8ymyxAfw/9s5sOW4ky7ZfhDLMwysQ
A4OzGCJT1AuMlJSYAYcDjunr73KF6nZK2a206uc2S0uaJJIRQDh8OGfvtfWQdlQ52+k5XWgtY1Xs
iw0BMTw9BA77st8G3HR9PQntVvLWiqcuBVbJgLVWmsgvMrC0Qeb3Y8n+ZWajf0aUB0cTn4L3f6Nn
psvcgBZp7edwzB2erVFk+g2MhqPRCpfnmHwc7fRLMa3ziDNX6ilFCirEb0ZusY23qEDxV5g+oDXV
UQmHoZi/1zYuhAKEMtpBnjv6EuHw+8OhokTpHAQiBWdIVtYLLvcfLu2XXabWtNJwsy0eFRqEfxNN
oMuxglp167OT0U2uMPFrOsqGdbn7MlJathFrjF2/vQQYNZjcGqPTrkhkedrovjW+hQw4cgw1P7NL
1c6aOaBI3l47E0bEP0FhRQwxKAhagA1/F19hQX+aaQ0trZ4FwRCa/IkzlsXdIfAAG+Q4BloH7NW4
7WG0RLbGVFzuj54Kq7ff34RfntHvWlub9QuJswXs+detrjVvrr/6vfERfE3H7HDZ3trQeqYq4WRJ
0f2fpoVfliP9krRnQE6zLJlIxn9ZjrQ71/XFEnwclMUIGddxZECx9nN/3FK4nbdPZwPPT+zXjsar
1BMKubeGSY+7hHmgHh8DfwjT8pCOLrilkQdyepKkArECNAYPPvUUFqofH1vWzy23EuaONi3wFOmP
I6N0zK03gJ/yJVrLaHoyO/BsxdGrKtYmXOP6nPr7u40d4uc5kYvXiwCThGVhMPrbiYrt4GBk5rJ+
zPPVr9N4VJWDSWE20/LetzdXrvs+lz7AYmRV/0UtMGvlLAhk/wYs6MHpZF/Mojav4Hu6/u5/oha4
E/3ObffPpAJTWtGubSWm93IZ1T+QChbDI/7i8BOjwFwsNavjb+AEMmcoitPyHUsAN7v0f0ISzH5n
Fy/KrbMUoez4K4wAruBc/RZDkGFsy839BT2wooepjOe/MwdYMQL11fsrbUAAPMuHD/8rwIAa59lM
qnoerPLqP0ALLJYTSvduc7qJIb1ZEHbzD3jrRnBqbesKEZxUlBZouVpvqfpsT+trRB81e2lWkJPh
EiLiPaUtRtyTX7p5Ru9h4TgFeoRgEY1bHELgS3FmuD669DyVW7meZhy1eXGci4bVJqmoYjPBorxV
0MQM5XvDCYzFbKTJ7LBtse6VYNcVxePqhIv/gDUs4Mt4+UujKFBExRAZXV5u6wa3f99UH9nTdemD
ILGvrMUwgiBZS69SAcTZ0mrgPLiTXhdNDzbUdJs5HovK25KuvgkW1csjL3uAJjCL4LFMjXKuD0Hl
GLY4VUrnWzz4pQMlJ+6jSNckAjl65BzRm0yN7cZ1sd3S5sJ/azV3zNp97t3A+5JBfWsV8M2JUyjn
Mkz35I3MA1SjwnJ470xZ+i2tE4gPmlZZvhb9ztQ0qHDXjhgK2k92Zre8XlPWUfSssrDv6VYGWvFv
h3jMfYQFfq5/Ce9f94AJr9F7ejcfuPpE5CAC/AMeCn3HnHqE6Rt3Qz4a57YJ9JTvIuMMgUzPY8cA
2Fr2G8cxkg3fJy6Xmo/exu3rSy2VZC0ZNNeuzi0OmQDT9cdj4fCzvT+Ax+j73LogEDAkKEPyURht
Febut77nQNMfZFGw00rm0IJAlRRh7uGt3jpX9eplpJdSAAsFTLt1x5yenbXchWWg33LBJy22s8/I
4hUc/ql/x/uvBxi6f/3Je6vB39VRo2/NNOGVQys2Ai3gPUxU/rnGH9cjaRn07xTckP4l3iI6/1x5
bho5iTtHFIBiQYmee/Fj9KTbEPErg9LQF5cC5OBLrxg1iNUue9zI2zRn1AbzUd05ZiGN849bbVy+
/d83+fJ9VAps3Mm2aHgDII3y6b0qfFHIY9E6KxdN/2vhRTLbwQ5x5gCeESzlXT6obptGhhonbyWz
E6LmlZgOq8qn1X8AiN9xlwAo1nyLLaixyYQyB30e+ryr3vRmDfIjntEgM/v36HIHMcBoYtaPa8rt
gjNaIgBOzNYVgBZtRjEvH+1lePhpVXN/fBcrJwjGABm9TBZ/zRmn2cV/krs5oSzJ2vVmkD9vEI/V
iJw+d/TtvQykTa2Kd8lF6t9iEY3C6yAMIOgqHsZcv/XLDTW2eeMPXe10brDHr9RW5Wkjc20Rx+y7
JnQ/FxqqcBuVcGPPEFj5fIspsPt3y8+InooHjx0rFy/p3voPA7Vs/QvtSX9xpyzkS92a+nFAHalv
U6v8LJ+fVZ2BtD20AN2NMwY7K3OQdqyBNUIl+D5WinKIxuD445ZHBKVxMUsB+GmGu7J0vHgpCtzm
x8nqN998ZudWkgAA5A3fY4JPMOXFvTLvODKNyDDGU03BgJINH1OuTkGX6cdZQQXi7ypc82V4wP9v
L+u1Ew2YfK5GtzObJqkjt26gXA2Y7k9oHHEuxeg3B76wafTq+6ZX/F8nk/mfPXO2KBX11PLr+6ka
U4oCsyx5dSvPuunFb9OFU0BKzgwjY46YysvD4vSg3wgEyGEO/JtktxhtGg0ncvLktryaKD6Zb7K6
6zDl/ygnl2OdS1zNOU4V8QUKI1DcK1Hm3I6j8/2ZIZ9JIwKHdK7S7QUmVDePCKjmfPavxsulL1E2
cIvoyW8VV1Thr/TgzpoWs9woXX37rEXoUUO9Sg/xS/00xDXKHbAUXFna4AUmJCOWDHC+vy+oPpLq
UG++/zly7QpRAyWL1W/uHGFJvsNf0W/1h8mDgXL+UWQBnVZLgDZtL1P7lKU9ZtUYWoEuvaUcy6ka
9p5bUaJE/MXRt2k4O7XJSKgZ59Cm8vXzNAIxoAifVeHIVOn46cqaN6zMNOWBs56+ebAzdKkAclZF
Lb6s8fd6N3KtucrXme1ZalzP6SBlcR85wOfzuFMsd3fEuDn++AGUQLOm+yUtjTUncUl49bCjdIEe
MIZ+Efqf3cyxOJL/G5RouBtX5aMo4YaS/6eHm7QlvWAyM3TpqBw7KtH06jHPXs+b16TBh2pTs3GW
bKapKmwCgchn5lvGl0HiE3egRDulh5HAed4fOF7qKlVdsF9lZx013Sw++9Ga99a7u9R+fe/7vVjT
g2t3w2j8ORcWIUh7VjSnhgNZU/82krC2AklthtyP8aOZ9WWWJSDwnXx5mgP2Nv1X0tBQNr4O0CSl
eZSVmpooMextqF6gjtluR4f7OxButKwOIwjmpUhZilHelJGdTPylEUxxMNOZWnY/ruTyWWoDHbcH
05tG7KTfp5u6nvT8F4FT4wu7f/3woo/X39F+r96npa3/DpOOwXes2aq/MXWoTjR7Tu66t4ELTvAo
Z4szpvfbuFrEZvCg6qcSFST/8mPIwrFiJkI2pf/pUoLX06lBnMmySieILVua4aPKg2zu4tlsKdgT
poVp4qQtGfxQZmy6HDjQJ+KLy7ZsPPWbyfh2TfoP99Qt9TuHZMyP/nghT0YsaT1DxThfTmxtUdJZ
RjgvlPuhukxY1aXQ2KOPZTQYda+LkANGKtfdkRnZd1AMe18ZZ1V4WCXicaaLN10XNhJQmeQEFxjn
YKr128KPxhsCE846AitG6Ydc2LrNSJLgosdkkG7IumIvH9oGsRXRbozeyw2hDqwnvSrEQcL0PlhG
eZPbTg2v//fHq18O9NRymB8YwXjwkY//raycj/QQqFfb57zrfN51kAH6OaP1YJrtDVc/QZCQNGRg
Knr93n//8vrg+pcugH55WJS+p02W/52jQC2dMQ8BparL1FhqCkMfgxjjSfr9S/1SQOdpAmhg8lqU
rPi/r4/1f2mLzCHQ9pSt5L/HiAkqs0t6kbruQxDRs2JG9nP9oaoCr+u5gyTER/Zjcvz9e/m5hOCZ
0EL5z+PiaYczzu2f30s6ORgXefTOpEAxjRUe5G3CdIYQoe3WsXX+p/v89xcExU7hAHKGTXEx+qW+
WYEdtuqGyMR+aVkosooV/xSsgHwoa35/sn9/gb+YfPQVagE6ehyU5hbtqF9ecEE/k7Vj7T/9mDHm
HH+wJo07q+cdFncIp0Mp0k1+ULOzlrtGtXo+dyRTgzFs2LD+oSpn/TzSeUccpeCG0BoFIUOJ7pdC
I1FNxhysTv9UXx4qeI36GV9UlTKvF+FU8BHkrlp5MiOHxYGthZHrN1IKp1dbMuFyTA8eCCnPjBem
ljVhqu/5dp6P1LovVofzZDJf+lniMs3+/rb++jHywbkmZmQ6JpYFt+CXu8q624/2Ykz3+UCODmjg
7xshMXit+oD2Tbn/mTKYBojvegBHvqd4+/53Q9BfnplgYTdCOqe6/7HsLVnel7FJKK6HpG4osv+o
tAaCGvhTSGWRiZtH9W8GI2dOqURPRXl/WZbYJOtPI6hAk+9bchu55N/f0J/nH+qzOOIYqFqUQqeY
P//8IM7rthRy86oroLGy0nEuTeB89olm/MdH8O8vxUeH289Hzc0h89eWUgNxmcguP7u6bEUmD/wi
48juG778/qp+SDH+a2L1qBXyUtCZQAIyhfwNlWOa9GUIRhiOcsM9P+xtj8w09uCma6vuz2Fr6aEn
3YAketBJoRunRTxb2Wg1N6zWSHAypKIC2uSt7VJ7MB9BqGZod1f2Bl53nxILbOHUTG1aTq9DD0su
28vSdtt+39Rqs8fE7EzIfdpqRKkNcJvVOf5jdOnnVT6HEechbRurX+6qLJ8iJDNq8gs8mSjbZgc7
gh8Uza42SsFH8WODEhj8WB5Xl20FO/SQxcL/Po1djhrVbDJ1zwCUmLo5GuptwDzB1jCuOjvknNDa
im9gi+Wr4N4Zar2ZMy4zoKA5ytNuClLBirgaxgaDRgusvi12vgjg/mLvupQ8epZNFIuXjcz3HRSd
tZn7u/WhXsSDHtnbCbZo5dt7gVzVODcVp4rp2qRbUWRJvTQD5ynq+XVZPztseyPn3l/HyBWn0jcN
XQwYJkmddb2cwyK8acSm5aR5UXalAhPQZYhLUG9dmhiKPCmziXsH9ZD9GPWRCOZ91vNw9x+9NZq2
7iP9Bt3RYg9o2v49ase58z8WgmpztkOEhJzgkMvessqksdh0/rly9BzCa89HRffZ8pZ1DO8pm6Xi
Ayy0srL3ZUsqGCdh8hKXMSFsnF76vgWth79sXuxNrsByqUxMCVszXPWQMtd0vq2iAVB0TDt6LjhN
R6GkL1rk5nB0caHO76QYV2u+SxFG49BrgraRn1oqL4YC2eHrltuPuainH575t2HDvA1XIK99W7GL
/r7PovCt94lrO+pF5zI06u+7wTaoK45sJBAUJP5OmMcbgsmGrAt4GzY4nHgGqBN9ZBLvwrMgQbo+
NIWXeaQ/ZfPZWwsP/m4xp0fQOs5VYTrbqZHLdEUlo3sKpG8nS+Tl9wH+RrIB3Ul+TBnUV27mobnl
6cvfSynqT5lZgNaLLKTEYe2MRw67lJTsFqaxMD93FY8jeDP/1p8LsQvcPOfTNQ15KIHo7cuuUA9b
WY/mnrV73IerSWZqNfjNl1yos2254ka6RnbTTMO49wZguWhfsqupU4QrRnP4IUCRSV9fFF+LoSdM
MEffuZJYtvPSqL8ON7s5rGlLF7gVHnjZKlxbtNYtgFF+5SnkPPYul04dgWRgY4YpcawA6+Fnikrv
kJcE8gqX2jwZz0jq8Vx22fO8bOFbTTCjFiI3H2c8GHvTHs1rCDk5AVGGAVmRMt1BYg34NpRB+oHi
YYFeaXSirxatHs4zlrCeJrvMi4NYW2OPHWd8GiaXggNTwW5YFyiPA2rj2Gtm4saCiPC3T8VkR+sJ
BYL6MpBaZ+07JUaOOUWTr/HkeOG3cPSCZmekBhJ/CIfezrXG8sMyOZXmq3Y33jBafZKGefdmloO4
XQLXvBl8S4/QFJspZ5Bpvl6kWu7wVE4n8LrGdVE5ub0Lmf2+WvOM9XTbQB9ybBbG6yz6+VsPu1GH
dW5vw1B2NooCIrqibRsYuXkt6hjFlAQgu83Vcg0gkyBD0xLF/WoFTMQcqZIJNI6DANisxbVcenmw
hbJvvJqEeiq9L968fgE3nd5DzlDxNKhxR2nRLOJsaaYAlW8Hrj0Y23uRu/J1FQt7MpP2NqHjqkID
QSxnkSGqxVXsvtGZJhzSrttjR6EAnXczfoBcXH3AOD1WSTWO2XOfr/0nuYiGxF5CCLCOSTLOSt4f
HdeQmhsP3pKTubiEMxSHIYeEvk3lW9mILabJ07yQ8AfxR0wWeY1ueBK2DNFHm6ici9Z9G0J/uS2p
90+xoODKi6YjPnbijddMZbc+qUxFXFtV9CYNNjU7EJfsV7xy6AFX+ATg2b0P4rHYgqvR6vJHdDpo
O+ZcPtuIt49QcKxjKSb/DQTZ88w5+Xnrmy089gIXbdk32beVG3LMoXKpPdvA9TzKyEuJSOrp2BIp
GZsAUk9+VCHfZx9qxVkwRM9RO0bvziKcj6VMu/dpm7ZvigG+m4LOvnMRFhxNVopdv/Tjmf0lmcJz
O90acqg+b2bXHp3aSlFmUU6+z1fTZS1bmJGIIcRZMnqVfxXQmEnE0JbHylPyGW2Xw/uf7GvLbJ1D
6TvDK3W5/jFqc3llrXV0bhpiC7OB2MMFUKw+BjfFfeua47VU7vzYDqn8KPHbfXGqicnB7tfp3l0b
Hh5qWg+WM6qbRQbzqZgXp6NuE7bHVAN0OR6jsKTsEZFBhyw7TXP5YbPD/DmkdPLab+H4kQU/A4sv
g7vNMkY0TGTj1VHqEaFYWw7g0ajehWAjMDqgRTtsmdE9VpTgH+GRij5BGWIeJCbnVzEqF2G6t223
MnLVDUIlMuqMpvuYOVvUMGc3yx5IR3hl0fNLJrG5D+GUOVTmpfHVSG00aLer525FlKzNwl53FyhK
2uFt5TlTMO7NTlZgKepIpLezIbJHqiw16ZNr+1KP8o2fySj0FtbL0LCDKVVQ3mMfQn7p4Uy7jjph
f8bQg1sFNqN5h9RHPRf2NPXH3K5J9olAsd+4aSfDA3aBNrpu8lDs6OO64ODod+/CaGvw9m8jmvjG
ISa7M+j336xAXbjXvjmP8rYHm1MfrAVD2KnFo/3gLK7xIWijQiREuEAqzyMhn8qsmJo9Ld81v2mK
qit2BkwjRIhpahmI+MkOfVrDVqr8qLce5i7ql67uKu5aN0M+rjiTS6I4AnYuideodLqjWlIOiaMs
yBrB1uEaM2v/Frleau1mULjVzchBfHwhBWQLweAbEtqQtnpkLbIiTQwOrj17Mdvy4+asKRGL69KT
CnRtM9mZp9ClI3DsSWWQu3waPHWOyO4tUeBkdYQ930gz0CSGGy3nAiiKH9u5W3/oVsvYjjMHTU1f
723zFsAE3iBbUse/C2qmU/I1esh5VLauS4KZEh+Q8PVokAZRPgCe9qPN4fa35tLsqNM0lVZpCdtr
HsbRLcORkA/MFzYF9qHjeQi3occrv9rN3rVUnd8SRVb6cdNS5tUokx5ubbPS+AkUEOgW5ke3z2gU
3lUFZdJduRTLlZO5VriDjZgHlMRKaZ2qTArakcoL1tie6X5jpBnvDS9agqQpU9wpgVs5lOKo2b0A
HJdfSb0td44Uq33suhQwV4aLTNkJW7jc6BJ680jRwGrl/tNquF3AxkyFawEDnMYG39CZRrEUX5iE
+tDf56IWsZf11hLtqwZKZr4X9tJ53p1FzrkiFrpt0quyD923bJo+b1uePWe5+JxFJK0A8Z2b84y2
A4B/CgSBxcNkkvDhQYXBdlOvdn0vnQLHYy6jRPRiIyoSmaaAseM1Z9mSvyqlD7oghMAay2lsvoxZ
uh2IqaJzlS3pHR3GkCylZZj73cZi4z5GQ+6cAwREktAbaj2MBwZMjB5u/mp1ovogCLkO9wN8rduh
a7uz6ocx2yuS+jRthKwT3MlLdAIf3u/stq8PVZ9657YyrX005h2BHp5xZ1eLe2MLmpZdNtC8jjgW
7Ww7nd5aFagjLmq7js2ARXhnRhOGQmH53T36wRnpopzxYQ2zuSREbWBf84dJxBEIKdwDCCLVaQD2
vexXitznLZXF1xSkfn8s6a/tJA/lTBxThTtU2Sz+hV/VZAqyv+AtpE+sOsWBuDric1uRv5RFZn2m
8rYcEO1Ex86MmkMggvLRKE2ZTI2ffzLb5rkuUYJlHNwOgZ2Wr91sj11MyG/36pipvFa2Q4pqKpcy
TAqKo9epsLnozKTCXSxTwmHXeSg5llxPs1V8qXIn+FylGVFKljPfwq8nM4HU8JNDyfiF4juGMea0
BXxWafZ3Pvkj7FuZHPUgdL+4lT4Mr22jV+3FHt67KTSKfe0XNEIpJnf+iWDvokuwXi3g+euto1gY
zORkwwg0v8OQS++uFoP9nuf5CMC55j3EJeFvYVLxe8ms8hkT+Sq8E3A+OyARJp0w4Ros39eN6MY/
BKe2PKmE45ifWXhnCcEtnKcrY6z83ShK44ooN/tZ6wYO1jZVEJBWQzx43lK+KyLTWR44eR46laKG
6lLPuaV1J2/Eiuc5lhlbmttlUOK9sqHJJgNlxikupnr5Mo4rzwoPJec0Jahifp3oWk0xHblpT0aS
c02ROkMyRe4Hm/nAm75BuZzSA+mr4427cn6LDbYj465Oe8PbG32D5heQjfeCua1+DcS0JNXgDLva
NHrzXs2Bdaa7FkaogtjDxf445/VxZlN1zezXzvulz3MyapeIrafcBqPD+TZb4N9TrcRbG9MTe1xa
OAxQpDCIEjdv8tKtwJNPPq2UpkrKik0aoHKOsTjb1r6w2VM7bbp9agfVVg+QUuZhx6kirZjSIr/b
RCItldVYEPFbtu6DT9x5GFdWXzhvNbJRo00mI1zK9EDDrFrMuyrv/C5KOG2TgQu2Lm8wugYsuN66
y+lfaZ4/am533bXTmjYVxL7UdkzQ3RzAxCN8P5SJ8YLMO1LEBIu++JRlldtlO/D9kjYKbhynlfG0
9B1koIy9WntSuTKaP4d+WCZvD727aNq919NrO6emTe/lKBBKje1Orq5hlo+lEhWfg2sgl1IlSmZ6
ABMydy7/W2NEgcl9HMp23UUiX2Aw0mXKz5dirSF0w2GsI10ata10ETcRlCROwugFdB+E53AD1OWm
5uIf0VVvPG+9NUTFqxJzrpl5IYUu0qWrtJx9lgim4/FF5RQUwtuRDeVyb5aRubqJygbVVxBvIflM
dCu8sivfHUiGExni9ajW9sZRXN4WFx0qiyFB9OI06dkZPVGQ8YFQtXCuTaX6tUOHVIzscTg7ZP1B
iLBkPjbGblcRhnJnI+Zi6y4iZkxST9lEhe6xGIMGFABV2IlKapEgqVL17O6zdnGLei9mFDcRtYO2
C283tn7hPsW0SDoIAPdIkOHm9pG7D9bNcY/0/ZoXIkHrZwN1DUHeHeazGKzNsu1RmzRfzRYfJl0a
M5fVvvOHKN9hlQRSH292T/Nx8xVuZVT211GRTY8e6tgr6sDFLf5fJ8HLqO5Ka12bveZnnMYJ96aD
Y+yM+XkOTj1buCB2WrG6Mebwqj3K0UTFuIQCoBUS6uqr2EwgQKnUgbI+66jajc62Pg2FMS9sEIx6
zw6UE2JaCs87ErFAonzahMu7saXLKmIrm3vrKayKytvNRYux2KSBHQ/lxNGg3YhFi01ZWjmWawRS
Vyr3qulrZpCWbSTsqO0WWz0Rdfi0ptQ4NMoKEefYxDsnqel23d5dzeHKAm70im/UtYgvTO2sSygo
Fh4n1GAd7pvQJxjeNj01fkL6ALYTDSuxQAmajh4GprJsdEUUt+4zTt5N7Pbsw+8WGm5LPDtVsA8q
v742sqFDyq5gwwlSgESDdMNeFZjk1otoSRljfsS3wAeDHdiInSXsr3pR92WiKJi9bwgWGBtp9EEZ
Zsd1buLgEwD+uPJh79woDaM9/Mj5m4F4ieJhKbJbg2l4+Mzhcs4/BGUj9a7LAQrBDsa/lhC4i3em
SAB1Dniop2520jtkktnXTFrc+XDeFuRqKfEl1UYKUywKc34mb0c9zrLOuQRsbHSHg6ZjNg0azAqV
Fz1ZlA+DXVTCg7AoWhS7GW3MH7Pj4iP0qsG9at2yTPpZeuc+zbrDaLfmJ18OVhwF6BBzWW8o9Idt
jbEcrfd4Ku1iZ6thwtRVtwjko2KKplNGeDfTfLshB81SkvfCOaq1NILTcEIkzArH1INIH5sOxkIi
CxwA8ux8UqowowhIPXKyoWdTADDgzlFC3Wa2NYU7+CaCOD0EHh/nJRhRHY8tV4kaIPjsyjzM4oYN
+AOJ5ux4BxDEhLsZ6wqpo0oj5ChVX+Q7FvQS5RXlksetoQIQb74AXVBNCOx2jtkU+w0CIBUKDzkd
spFG7CZH/DkPebu302HBLeytrwGzxXSzjK0Uu7qfwqfBk6Pi5Tyv50BQUAVq7O7OqVP7JiTDOEAm
BB0rllYa3YD8tSEFFtX1YgigXg0MAjRg9huuGNXSZyClI8EIXsokgDm47tS8AqKoZTime5UXYc38
K536prTs1YMBNnsvBtGUyz2Vq4pIDbdr1rgWjfVaRCgeYpAxEk5ENJga9b1yKIhsXA19anoY960y
/whjUM4J6ya7Ovbnu9yRfajvm/8wOzNlaMfu0vuwbpxPPSqLLAbl+eoMTfdJjsAN8qKl9khkE0Kp
bGLI1/I1A+absbdayP1g53EnFfaegbrL5zZTxkmWPNQ7WVTBw6jG7nr0erweMgCTJqmOGKkZvlAx
LgKGQea/C3tzgAOZw9MkV/tETuZoJyU5LHq3ZjZIZ1pKPMEwhFeDQ+bljsQvNk4NfKAj4NypfsIt
W+wkxa2dZKi7Se94as/2xbpp1y5HGzhbn/J0XT4RDGrFYlAm1kmv2jdhnf6JrNjc4aAfn0O2+0dA
x9Z7hwL9k8mPeLGxcOOQ/H/CcxPeLTT5j2IaeepC9YZAeXwUylxTCNGdafEcbI9RZlTsaCy3ObIe
QIhW4eDs4ITfUEUzbufeln+UFDt24cJBpe+KdouX3OpeyFhzz2VOLH3iUtU/CdFatMJQWlaO82VV
VP/lHoCL28t3FqiqmXb0wNM1+MSJtmvEk3SHzvUexjLvmeWBJmltkuzxPyMSWNay6ek10HDsHlwo
H8hP8LBr8ZTTgVYF6UA2RLmdEHKv43NaLLP3xWtJ7rkqu7AZ3SR1pTkau3DyXNhzPNioWehpaelL
ZBW+uUN4Z21sG0NzJRGq8qW5nNS6UMWMfXvxDq7bzuFnv21HJpVeVPVSM49pLvOOfR46Bfi+fpYh
aHHRWCFHZhuPqmrFC81Dg4zd9ZCC5qL7ZvbGGgw7GpoI9faDmNcKiOxGgDdqIZGlWkTOGNRJ3lmZ
bWb/YXLCkSNM4Sy+lC86X2Qi53LzQs59WIaKpbwvgYKCAiZ6EDLY3hSOGvp3VW2TtUL5yUSxJnPn
siWLN5EzM5CRyqk4SqhY6ytx/cyM6mOeLVPQ/6GMbLM9smrDin9DCx/4wETGgQPzTbmCvfYBdgDw
nA7/0J772SBC8w8DNfxL9ph0pUnn/qWN25qcOcpFRF/MEhfJj6637UMpR9flNBlqzzmc2iYxG1fa
QRyQmYxShXQ6VuHRaZfgufze6Pr9+/q5u8zb0vkj2FVhydE8pFf0czO08FasSVkRfK06oRstzUX4
0VRRzUA0Otpl/9Co/Lknr1/RBygJaBvvMC1fjRj4qyaDomE4mvglvjWXV4RgrAUYjtdKWvNDkLsK
EdxkLmAi8qKkWXn5KP6P5vBP+EGcVnz8/zPP4eO35W34K//BufzED5JD5PwLzQ5uUBLs+RR5rP9N
ciDa2v8XeyVcqhAVQKRpksIPlIPj/4uRzz9hisbEAl35/9McbO9fYOs9kIRIRwiCAA3xH9AcgJfZ
DJ2/NMAxbgIyCXGLuLwhLEtaDvQX6QKzoAGXpDPRjDGZT4bLFq8mMUVP6FSd+31uWEO8NF31FMzh
3TCI6ZM/lf1ZdMjETDlcK8CvqEuD7e77VL+iSUyPE5kDj+gmjTcVBGQo+p3ZXxGsGZBD5dnZ8EjU
zup8cF0CbZsYepQVnOhXhPY98Bize6aaY3P+M6qtc46iGoW4C4U0dVLkxK4SllVErcvFBluV7mHb
MpPzp5il7J8x44ywiOmI1tZ1Hi0+TRY7jcZ9kJvucMhr1xbXI6wqSpMlinVTqwvWlXgplgzrOuhW
+8Vd2doB/eysDsmpS+beEb/x6p0U4bTglaq1CMqPKbFiaoqpik60nDuveyvbFLKAX2bBbrMHYqX2
1JXNyU/CAWjLmTW0FFRSanegEdix6aIvOiQKsNhNCj51YtsWwM6YSMWeUDiVKwzSrryCjSZel7YY
GzawznhVcjrZz2bovQJ/c2NSU/OrYijOWU1JJ4Yfj6y87a5Ke36hB+ocy3EuYwvr8lU1XyD5Wf4H
Rcw5269TcQrC5Q4Z100+K/XHkDVtomq94VtyEDFTRP8387+MSzqjpp1fUUUOCecfHLQOW8/qZZmI
fFsjq7ymD/KeFR2R1mmlzluowCdtRnNU3FLDIXLTC4CoMl8Fh9BujwgznkAhvlAk/rOri/FmA/+l
9b73W95TvlXja9cM10TPt1cV/u1dAB9yIWE2Hlbh3wiBpQ9B6iPtiy6u7OpFUJrd0bLoKMVO3/yi
9e8af0sf56jz44HpMY4UhKfBSXfIq6ujO7lWvGzTg42SGScB26OMVnPizlN+y7FF3oUjhKYAZSDq
bBwxLUmyMethnlDMDt8LZU/H/8femWy3jpzZ+l3uHF7om8GdEAQ7tZR01E2wpNOgBwJAAAjE09dH
pe08la5bXnXHNfGy00pRJIFAxL+/vXczcwoKSe5B2FzXRPSe8ZBdzrMke/1MnbS78wz56MlC4cNY
a1LPmuJi0i8ObeX7UHSmv3G6lWda6007GXrukXUh3w2DHe1g+N3Yy41oP/vLz86rGspYGQ6krB0b
goYKTqGq+Owct4tpnqMgO2PLjEgybrvuUsjXSrovtYHSYs4E0hvk24e2erK8Fua3pg2hTo9at9Dw
oyDgQBov3pryaAHDOOW9B00ryBMHYB3eJx3EpSU3ZbW4l2zeHr4YDIytMMO9K9+X3PETp6et42rj
Vyd9hKmZPBmPfOLQzLZDOev1oh8ZB7syp4fVmpfgsXYrce8jH7Ts9CGcBS3TO6crGFoEaTDGFuLJ
E5K9jKVp6WxfIAGf2ikbmnh1MH1subAqvUkX+Z3sZyc203m+x/JqxfPMZZFFc22RdarWH6iTpplk
gbueJlm0B/LO1yXaSy4tAmrwBjFt5q/F/z2SQIxvkmTBDJJj56tpyn9xuIm415ao1xv8gmK5tUNv
fBvZQs42lczEbdGZYlL9EzWYn0L6PHvD3ptIppu+IttwLRk7wY9+lLAiyAiZkaCecYwUGsVa9E5C
+kW9Z3RZbOxQvyqSU56DggNTXRof3FIvNhOnTUsBX9KQci2N3r1FiK62Q22XV63BGHwMGerbonhu
OLlQESy84sYe1pl8xUlTr2Q11n3fpN96JswYASMnuhZEn52sSO44jM/X81SIB84bxmPljsGH3XjF
NquiHpwkGhjIZTm3MdyKnaRdS2pIvZqMp1dqKVLJIZnt8G09oqXxe9pdZ5jrfrjctRXu6XOjZ2eX
9p5i5Frn+6Ce7+vcLZJiHQ+LZeY2lhviTqhrCjfUt7dnkMe3duq8A4EA0ffBHs9gHflCPZTDkCmU
rz4ngU1hmkZC9P3RrRGHqslyMIRbQv5KOxcIxJDG1Tp5+S6cJ2vbAj0nolPFZs3CDIubxXoQrrcF
4OudNsz5ZqVshCC7KdgWrbKZd5bcWoE9JdK1s30eMZOBTgrjqIR04si6X41sYA2WN/QgBTEK3YrD
EouRiVf0KOkJ2/jMKjaZtTzQjWZDiXRM0lzEZN4bgbJK7XGTRUfmjWncWcpE4oma7ytMUGIaDtET
FhHnYqz6bdl0ODtpIxifoqKMtk5YrdueBqbtKPtjZESc1gzxS/XBN86kXUKE3LQzR1HEC7WfHPld
VM5W5btpatTJqPofc6VvaplOGKlRjPTCYAAHXntHXpV5jfOkS1pzJfq+kOZRU/92MCg34MTT0qdK
vwe1VxUARsh7nqqSluCmYr3rfYQuc2WgGlgMfeW7jcvhisCmFEM5WZaps6wbsZakGNbzuB8LN4+X
qvo1+XW0U0K/Z5yomBlFrGWkmKU3aWel9mYuWfoRkj6ZFCwxGNRwn1Z2Gufkzd4u+HV5uBPW4pvZ
GxUsv0TU/3RlUe9qjw3DrNyXBtU2bqqxf65DfpUe3AHpUMlfaPmc06kG4/QMLxaMlNKCdpfnyO7E
0QxtfY1zho8hqN6nJjW3LKZQHhQxv4QreZ2EFj0WBaGXc0bTQ6lC1nW/qD/tlvN/Y9O6Q1AC3rw5
AE8g8mo3lrq5xj++JLjG3Hh21s+RM/pmhmjfLJd+z4VheWJGffg8mra+r5yRwMlWg+cQlDgh1C6V
4M+fSb5747av5A15V+FTH3j8uw7IxXDpBqjVEhOMm50nkuXvPWDqt6D0Hz3fR0qqs9uL/eLgTGHm
xCovBRBUygedF7n7LSJrLsbtOWBVDxNXpzBbBBAwqJnmhWo3TCebwp8x82ad/YP6j9bbrnzPG1tY
3d1saXkwtQoOgfLC96UazbfJVN+BmeWdNh2jTOY5nw+lkM6d1/hzYmnkZ1ZWIWdYf3JK7Tm6OALA
oIXZPPScxx4WZq0mushssMWwBaKtO9a/xsEJGR+PZcZ3Cs/SMXUd/L0QlsctQ5kynoox0lR02zzm
CYZ85ACM9CHNayjb8nUk0euTvthTveSpJqAwp400c34Q9Ies6Rf2dysrjSbG0B5RTFVM6iiWDhWp
qGjn3SpvVd/NOqy3opvGR+a7/RHhObiZ6frcR61/r/32Ku0CGWyBSzt1QHkvuZz9OfiRZkET5/YY
3EXSK148ZiI3Fq6JLbbMOvGIasaeJzQzKFCGpJNO9zA47kChNh/FraogRqh+67xNIMWUbTXTt2Y7
q3G9a+lb2uPRw8seLHJnwaAnUPzjXg6+sS+9Mm2Ab+rihdWseuERN73WizIfq1KmxCYGxdH0Fna8
ae+f+nY2SgJRUJ9g05f6ObOLcr3CZNtsIk1+ZWTY3BC5uVQJFTvRye6HOc5BRahDcVux9ecMx6k5
DmeplXwxQ409WqAWhmMXXXUUmt1RLjh8I6mMBpVg7EqsUj2e88bLGSTnRCVElL516J3euDxlFiss
zJkLqKcj4fi00Il1ToqS++EKjwNGkZDBxDfik7T/mlVGobcziefsfiYQTkbhSm7WwVdZ4lauf4un
OX+bg8U32KxMj7VuV2vLMNW4qVtVvJGZ2O6GNAQmabSqj+hS5rYMywypxCX/djM2S/Nipio9z/zo
QTUsr0MTPS4Ne+Ox7afPtmmJs8uDcudLnV0hzvhs5ueeiMZmbp6sfKHM0Azs/RI21TXzm363NpJJ
cNbTYGroetx4g/B2i9Uu59pFvt96OoVtnYsqmUtrum5aPW1ctMDDhABwbwsGag9hUA7dHUC68rYR
g+Ler2KAeZvNQiPyaB1DRDbbFuMPtptFODELDfrFfexk5kNKssHrQhLbD2WUN9GGIogZLAFwJvZH
CMGa7Lhh64w56yhldNQ9oA8cZO57L3ZYNNNW0zIcHIjgE9YnnWzp1jTKNLsuZmwyGy7hoUzsMFu2
QKkzbXRGsLD6wJRez9IQh2mMrAdgL84CVm/sqWhFfJKrcWL4L454IMrtJJ3iWtBhAWM9Bb+aoXO/
/yFZDcUgy71qxNNYYXJ/IzZhihs3Wm4k9+MmHLX2qDMJw59dKLKDPzVswS2ZG3FPINizZnSUFD6r
c4L3stqN9qg/TDbWVwui+KbmfNwFwtx3/NrTlxQmRCFec+U2DwuOy5MWxPzZjSu2Xm456FBkYJHY
jMb2pYyZJJbsVTWTSD2U3a0LkbQlJcX9NrKLTKRSESmmVplkPOvYnPdrouxBJlMdHA3RzltA0PlB
ZkW0G0CVPzxXuYemgh4ibBjjXUfOQ1B0+b7IHJiIjoxwp2j8y6g7X/BOG/O+tl0YqDxC4hvuZv6S
zZf2Jmx7PfRW3bOVAhYklS1UGytyl4TrBoUyUl7SrxXnGy5K7JZlQZktYlYS1TzG8ZJW7yN7+k0X
Bc3BKFIHXx1PknbxW0oHajnGhmmsYLKOsyOvoyFgKzDuvjQ9ZNgDDXv1jaqmNqbHinaRL4Wvpsf1
JwKIe5OmJAJgqQWM6wzu3ZGFfxJlTKURsa9DDbpVyZmHzrKec2lGt7PKKiDswj9QneIldg3HYY5d
dypM6z4MsdGOIxnP8SSyjzFoS5yTF41fWH14WxFFHqvGrBKrTslrriPnLYNA3jgLXrS4KfKGGOXx
rYed21CDt3c9HGubTsw/8AOPh7Aw9RGenBxkDp7FZvZQX1Sb1fFaOUwfKLDbUjr+gcyUX4L1QHFa
9SpCDhFZuF11/4O47dcvpbK2J7NLiOCuuo1ynAQGysZeGaWnshi9DwQMCqwzk35vbOVmbLSqrJMB
1HvKXNVfd37ZcrWMwd4yqwDIyy2ua9T7e+YPAKAIjdh8Z2HOt6Nkv12aM5jlZfyjwlEco76vE73M
pMcDE/1cWo5opSznQ+NKzJRGb59LGTAREMN3mSt5CpoC/0tIzCcWiS0atjiGwgf/so3qZAfNfP7S
VLOi/+S8xlZsbRGQXF02x3YS5MNk87i+zJIUYOY9Nw7i+TNbqafCIBMhGGRwlfvOEvdKs3Hs8mO6
6H7cgBoMsAvTe2T1N4u1Opu8tJ/xo4JXzC7xuj6U7MJU94VSq2bjXIzBqN1zbE+p94ShzNt4urJR
WnIqgto3VL7xsI754+Bbv5gFs/+Dvtu0mWjxAdpvTk46vzO37o8Rn/DWzAZnK4zmWZHh9EsICINd
hl2L/iGxsPlGz2Ww7zcP4SrRnLqstOBkwvR9JtQPyGGeyUWP1uUBe4HuNnWYpoydiP7YgaavBZv/
xuKMo7x9NTnRQ8uCJTfC8Tqft5cGgP8DYQ/cCU3im9VwQqTfLAgJiqNOuuWrEsENMcnibvZdNtZW
ZXQb0rcLC0lD121CLLI1JpOZi1sb1+yR/8L/VbXhL4IpHogQZ/EIi/x0Cb8+rR4PV9il72klpn5f
IRQlyp9wHKMTA0GoE35YqEPTeh54JMW1JWFO7MssULRZvEYT83ryti73BLu8wvL2tsdO+A8BHB5z
XhBrpkMw9+9ZqE+KCz6uMWJA/Bk3iITsdWqvJ7wqOAlrlrs/dXIwALXpI3OMW7b6MTtT2pHd/nrI
5jPQ6Q/UU654BLEkUu25dwVO02YNgEKxNfypoge6Me4W230pLHe8krQIksPuY+SunXafmyJLiq6x
DqrkcDZ403hsZWYyuYALMyvvx59Ke5kuRZx363uVoUvY5JwQNzIUm1I6n6k3W49LSCy2r9ZliL8E
eG8M5kfWPgoQfA911eyn09AzjMIBH5MF7d4gshrMWbC4J4OJgTzy2xtX1mOcwnRAGhDKMiVBZl2g
WJMi4p7noxVpwu6LVXyMFtiaR9Bjs60Mrb9Xdp6q2For46Pzm+EuMGvjUPLAGza4MtUhxGl5HVQc
kYIoLPOtKrLTYLhZAq+5frLP4tbKRPNRlFZ49wUBaJlP343C//UHCBDlxnjqGUOftQLA9goM1/Gf
MICNHq5vBxV24ncYIJKO2God+bs/iAC/glMQdtEOcaHBXwpBaLxrpsYtiRLe/AcbUKTz05p53/7E
A7J+lQfugzX5YgSWKHxeQp8VPm/txwxLQAwPeRdaY/rRqEu0ZZOG4LsXaKDmkG5cLTabmusvcqCn
LuKKPYRUuy98YCgLfzq5LesPVJgpyv2/kAQVYV6blsMN27ulE3jn/G54HoTbXwGQhvMm74IIMy2G
8f0qyhREv7Te/E7hdFoKzyQ+C0MyiP6kX6ZKUhn2X7IHAVdPH5tikXvc38W1FhRZb3lgEawzTBk7
ppXqBcuWpNkP8rITYpV5+w1KqKZSHgTWjc3vZEJm1HNMfJt69CYhGT6ZlfA3HMNIU7SN6Lm2x+yH
l6Mp0p+RZmrLTG19WFHoyfjiRvs7phCMlzJIm0f0X1gFJAIcmWzrNYnFJ0E0FhzktOyzIu3PAKf2
S0kcgtp6Lgu2HjzrfiR3B/PCnzQDa1l3X8PxvPxBNGC9nMj2iMKbYTXkSyUM85aM+XVv41iLOLyO
zhnSMHj4L1kHieP2kc5JhqHKnrhLu5ZlddN4YWuzZyT//V+RB2eIsvKWCT8c278gD4NooHvlkJVb
VY33Ohtd2jjhpBOHMdSTqYPsVLoslW1NFv0XDoHmy0ZN+0RWfjEReQRahW5boMX6Hg2PBk/dDN8H
D3sKwDnsYBHCowBLt4Qm0SfN1ZCq4DgvpkzE6FfXAgsOgfqBZV53ulu+kb8j1cZXOAdzY6F6ZHC/
ODTjLKpe3HrrEh6a3EKPnrXYL6Ppxo6oQFeMYZE3X4AF01sAUWIdnkz2d9dD1y+7Cb/fgXFmwJTG
yB/WvIR8vaAWCi0jzsTY3IAifTdmy0pYnNKDn3ukB124i2jm1nBKO0+K3jmSwBnet8pXx4WMrZNP
p8lC6WW9dSWnjokdY8y8eTiNeTTdfOEYRFZ+tqGykjldTYra1w8CnvPYdoneSMOSsaKVNszKhvXZ
KByshwPE1xeuYYDg7HOyD+PfmI2ualecRhTH51gytxd5FgdJx17W1MNbUbtrzFGBmoNB+ZoH2Tjd
h0HHHJjm0Xr7G8qx5jxsSkyslMgDwV4bQb9dPOSbP5kOq6JfPOr0rVdp/rmZnkdHrXcLoTEbe66e
o9F+dTIWa5J3k8J19JZJyUfUDv4GQAM8asmz7Rf60QZGt7Otyj0sIBtuVj5oKpC3kBS4PCdTb6jI
unNgDzd12b+IsS/v/WzCYkJ2U9/L/azd+f2flIhjWiaVduyQ/zMq0kRlf16m/kw6dI17sQt5tFuX
g2BeG3ehAxYE25kfaem0rwni+uEawXQDSIcXgfUfDvOCkpDS/SoXbyKmSF3PQqjjUPcvX1rs/8rW
/0a2DsnT/O9U6+3P+mP5GH7+Llz/8e/8ozSP+ju+AIriXDZh4MTIwv8ozfP+FnDQw8USWQQlXKJZ
/yFbR2jT/AO6gF0vgIpDa2Z7L/P/+3+c8G8uoYSeyYbFJm3EdP5HsvVfsg49l8xh37IQwYEtLyL4
X0IKqnLOkUuj/rASRfUqS3kZMQmH/lrkwS5WwdDInejX+7qjbwNX0RzTthXFbWrShTkXLQ8cR1uv
aTFBHbYIcaQIm8tPJf0LFUT5bZiScldn8r4NjUuKUP3uGiS10Q0jyIiKRlrdTazcKsJ8wYdYHBgR
eY8Ire21UlIj2XiSQGFuukPQjynIEfjkiXWk2k4dVgHyV/A45hzVyfAfrjAl8lRosKcayiv3C3+c
vXEGXxwDXaTHzhjkQxtl7ok0gfcy6I3Xom6Mp6xvGX3BP++nyM4SdmHORnBiuwNq5OGhxvMc8nw2
Kt4kR3RmEPbZtddqF0VVvl09h9QG8if2ZkZHFEYT0r8i1EVEEvywooAn6qXY9ZpXz2f77JMhvSkC
Rs2429jN2+fCCp/SeboBGGw3uWofl15b12rBzlhX7YyOtVz+o7nuVkqcQvGaNkzEtSXVqVqz98hn
Rt1386Z2nHO1Vu+9N5eboOse2Vbrt4qkrq2gM31Ll/y0g06b4wLJk0vwSTkpCiEGIui/y5+Awd3j
V+PGcvYBU+A7pzKMnZyr7jEbo/qZ6gj32VLs3Z2WPR8qmwP+ymgDhKtncgmkrsU9Pm8NDGUACKz9
R+daw5OIGEjnBSg8z8A6wZALC794ByaLzDM82d8Bcg2vbhU++WPRYfuk78YaV3yWKeiupoX0EPV+
iKcs/MbAzCCKx1m+waFnJ5dY0CAOsrE521HKltnkTBrjPXXOEufbbVP0OR4xO1eU9zAETeq8fXQM
C7fe0A751u6ch7GW0Y7MUgKznNzH2s1+syzm4rIazxhYVB/th57H95FREk7LYgXEw2i+keGM48a2
1HSVZWwpdstgeN8C4qquECvMd7a583ZcMX5xmmc37PFZdjsrHFLOBWo1GYT1HrUFpcm52Svl+gvX
sjb24YCv6tcaBctNbQ8Aexknq6RGBhw2Fj2wbIisx/9d6FtZyPXfLPSXFlLWvv83n3TzUbT/aZn/
+7/xW9MMPTMuIJLnAxZFf/JJ9Kaa4QU68yykAZjOf67zbvA3cmECkjMi4jO+FvN/rPOu8zfCbAKP
CCEyf7/Ipf8BnsRL/M4mucRDRg7tFF+1pRxy/oK9rTxnHKa9+tClCXyOtxIReffbp3H/B+j0eznp
v74EaQj0Tlw6WElXsP7yEuky1UZmR/owXxxW3NAGLeyhz0f6z8/8/+NVLn/Fb5AVpe4KrpdXCdr3
0Xjv1E/p/Zv833/3Rv7CSjLqddtu5iUmfQ7MM+OiXn/+9+/CMr/iiH6jxUhIuTx1Aw6/XBmwY3/5
uMbaEMR49FQFGu3wvQtw1iYw/SAyCy/tERb5wKkvPREqnJIwYE47xV428UsM46ual30hQFbtXDsW
Z/ix3DLKO+MYnT2cq2q5jhiwMBTGVetIXPbWnKaPmGyYmwUNGMhasV4HZVBejWhnMfOC9wYjcBmG
Y1J3FukSwOh4IXITgxeHZvSEHJcboexVP0FDFEN35Q9TecyBba8Qofw3g+gMa5PT5HUDietfkQK5
xto0RsA3b76SWTMBmylZb/VUTddT1OhvheR/5oLCRZ7E3327CU5pwXCfmQwLJnOjvWuP10yT5DfV
ru6Z+GRrb0xBnXT0BB5dBsqberLcHW5HfBtKWIx2KoLYHdgCZav5wQkkv6QK5XUA8J90OrTRhtfR
Yv5Nh2dXRhmq65SfKZ1bvkeyWc+zBvKlaxzfa4ActEfxYlDrp6+5mAaCo6Jaf8Pc7zmgwtbPYVBE
UDNXlL+gSBSHc2IyniObmNad8qV7nmeTX3T5gDl634An2bQTywarNJM/jqWpvMZS5EjiWjPi8bw2
EDF/XxVHHnLNBLFyS1LhT9y0LuMCOf0oL5172v4ZtZH3pmwvi93JKF4loNHRXHs+koFwwH27uD+1
7IZok7OVwDhrktFQI9JvvFTjxjL5fQ2iDgnSmJGbyBufCwBqkmL64KoJp/xGkL6SICNa+wkZ/7zA
xhxREiDMBzHsIDfQbGzmnhtE8CyOUqITQ55mZazrMCNb1rUP2vJ5AVv7cd+XDFQaykARTOfHqtPT
oxQpPzxEIxdGWHhnItsZ+dVpdSLGzd3gXZuSOYrcuxBBDZzFsZi+DsLeYgAKbiU2azpCbb/Z4c1B
BVNkBqeEN6TWgzul2XnNIAUvXYP4ZRgA3dl0boFiZyY8/5B+poHHTEfZRnprw7WlcZUHzH5dqwU8
SFP3Dn+jjci9QmVrNoyrGPrr3gisBwv+5uhHwr9PDcfYkwXt3AcEhlwvrvecNr0+ExA/XjT/2cQe
1Pv2sR8YOE2TqjFEFnn6KRVengjxW24cYzL2mOTDX25Zhb8wqst4NMblagis6DMnUCrJph6+DvbV
TIxRRpuUfk4+jxRj4NbS6gdQO5/kOKs6yTNhHqzRWg8N0WwXacJ9MlWliSUNLZyFhmftw6Ad9t7i
Lq8hXqz3lpLNMwV9Ju2sNj5od8ImWgTFTBMYLvHvFlLbqW+m5pYETU5DeBNv4MaiO2Vp56mOJPEn
GDEM3JuWx5AvW+8xAjCyF0N4XxZD+0G733KG6VP3igShW3BO/9pSwXoz9pF3hfO13VtsWGOxSv9R
EF+9lXrVh56OYKaRJvvsTW9dFq/aTuV5oEeecBPMbMEGd623xdbe7WYC2n+5hQ/amdcdXsZhLn94
2sdSNrMIVUZDNlVqeVvlR95OrAL9npyBZgvUM4Ie5C4Te2aJNRW9JbPEPn8ilSZlXDTX/E4vxSZT
RkEaA/Vo5sBz9mRbnT6t1dpfeaW9xrWXFn1cUp+LuE4s5pFDnrdDkvcJ1MmiozdGeKx81SUCZG0/
5Hg4eQMYiePQKbGaR0yZzHUYjsZg1ryNPlwpbEiNBI8UllbbrKN4piwOo0mnFRJXqO7beug/l15K
lrG5OlO+yQymNNdYsgq8F0Wkk24OiB+xy/lngE1vZ2cUKdqt1e6XrqjZeZN49TFWnfUpg3bESBQV
GGCiqX5eR7XcRZy0UED4cbv1vceG5JbjqrIL9eMFy93CCOUO7kuielB3kXANaz5dJm6ulTXD5usl
Cy2QOf3RnWMI1mi8hGqbnxh1x5dAQbvNXs6PuoNjJMA/600r8KozEEUsaVX6hvG5e56LpiFke2r3
HnJ9Umj0wdIwm3ghwSE21VSd/G76ILlZHjl2h+RykO26DdPKPEAxEhGyDvNtRIstR7jcM5LBioob
v1IzAQMyizYrVsFDZ0SMq0JBVecACQdOGM7NqRwtBUyBGXeiG1rrA8dk/mDsr/oQFZX/SCqA+SqZ
8Z0LOJpmI5qwiD1BRsmFhCgwhwA+Qrks6Ulpek5pqsTOz+nzCRvrsnBW5asPOated4EzHKfayX9E
Fj9d1UBGzeB7V6nVRfvMH8et3RO0wN1vhHt2o8MRF2j1vERFtG/b3n/kiAQP6RJzEErZ7mEOMd5c
HnYwANjuykDdL34A92PNUdxFI+Je6qt7B+Pwh0W7c9IKLnA/dauT5opGNXFl0rhm+7PkGX60R3ME
BPD1MxdSdu/nRoa7aIro323m2HfHaF8MouXw4vivMgLng8y10+t6wZoWj4SO7G1SyO+lrPRZwwn+
nNvU+NbQVBpryVRyGxr+37+nClb612ryxypOejvTFdatV9Qc19OKRcap1lOJnpsYHmgJ6RghIT6z
2hnm5L040+q+IAS6Lyh16y1PKn+X97lBmFZhbIFx80OQpt0NYS/DQ5fjprYHsF+jctTt16cuvQZo
BKzhDsh2Z7ZQJxH1wVfe0Fmbvsu7Sz4O8BcX4k55nXkV9HgG26iUx2aVTiL6xorVYLrcxDj8TpO9
1ndpaGVHixyoilB4rmUSmvQ5MlxmDJxQrnRYqNtgbFNC7YIstlw5wxIT3n2H66k5+qvy8aul855W
EnDIEOVma2qXr1/3+gaXnL6x+jGKsyVycPPggGIJtKyH3Cg+h2rFMZj369EWaXtH9LTeAuEDqqyj
WJ/R2T0PLm4pEz2t4y4g1egaHw6oahWUDAFyYzc5dnVykUuvSrwD91awGEk6CHXXByOP7iBnAhL0
nYG5nRgZKnit4QIKWTltd6qej2CIjJ9Bp8TNIuvWitug7Z6mTrU7rPDk3hRtMF5Zri3v+gyIf5hI
vcjyWt+siyVOfeovO8e26Lbsq9Z4QnDvyGpvkNM9fKqbembZYH7PrYk//CKFXMLTwpkRS4+ZbC+t
tn42Jy4n4p/YVkeF9Ul/9HrjNv24dZfF/KS1wGb2VXTOxnDH9JSP3JhoqvZJq0WfhyoITv7irkko
1+EYrjZxGs46I3I0kT8rjOHdBegYHX0mpo573nAIwGGM66sn1+gJbCIhbL4m/6SMU370/lJGAyit
+/RAJwWWdIwMR3zDPuoTeX28o7sgR3eFV8xvyQnEAz8VzaOtqiHpaAohQTo39kzUJbMEDFXva7te
nO9t/+gAQwJ/FsZVls73k6A2rHMpDVtK42cIC7Sz3PbVmaC66S9Mr3kbFUENHSunl43DLgyHJQFt
tPegInir2ZcQHeQNU1wTbJOwQ8xPgkjrGEc/jBQhGWBOzXeCLb+P2rtT9ujsbLVcUgKt/hjmAZqw
Lp6gDHSM6podWK32fBCUMZguBaNpM+yiKnw1EGxjWV5KtL+y4sIlQy93MPGZoTTI4xAuMxDB+22/
suImIH9W7BabNyEtLchhNWdtAjVKNlcHF77XaIbv2TR7h7+Hxk1qhsfQ/zk0DjPxVV764p4ppngl
+IcYD3tt3kZDTN/FTGZwYA2EW9chE6BpXvXJLiKsD3U+HYwcR+2FMHPv3RC/Z4mo+SiyC1DWTKCq
Sg0NgIrvJ0xU0zgd8nxf05u4m/uKI7lZFyfEypVEAdl/RoNurqzIcA66utQEbJcucxaxCyF6qqux
/WR7b70pKKAbaBhJebjtdeeZtGSD1IFpuU81nKxc8+iS4zLuZDhxKzYNYTcXNQmyeeBb3KrU+3Rz
t1/iOdfrnXtJoGs92e2mYh3efDLQQA6Zc96uYSSZIObBqSIU7QVzKcadvp2cZ/PyhPStRhBDFuYH
1bbTFX5l94ZEDPlCSLd3ULJfTrWXzVcLheLfyTPCEo+z9RLhJdP7ORDNj2YMzHj2LfLW/sylsyrb
vSblEegbC5iDybN1OeuO7pSgRrrfnBaMk4AcwEgguJygqvVnNQfhq90FLbyvDuMsqzXIR12CdcDY
ssfTPApJDJmwnihYuXVgJSvrEniWpmrhByZfL0/b08qpYtvljt4skPDZKPR2LJonoy5eVcuUk+Zv
NGCQl20bQWxXlngZnBI636/xOphuQMu4x85439Gt9tRVTXctdW0fB+LvqVTLiJkHFAbuCifj4IyL
0Rw4LvnGz1XWxERCuR+tyQ+fcSYwDRZTuOcUs2yADdNvtWPIax6K9T1bxfKD+PbuW9lX/auYhAqQ
LqmqwmPaFxXmMQ+fbVWxpXGpTji7jgUvMHaFeq8GCpk207CUp9mefmZLuJBNETJyjkJCN9jZfm8F
FNSKdWTrG9Wt7i6k9uhA4krIxnjhq7omqg3aMuqFBIAOs9uSzdCmdOtyTEgG7W+GzE/JzintB+7/
H7IFGZt4piEeBzZdargUyCxD8iPxiHNHVufPahgB/mmLSCzyns4jzuRPxxDvbjkupLKrRz3Zo7sL
fAKKjHYhPq/XrOzCcJjQTvUjDr1FxnneDw+eWY9NnFJU5ueTudMzFhGPK/5ghJ27z3M/uLYrf2Vx
GabgCJXJ2bT8D/bOZDdyJNu2v/Jw5yyQZmwHd+K9u1pXqI0JoejYN8ae/Pq3GJX1EHL5kxB3fIHK
QKKQIRNJo9HsnL3XFsE3a7SwW7ESLijrBxs3GJx7jjp8TwIv++pnDqX0wHtCJ9hf6PCKt/yUf1h6
ZmT+cFIXFWDRjN+Cye82xJa54Eagg1153tRvuwrrnle4QP6CeIAD5HFTpO88OV1o3kddAXOzjXhh
K0Tbfc6eagxtb2Np1raB73jLGeSRBTm5Qd6Pnhj6HVD4xl6Xae6/Fl4yLdOKpjMwCdKqBn/KFxbc
soWo2N0ONa4EUAj5XU56Mjtc7ZhlM0zEHbOjH2n2raPwF9mxLa6NsJO/jCDPl0XcQ91p0ar4edje
kHAUXqZWYn0xyxjewBJUvta+xDlRDiFSTDI/kaSXs+SkGfQj1Ap7l/ZluyyapNiOnUxhywQINYY5
vt7rgKOm7X3QTv5icHT7IINi3DZ99TX0cmcXByFfLDaCBxZSbZfBH7pkK+ccaMwG13WgEva/Rf6r
RUWHzqQpv0kVly+12wCWWQQqTL4VmAD1C6Ns/Qss3ihdYfIz2Wpxj4oOFzlROJZ3HaUk75B9qdRA
vwh9yUZhUuNoFlbedT5W6X2e0ZrJwNtuwwjVVEkJ694W9U/aVO1Cn9iqVEpWhJj230ElZQcrJc6S
TRWHJNWNC0KB4z2AAmPNcWKnCREfeP+tZyezH7OAvTFcvmDHrjBdUe6AHBq1K6KC/SWJvrdi7HsU
nfarwxFkiKdLq9KP7KFQrKGGX2qta3wHw9BfEM2GplGBSNQT1KjY3ncd+oxfyPwsmDKaONaD90sh
PH4MePUeMM/S/rDqQkULrxr8Ve0iy6T/UGx1b2jXIlJEejRBt3DRyX2CyJ9rqW+roISeOtbsTfcM
fJ8ntVZ7SAV6eLeiy079rsN1s4zKgjmptpzHs+3HZdd3lV3CoulNGjRjoQDap+Zv7BMD+ySn2o3F
DLOs+SPKnGGdBmW6+vuhDCFRcVkC8fxpuLte2yXlR4MLA1NyP8Qmn4y4M6502mh/ZWnHwMxVEUgv
sETjMqPD/LYkDm5KH1PJUHmVt5fAI5OdXRGr7DN5Z3Bdti06JtffX58wJAYw17Rm0v/bQa3INwTo
U0SdCXdRABte2BUlO86k5ifX9zZG4d/XxwtNC8OhS26e5hATJwarD9zgLhtD6S9SYsZY3Nx4nwgq
minlj9uS/KdFkk7hVZsOwyfjz5X40zkqJFBzVPVzj+akUj8GZhnqSYAGOdMowOdcoK36h4/v59s4
2H9fpBRMTAs3uk5b4O39HAw+Fw2Qlh0tVIOaQTg7Jh3pX6eCvvc0CmxXrTesi4pN8sdDv0Ui/Gdo
1ASQJYA+n+ahepY5GIGQ1VwkwXQrrQar2FwIdqBt01QP2IGNISSaj4edZ8jpbZWmzt6cJytsQ769
YlnjZJ8bmTT14/RgZN0DoTbIom1mrecwfz8e7ty7L1ljQD6gQjJOAzACWJwG5jqGqxvrXgm15fA/
rJXv6J+sMqdJFL9fSOlZAuAA2g4e6Nsrg6f8z7O0p7b/Xv+em6Pf/hiwIiy0OjWuKCnrW9ud9Fdc
UhSTekrxH1/uuUkrPZcgS1MKEj1OyBqJIxsMI3q1k05gHq22oJpPDN4no5y7qTzCuX0F8gDL19sr
NQffxI3H0vN7FejwoyxND2yWQUToJ8/v3AWZOhoVU1KV9+Ym6p+Nv2QACTemPQtqr9KV6Iuvtlt8
/fub9ucYJ5cToXqw+VDDKxbN1WRXW9PNjh8PcXZyMP+g9jMVLSx0b68Dkr3bV6KpdiV716ug1cUB
WzONsq6PnkP43GscYvpNUNFmKWUAk9aXn61o7189qesWLRTeP4/SxcmKZqILlVqB5gdPGypY/OXL
3kjUJdEHap+U3mdZMO+fHeOB2PDYRwnDOX33FMcqdyyl2mX5wAbFHo8OGOJPthLv56Kkh24ZFqVd
ISGBnNzYwGgm0MlqFzVBu6zLIlriHrl0oN1+MhXPjMRFuJZj2oYlTedkmnh1hGh6dIsdSxtkPa2+
kKNzX1bx48dz5cxjMhxToA205t2ROS/cf/S67TJLyGKCvI5XHcnLKygo4Jb5MlL+4eORfrNJ3i7G
8s1QJ8sFNSrbz2yGajuPwn0O45rEC4BMg9e1a9Xl0wM4y2xLppNfrZRJdV+vlP9ic2RdN4RvrGO6
v1tRU0bLIJVlNI6m5GC5MYAQOWj7gDieKz/lHGgqYAZEcmprzlXNOhVozg4kWA3XPWEBW+zidgon
yoG6bEfTJxdqvgUhzR87vuD09eAgWYaENvH2nqaom6WHWXwH87558oCOXhvQ3Ebbjl6zqXUObZrS
P039l2pIAtwFwPeSwd7bdraOYG4sDRBVuFweMp+DUQO2NS+yuxKey+STRgDcRa3n8LwF7FAH1GKM
OYlQsW5RdcI5aLHWLgezMHf0tvtV07iCCLIkXlHCcy4Twgh4wJ6/HFiv8Rj2SyTNAAX5rnrcLaFx
bsRk9M3x+/yTj9aZuSY8dAgoWCyXLf/JXPOzTrH7GLkvsVZD0fXknqc+4FLCUrcYsJnvPp5y7zc8
UgoHOJfpoWGEmvP2QajC7Lq+zIqd5zbmnnprtlZB1Vzasmy2vhs0lyGl13sz8oKLj0c+8/qym0M/
KdDivD9zVMHYaWFr4+2MxvEZGIjxVdHvuYeaFf/8eKgzF4nAg9WIWgf/nG4d6Yty3hzbfJd1FV2R
zqCJRyeoXmlxXu3B1kfusqbBPi5wRnh/v0yxr0JGqpM+5aEzeXuHHZgmlJ3yfFf7BdHdfX4fDAFS
j3is/nobgHyU98lBYUTGgHWyIFIDqoPCiNMdgTdP45j3K+Fi3q+QIv71NGW7gWAKYRSnj3dq1RK3
YRuAIkRX0PYrgKk7TcY3fW/ZGwpPPz5+eu8niqnPymxhEAyFnONkioI1KnMzVVwWEVw7jfwPeB0w
+pZzqGL9yT18/wIyGFsbtgYWDe3Tz5dCGxJinOXKNPM+lNoTuQU/4kHeB739yR5kfpffLvYMxbEU
iazg82KdXFeGbJ0oE4QYswhTUiv1ADQs4EdMiynvDpQpP9uNnh8RFTQArvmlO/28mKXjFvOIyugO
iVe+gsy/l1VCZmFop7gNxd/FiLHMmzobb1ze7DoY8WRGWoAe7MZ3kp3Wtocx7XZ4y2+gEX4yzPuN
zTwMR0Msi+w+TgsKnasPUcSP3nWa0O41Jzf35cAX8eN5+H4VYRSYYihJhW6zb3z7Ig+aIA8rNpJd
JaloUelZkgz1y8ntY4yLagkJZSnH4pNVUrz/UjIqC4djWRa68FNhuJ8RAcGxD0ccANFFn3qU4fIS
xgl2Ko3Ia5rY9ehB/tIKMwmXzgTdKq91Z0v+QLBP6SPj8XTup9FSdx7hLqugLNkczNsCVQjrAlmc
/eAJsmoDAIif/PZnHwzZ2Mw4dO3m6YNBkhDCw+HVpTqdr2NCgg7aQJ3z4wdzboHAUDyXlDzhvNty
ZqbiMxIU6S5vnHRRFN1OT4x712k+27WceWEJxmNvyzqEkvpkApAVDdZZ5SxEQykRsvjhfoCxtPn4
as6tQDZbAPh5HMq5d2+n2QT/aADUmiAequMFwSGzKKZt1nWdfuti8+930ZwZkYnyySAuiJzIt8O5
DcQTBFcJZ0f/x3zvqgiuUeU/fXxV514eDNy2gySXg8HpNB7qBMdgwctDGpd7m4wGLTbf+kGzpdhU
geV+79My3lMtrD/5VJ1b81DEmuyrvTOHHkqnOtTWLtkFgbhpcu11ioNNGT+S0viF5fqT0c5NeI49
GD9xO7nvimQp1+jYgI12GBeSbWZbzrEXsbb6+Gb+5oSefjq4iQ6oQ0Micz5ZVz1SIFoiOpKd2/b6
IyFqxUbDprQgUKhL6c05/QPOVRAARdPdqDFPrq3UIfzGRdOJ0RR2WgC2z1B+u06xjm7Cto0/O90a
Z++8wwmbN1Na7H/ezqzKr8GtZBlfm8GkTdCoV6PxChhnbr2PHPepHahOkEdGEyOX0WPSEzDme8XX
EEXHZJfNoewzc08VycNdqJGWEXIdH9/IM+8aPW22oI4jgVqefhBTh98hAgm16/MJLLvRbPQZgOGn
6FfG14/HOnM7ZuTpvK+Y8xlPtzHCGHXdhES8m3zjh07BYZVZ+ms9pvnO8fJ4PQfmfLLDOPPSGQYd
O3Y0fLHelfW7Kh0HvKRcXmw9h1GgLQWqHfoY1QyWHtWDqshQQY3R7f7+Wg2DKiYVKTaIpyulqZGy
VwHC2XFWu1bAwqhKp0eq8QRwJMHj6FrB3+/bGHAuA5CFPmNl30423pWeGG9V7DRitZdYOVElAJY8
9mRR7DKyDj8Z78w3h/HYQ0k+bGwWT97ADHp/GBXc2gFA1jo1q36lqwIHO4rY/8lQxDpId86AdU8/
oqVjRk2Wc0QzvCK/tVJofZXT2BdRaxifLF/n5ugcljv7EOZK/8mWtEMSl09UBnZ11t63YfETrPp9
WvP8okAdiYNo/vpwxAKG6UJYhqB9cvoCGpjnCzA0+W4SMzLQ6e+qtlqV1AE+GejMwkxJnYBZSeUZ
G8f8PP8o4pRTjwLM5wiYBtZTAKDOndT9x5PekvyMk1X5zRgnc8LTYtCtJmMg6DcWZhSVh9qqrTvR
2v7CT/uau6j3C6sHXk/WU/BQ9BXkFRIAtkS/JBT/WtSQOXYwSNYo4IDnYM4a010kcQZPphkeBcSj
ZT52/otf6vk2qxFncbqFiNkF/j60XJoUpJPeWsachRjTvr8jDg2xVW7UyQb2aLXVO+XDPUI6ehOn
OrtDMKAw+qPqJhyccEtixLhPLSSanQyzq06rOnAJ3n1UJPWSO5xsMmpF1SJEKLhDnJjhmJ7KtU/K
BGLhpL8sTAmcjyTtzce399zc5CsO1IvOIX2Kk7lpq1o1o83cRCb8qobm1Q3LG1NqG5kVxIGQGP/x
eOfecPbcbPYo39MQOhkPYFuuZDDmu0Zh4WYd60Wyx8L8yeb1fVvNpFZKY4taJmU672QYcyA5CdNl
vkNEfgS4RDxl735XyQNN6CsEKcvWEl+DKv/kyCTPj0uVljvK4fp0Q+aVmcrK3qImUowTkCcylNyK
+DiMLjqYttTjjKOszF83Mws4zREJai2GZ1uJbm+h8rfiXttLvdU2RmMCbUUYyoQrt/Q76WB78TfL
6GawJlLAxJmCldcYNrUXZ1pBpP0igHEu3clSCyiEwFebCfxIzO9DtlP5E8+HcRu76bQth15tcHTx
/2eTtQzrJl47miMeiRH47FGce+IQow3HE5QZpDHfsj/WiEivrSxPunynN68j7d7F2OvbxMAs+fHM
OrcW/THO6caoK7ssLbw+37kWUbE59YZlFobrjwc5t7WxJZh1S9BvI3v67cXoSpSFMqt8R9OJCF4L
aJsungr4fosQlt7/YDDqlZxZCCB6t+21KxajnLg+9Hc28Oti2nZmuUEBipa6iT65fecWApuyP18L
LHvvNr/pOEobBmq+q+LqCGfQhiAzPhVp9bOJ0CyE9id30jg3L+aeNwdYJATOaZ9mqsuU+8s+LR7S
EJeXMAjKrfo9ISDmqpBauDNL1SyH0pN3ke6HuzHA1BAQHnHlBi7W5MIcHxwsQdgz/IDsoY9v/tlf
jwWRMhL1W5K/3z7pfvBr7NBsc3pV/pRe8BiK7ktKjNL/ZBzH5aTI8Xe2zL0dp4aNGJbo8XacREuq
Oc1rPmpEKrbVJx/Sc9tWilOINvT5D+fkPZSk1lg+2stdg2ckrJG49vkR4Nshdo2btFD3Wep9Uqg4
97b8MeTphjWezBSNng7erR+2QVv89MwUcTuRQEX3yZlDnpu/nEhpkrF95Cx8ci5qetcswYhmLDNi
/NqEhNxEZPdBdXaB5RLcppUaDmVWZMghs9dAM2ZlZoXoz+vqJ5OiypOvXIKdBI4FXG34jCAMfgkm
ryA5KU2XGfjUzeD07qNrsWou7LxGMKXVw2pK5tJmIX7pvcDOUrgrUKRfwVJdI8Up12Qd/ozcDjzf
KKN1m40CsCi4a2LVrU9m07m74M1O3TkYAKvqyV2Yue41KT7s/MppPzWTsWh088kqrQtqpk9NNPaf
DHjuEc/OLIQyDsXW09texkZA+CevSaQ8DV1cW5WbidPvSgY+COJ61qR//GL+1k6cbAhRzAgukNeF
Y+bJNQZkj9AlTbOdDb1nCYze/mKGRrfM5WhdhARaPpYic1exiXLyt13ADZv0Ea51syZu0NtqfY9y
/eNf6sx9Z7MxW6A9jIHvjrzQHVyABTLdgR0212E12ld5yLZxBND5RGDYtEMX+e3jMY0zRUxUCVR9
5lXbeXf2DQZrKv2ON7oGuksFIDChTYErIGu43nrkfy6YKSgnrXTtBVW4HOnJ4LwwjdXHv4g8s1bO
vnDkGAbHHPO0vK8jjQC8HmX4lmNJa2T2NUQynY5oq4lg5844+yZGjYzFihCtlCKyoWX0UaMq7G6B
E+mbEZr8M3gvIHvNpD+zLQae1jOlcEwB1Rw8a4sk/ycx3QuW7G5t2nG4Ritsriotb3ahrZz1EALj
doMLKNLyS0Kuyw2vLSa0kRfhKXRb70De4YvejsknB/Nz108HDA+6M3foTwtHlNvitG4k158mw5cQ
WdoOJlEEEU4LNx/f63NDIbxGa4Abnc/GyQaEppNS2fxZ8goZwrd0ZzffUCYHL0yDp4/H+v3cTt+0
uforOb3yGTw9/kNETNs+izgcdBaZkQ0NY8xek2lsfaDjq9xJjQsDSultMwgw90ILjqLRvKUp03Jb
5nq1//0L/S+n5xN8A8UXXfzx7Favzev/+fkb/HD9mv387/+6iup6/h8nmT9ZPf/8vX8gDq77L8py
tPsEnThOYDY/8h9Yj2f8C8GoBYqH+fYfTA//+h8sj/4vFjb8uJ6g3Gs7lvs3WB6yo9jT/Dmv6KLS
uDLYZErp0YjhF3lzJHBIfE2o5+6zGEuXE+Cp1EQNhHTKSndlNaHO8dAil00YTUAiyW+MbAcZimNw
MT5MfqsUXMxaABYjcwursTFilUp8MdxWkZmsHCqbL7gyCVckwDFqpws/csaWMLqZp4aW5spzAn3H
b8k3agw5Ll53YY6DNHZlC9cXok0VSpycMRWdOzXrBavYp7zR98Pt5MweUBmOW6cz/UNhDVggbbjm
l9BuORGgXyhf0WFMG1f3klXeanI/tlDsF3Zoanm5S8cyaKsvhj+12sEdiIBdjBqbth9EqQf2podz
Kx6B/AfROmuDAeIP7jTrJdS9Ec+P1xOefAHhO3Hlos8ImLhVwuGL5gR4ia5JigvdTUEvILhDI2dv
9DTJFDStINPdjai7RgcvTQt1b5jzfxlgX3OeB9DL+dZWZIyQ5RaxucEeniwhzDnByujdScI6TGyD
tvEis33dsbHIANifxuAGWH2xLvQpxQfgjGpO0lTu89QOjbbODWLZ+lw529aeqIkSn0jOTfXdilV3
7bgx8M1ED+QutaVxxP5VrHr8f8+UNeE5pdusyvQro3bTLaG6ZUXYIRs6W11UWb9RpipvEcALJkzp
6IuGzJ2lNnqgtTESPiSllZBnR73GSfNwSTwemd1ke/6ckbd3bg3XTnmDwuGieZswNyJsAmB7Ca3B
S0uxfBU5Vb4ncbA5mD7NKcNI78I0To4dOYk5/E/UBjnheZrR29Br8/3gjfc4zymRap5Xf7OIIrjL
6AGtBikjaKRobPS+yS6gZtbruiTyDr9O+lB0QKaVZoTbYCi873aQKGKN0dbcdpqtCAOnlMIhaNSv
vdEFT4eFVDtwuuVvjXquHyvcjZjpAJ9Lkd7HWile4BWUwRKk3fcIaeqj7fJSmb00N+zIzH1A5g31
hiHbV7L/6bOpfZ2ItF57JXL8RRcGzSvZxOt4ipAKhr25SMr+ojND6yYlWnojAUhkCzvwgeUHZrIv
OCaTu+Bg2RKtS4pmTia3IJzbi5MUVuroLVuzwFPbFsGN7K1il5D/e9GH2DVh4U+EFpUWJZrQuG67
Mn5WeRi/8ETT7TC08qItpnTX5nl5nXCa+F4GDZYbvwqcQ1TJ6RawUHeZNQqDaQTelQRcgI1j3GQA
sjTJsiKH6AphrDx6k26juuKV2KVD5Wvwr6LokNuBvGkJILrswFo94XMmRlhSoSAPvYuumjBR9/A8
+jm1oTzIBOedNkTeC2fP+LHq7OYCzT27lKF1YqwRziQ2RhZmWBE8f895pN+ymwlWeuy5m0p11i+r
q9QW1d34NMQksgQelr+kJK2H9Ao8OfmKkp++6D3CT4w82AuvvBiRwC99D2JXYrY/2hz0uUzol+oU
XMkCKouVQf7ptsJduhEhHq9psNW30rfaC51smg0Qwmhp52Z/jAtLXYcUNndF1cqjP/bjc1tE03fL
N7ojN8S/GYqyfZqckVgcs89WvCfNqsiGeNenJuBIM7bxgrZF8kBNLd3y2HlbtLmY5CTlD6nZzXZy
4YkhqtJJuLQHc6GyqoEf0eUCCxO0iVhg73ZrS/yaBIHyC90mInXUR/zHwrgvQZ1fhX52W3aNdy0K
ETxTrUhhuntqM8hR6xZELZIlEyX6ldck3rVWZOIINIYYMIOe/WVRGKQppMNNqtoSojYv6gFAubma
TC/DMNU3wz5KjOBQFjG+TBdULzcjv2pB7HuOZKnJ0/xCs634IOBSfLHHzBJLvdGweil7/B7GPb4m
2A1AP9s6jnf1WKtvpLauBz3GPzwk3tpHBPA1bsnMSkE+bxVV63sSFuq7ADvLNWhfpNKtmmBmjIl6
qPPWux4sktG6utReSYfQ+aIRA5NGBUnhvD3OZd7344+ZgDqSFq8s3KVWf9CCrNv6gOCvu6aSB4Hf
ZONGSj32pB/cDiQ0rUazm7ZkPYZHvmzli+21xTe3yZ1fYzRDYu2mJgbKC3708FXWZjTR7YTk1hdu
ezHip1pR5myWkEpwdHtare1dbD7Q3+q0e4UCYKTLTvQyXdqTFh9mUcIj3YBmDfG+2HNKjoD42nHy
C2+j2nDOVk9uANNiTRh49k0GgbvN1eBftYbvXnQuFqsU5uM+9NwdogqRLkbB922Rgiy+blD73sRu
Vl8lBjgGEkYLpBZac+U3GugKM7Gu+5RwN63L2ydOqzb5IhzsCYQnBA2DWt8ey6Am6BoEwk8dX3BL
yFfE59rjHoPFaLT7MLTsFxXRvh5gXpuEFKBkmxdtWrvT5FO01d3ixklyeU1BCokdom2IcymGxNi3
3K0Dj2aeE30kl8LTFGkENF0HUq1eE50UZZ3EdbOtiystyK0vbhBAStAHedkTu8wyOIpbjtL6MvDz
q/kBHhTGl+3UtMsO7DlBx0pctW4DpQacGxScvLgtsDY8OG6D39fR0o1ShbXVQLjT1rXhDNl8HNME
/gdhk+V+nPT6SCKlCXu9wo1uNPg+277zvhhWDK1Q1WJDejdaQT8OzWUGROA28RWGVtENHvia3Nn2
tOeWvS4vXb/qeeyAE67wHlw1pj0cvEa4awP2+s8QJkIDI6v3dn6jyHYBwoGwrCbVxh/rW3JKStQK
pdrFoRC7gaLzcrIibdn3kzdtfaNyntgLCOB9Xjxi3JTOL/wp7UtWuNYGkvizpVJnrcXeUQqgBVyf
PrNFe8o3giUPiweJsIe+rLS9nYsayoNpVz4fbTV9j8oqU4s68vuDaCEGF3zeaPYETE1i/7I4sW59
9qYbg/7gRWsnJjh3t3LilUS0Fi8HFuFrCbJmVavqkTNOdtP11GVBauvmlu9dvulMHMlpo40bjYTq
nShS98YxAFPAQ4te2KDZZBvEIKrU6O8IJfCBACQe/nGjMpI9ce7Gkpmd3oKB7sIlpuyY2BYdWlAO
7R6FTNLf2RWw4X6S/d7Wx/ymSVTPeyLtisnhkThaTeEa6ZbYJjrLChVfNtMQEAjOaYTef+n0NHjQ
kyJ9MAV7QNyCINUtX6kbMhS9i4nAOSLiLH+vO2WbLQI9JkY0IcoGn1zn76O2q6bVEMj4EDcemeKI
P6OWLaZX7DJFbONPmcVO7cGybUbD5ciu3Eu/g14+NG6FczBUR1ur5ZVpVuO1pypj5SVRsGwC0vHC
vJ+g/jbB82S7F7Fp3wc2jsZWRNd5ZOHml+YhA1H8NUJevqhGKnOQE/Au4jR8JhtR7Ee0aouuD+VK
tbBxSjm9VuH4LXK0o1tSKPbCzl6lkxEuahXpGDfzfkvSkLlMrHQ5cES4iFIjW6f0EnksctOOrrn0
YMasZMrmBpv0DXHj8qq2zBejNjF2dlgkgyRJV0niVoALU25M1nuLNENh7UpJyoVj5ocgVHKTt+6G
jNbx4EbdTUjt4BFGY0raylDAtLDziggeARFBG6Yl8YiEsRE0Adog25K/2JP4G8uXEdXcNoY7s4Sr
sfV8y7kZ7DBZlnaeXOVMv1eNAq9wLP8+a2p7VxLXfbBErWNdT6NVF8ByntyKz1wdRvsIAeNmrJtp
Wda+tRzNtl+UBLtc51rKlz2JxxtL5+JoHQGmaTLOCWXVLO3S+Uwnelqj9jiU0iPCxESP5X0TIvRN
gsRbN9rH9FRnxqnjH6rJZZW2Wjg0UFrUd0p4bs4nG0LqH0fm23+fPz9i/M2DEyCIYNu1aIWeuv4m
gPHEuJTR3hiK6vsU0x0koyi8oU+b3H081FyleXsA5jzj8s98+nWxiJ4cgFUU20OYMVQpVL7mHQFl
kY9B8fPjcd5VcLgmxBsgeg1Bfqx9qkMDWTSa2A2CfVv64yakF7m320GsU0JCb1WVAEEhPUsnJsrM
Xksn4ETdT0F4gwpvPlz7Ib/dx7/S+0c8d1N+t5znRsRpv6PVG8qxnDL20GinKz2rxq2Me07QpNOR
paST7vR9aDueM3SVf0sN/7d+9En9iIc/q/P/H4ryXf1o+7Ooggjp1b+LSvsf//1f//yd/9SO9H/N
FGXPdGbBOK8nj/Wf2pFr/cvWPaTWpE9Le+4f/n9KSHL2FFH6IcwPre/fVJCok5y+QDNrmh+Gbhjd
iWVTq/qzgkTcXu76hZuS7hi89EkImgbG1xrJwTNVyy9Vp+1yvVXPbmY84y03Nq0zUkXuDs3ouOtJ
U2Iv+2zc12BKFhQprD0bznRbjTrpsVApllAcql+jz4eiCB13Vbi1fqkFafkV4rR+p4lRbKcZr88X
gWWTo+TGp7CwbgPnDqe+e0uQBFtDdhB5T7xTg6qfWAeFfQZn/GrsTYz0TbVUXXYz1nSBysYkMDUF
bo535ki6nrUqnN5ZGmPf3s8glmUwDkhRIlLOTM048um3tnUTPNkmKbF0rNKtk6XhVaNHxkUs+Z10
PY9uDbuu1hZ1hFtXOmzv08d2YD8lh2kxKtvaZU73WrQGgljZ9avKLIdvEfjoi6TnMykJAlmUqbK3
Vk3GVWVW7P/ysV72hMtQe5c/GiT8G7MV/gp/AvZop30V3UiSYNMdYi/JNnCJ+1U85RHb2DxYe0RC
9qGT3wEk2jTpuJkK7cYfSSBqNTXsSun1i8EpjDuvFOlz01nlk9XFm8zrj6gIs7sEH8olULcKhKHr
JNSn2vSqwkjYkw7W6UuVq+S5nYromMjQ3Mtaa5bg/PhqlkFXfVFSQyKBcOTCTMYJDEBmVeizbXXp
h2V0XRVp/+x7ov7Bquo9DhmnbHTPWDHw8rqXYedl67pPzL1qU/fo9D3BnHglArB9sHca6ZYvThTT
OI8xfD3mCZ0PdjreVofMeG3mYP2AJKRFsgn0kpwUJcjGiCTQx8gTLWzRuahZizKH3e374DgKPT8o
bWoVSae5wyYrTXqSx4osutaborgYUdFtRO/EXx1BrQjiDdUJS0T+Y0zI3hdX+tl6yKLiiwH97lpC
5rsw+9i7pGwQfy1LnzWXjKoowFwyGWx8cWc2uhxuSVKIrtuGWgdONnNYU3nm+fUZdtum99OFFXHs
qZRrvipdgtGLRv1b1Tpyr0nZEt9Q4/8MqoL/BlbrLTdQW3bDGLHv0nXjnoZwfoCKF20d0Y7tSoeb
diuoKz5aZO0kO6vuuHgFmPLOSclpxnWmD3eJ3RYXdWER0SRHnkPppvxAoxlCtU6pfJBPTWrDAHj0
hTCJaBsR1egsqCC5K3KPa3vhzD1A4i2i61GZ9Y9ITd3WaGX50xqq4dZvC+KO5t8s9uPS3ZAAy49P
sZIdg4mkt8iqLHsp/dA9mgNzENxM9isFFnjIrby9r2MTUpo96+tAx44rWkHjHVmyzYNDwt+vNPVj
sbc6FpEVLMcRfA/1mrg346+/ZxoIeEYDvwLBxRhxD0RDjyXO9IqbvsSZsCA3pSWdWaWPxNKJp54I
X4J0M9M5Vhzn9kXiD3fGQMRHVYE2F0HrmLRseKhty65Ty3DvLYQPYyklZ/AH9E620nphE2ZjjxfK
N8Sdr8fuXa+0bB0yI0k09yz/K545tejhxKFk8wd+UOcyooPweZMGofYFrFe3ney4+KIC4OEFgPH1
76dFyGHxJQrGGgNY4iNvRO1DFx7+7uXomNYlXVl2zfRwodzYAT++7cdg6aQDs37ij8h1X9iqjEuh
MLqSgXpd5+F1B6ef/fx9p4Ji0VnF1zxySYWwiQB1r0TT3uh9cBt2MzS3CXdZXP2yeu/CkwUuYJpS
uXDuoAxTwAy3jT09BlVtryx9cC+pl7LQ+dY6qUFMlWOxJHW8uGv4jrULIYt2a0SGfQcP5gGImXFt
d6zhieGCknFKSQZQbi6jjGzgwVv1Q7zCknaA3+TfGo023BiDiDduEYCaQxQebu0iiReu15nrsUzI
kC3BJHcdqPnGTVS40irjR44csVPiJ2bp4kKFUXkRT229zgXBXlJY3yuj2eWudcTfkoIDa+UN0ET/
BUL1c62538e2IAQnr7NN2nHOz8a8W2uZHFdxPeH/FJWARWrbxZcW6saSFIPpB2TlpZhC9tkTSK2y
IYM8bssDVT12Z01IhObEA45sYzMoktHjfkwuaQc82CPxco6HsXoYs72OiB/Rt0pWutuW6yFPfIIC
2kMZUP3QCJNSOslfQ17otEp05/B/2Tuz3ciRLNt+ERMcjBNwcR9I+jxIckkxvRCSQkHSONM4f/1d
npXZXVkX3dX10G8FFAoIZAySy91o5+y91+544+8kuIDIxnupg2cMNWbzwVh+WUtzazLP/cxMShPE
1Oo/XEdj1ZnnL72h5NuyaNaGzzr2T6bLUB8oromVz7bep8QrGNeV8wDfPiFPKNKBTX4xXOsIfP5z
W6qf6QLzQa9odJ7TDgCQlYxZH9Idxw68WrthwyCJ3GQ41FRP+RNvq27DptKgCG8Rm8kcqjosB2Ad
OevbSCj2ksowm0/2mvlmLRlCSctS2d28DXRLRBhL/Ega4zc9RuLWa572vtnelzXDhy70721q7bAy
xXSlNUsA+pFuW2vKsaza2qUT9mu8VDpLXBohZFYl38g5UlumLCQV3TtP9HFuuCR4PwVonptrZ8Yr
3Nb7HQJyOiswZyEpEE92MJq0NMJIkq/SHfJAKFF+KuoRPvuuK45+RxFYlag4qkdt3PJMn7a54s8m
JBxQ0fWrG8v6CZvzHDHLcrMCuBuwZvGuzdhMP6iALn5MWNevoKHrkJzCEkDqXqOCTxEneZ8NbphW
UJriHH4vxUIyOaOn5MZRmTGUk1StztX02wEsVVvqfCSSL70zaw+OQSVfbpkzBeN1rd8VANwmuRzO
rt1RL29UQKDq1m5Aga0Tj0FCxtca1s9R3N2WlIkDn1Zt/MVvs/425UzRm1W1CDm9X2nXHmjsgZtC
vjP0ut1kcxGHdDfUdyvH/KsqTfMBAHL/OnXZtG9St/3qtPS3FZyFEQYhEE7uxJZNUKDNvuWQl9zC
ynHUjnrNAQZEq4VNb6uQsRlaGyjpbZ0ZNNe3RbtbRPHuKki1qounh9zR9EsXswUorLrbtSaVJMOU
g0lqustcy63QtB1jmhMW3vpddqCcqC4mnoKjs6MwIweOliLTsJjrw7rLxW5FYp0z1MqOnVJAhaG1
tQs1Pq45d7x8rBVPrtF7WCBPPLdgyPYejRjfLbbvRtWozwmxNmidpd9ChE62QxE3UB9ZS3ddlkVD
B9fqHpQIiAveeILWD5VLOrbxhwVr5GR/sZp5N+NXjYBGPi94K69zZmJL8jy5Wypj50yZovUP3ONY
J5/tzDjY88gb27rYjPid2arP85EFE2RIqeLD1MZnbPM3WI1sp6lsYq/pzKdYeqnfRxABkbIca735
OaercXIHzcnGjWzSwmh2eTnJ5AmjI+VK5qAmFoVqElD+fE1LeCQkrc6ey9fphArdiZzHYeb+C46K
qwrlkEmZ25tFSYqqvMYEgwy2jjJznttDHZVIEqjNwGvRCIhGj5B0LHz4+3vl71yKJ033xy2A2CFM
2LA8x+66boxlVddEUtYlR1tcenv91q6YxNbGuWV+Tcsc0NgbqDAWub4tIZE29js1pAsySrW+G8ro
L1PpatvMGD8Jf5ubyTbHizeOVuR6rkCOYPqhJ1s9+hDOz5PrtLeEq8rGjFktsSn7gfUD3iHY/Lep
h6SUaZ2weN7Hx5JiPrhOuh7mraKyfMzmEH0t5VF5V+d6ke0wqrz4GlKqnUN3BZ8NsUj+dE3KXAS6
z9UB9A6z+YO+dRXFfeYfl4RS3Q0wSC79ydL177qY+p9ubsvzNFWKe7wSe4sG1kMn/WcdLJAeQDdd
tSgf+/zAGp5oJhaU5Syyjhqyoly/FvCkLyotPxhAgczXJsJPMPWrfVqqGCG3Sj/asuSpr7XlT3d0
7mdW3PfbocrGbWfo3XeuL86GqPt862N/DbkD3axM2g+WpIctMMzCOurCb/EVrHzSkOC+OMM0nFrQ
3ue1GD16YkAbPuQI3TaLNSt9Z5tOd2dMDmp7VwFynoPdfSuZeTX3gML3fnqJzsExJrZxyyBGfO07
F8+CVVbva1oDs6Rp4l6fXBFjCgedgHvFpX9jG6tHRzgcS8XBuPGM9ZAtcQUCniELKS+/Zskwfcfi
QBtZ61JOZFcpCpeUWPlN/nHQs1xKZO2lDL6Z378QcuoStI26rVa4atyeoZOHczZRQxZZis1m16rx
V6pK/E34jvcdu+b9rFWf+d2TrkAoMj6qM5hByNBJ592cUh8fk7Rvbpb01ygH0B+sUmjk42rqbWKL
jlLfi1Gxs1cGvzhy/ZSonSy9A9aw5I8A/7+3Pv9k60Mu02Nv8l9vfS51hZv4L1ufP/7MH1sf7EK/
6VgMsZthJTX8ezbnj60P2ax79RcpdIecA5t2PDx/GIeE/xsAEv6TiZ/cxrbOQugPI5EQv1mOIEnG
mwqSggPB5F/ofYHf+dc10H3XgkWb/1lslMgs/oMbrqGL14zjJX1wm8Y3wkIrqZ+fUtMObQrMl72L
ExD4cp6kMuOe2FwSs9Coh03Sn4peJpjOkN6b0NPTdj6ka1sy8GN9/1g7k1GG+YKahrJZznWbd8XX
jBDXuVar/lNayewHBsc/aETQEUtUahy5OxiT9avb9655gP0/jsfZyrqJFQVnXkqFBZ6NexVevjj5
pWHbFhpD3Af2op1xJTZZ0DUeWGxZrdwYl+7HOJhw8anDPIhxxgSwYNX+hMk1wCy7uz35EKXmBr+R
nYbCSbMLduvpgLTp7jUSX4exLmUTMB7P8HO1nSkHM6pNnwGS8qtUA/wflgl4ahrWV/l1tlUTWszE
0bDM59SnLXUvVzQpmqVyI+4pJCsk0j4IdwqFjYoFMdJWp5AqYjYImE0Fr7K+DsZjZmb2EZS8elTN
JJ3TZLj2B6/IcsqVL+PuhSTqeug77s3i5HbJTPV2ZwSNmJy52XUeT+uNiafwUktRZKLAWLmQyay2
Du4CqtAnkaa9ted0pclgZshsxsE9YTmqOo5vnoqGie0opas0HSk/7GbSNUaZG/6I0kuKkq7l2QBG
QNeVp7luQ0kpWs5omcZNKXocCszM80+fshL5y5eGYhOoo3NfzYowi/HslrGxdfrMrVVAy6r7rZkK
Bpu2hN45oQMdHdqpeaG6PMZ1W1Akkwm/ssAc5U+GUTNJZEC8wYlODyRVcTRkmeRtOed1xEyIVR23
0dGTLDSTRF+3awbsNq/TByNreEI5g8iiWCtMFkeowPCq++Toeb0rMF7yaocmgO093qARABGe6AOm
926LsKrearMpPkwgfBayjnJsjva7pciLvSJIcOjy4Aejf1QsegJhJQUqFmW9e1ENP1Ipxp7Lt7Af
7zlUG0WqSYhQCf2USMGqb7a13WiBunb55y4YupqdsRrzU1X3BlbenE4mYfCsKFtvGgLwhvkJVbKd
7nSYMfJyp7oXkdrXrGdbEsx9Ic4OhZzHCmGVx4eO1D6kb3yNTNN6yW6jSK5OqpBaB+Gc2U4r8lZ5
/CPtUp9MHvudRlpik8NSPw6G27wy/V7pn7Gf7u/sB6xteuTqFijt1ris0l0ob2t6uipgo97J8zQ2
WI3+qyZh/FDbefItoeju1LWCMN6YF3tVOE2wZE6yk3LMd3GmiCO2jfppTkQPG6fznxPBVcOxPPNM
xfmX1dQfKktSTK7FzpmWTxt9qaVBmTvoV7utQQ1LMMjnObPM74BYcfcMy1qjyBS6dcMNP2AJUtYv
zfVSsOS8Gtt8Bcc/9MUHSRo/7DLMXJE2LK3Pxd4RzzQdUtljumP9IbwlebGlgExb55393pdgcypf
Kf6ORjvgxDJZlTZa0A5jcZh0pz7mc1sC1JHU0o5y3lpV4u1nm9Dl1FSjFwxMb9vepqs6cIc+Oxl+
OrzgLLjf+Mb8Rc3tE2/r+kYl0dmfWKLZeezvaVpqKOWwqOP2Oi3zAyIh3k9o3+mjX3gZ/Vp19dPN
dB9W+wJEuSmhK2yWWuh4hIxD7MhbX3beYbHGOcp5dz8bWt2UaP+LiWnEikMufq+eTtHCMtsJ5eFu
m11lMXKyD7r1A+I7OQwa4KN5AuQXzbpj03E9+ZFlNOuNOuUsFG43fc1T0h22JeuLWTQAcUZ3/tBm
NimjafW/ElaxyMU07dVFqnazMK1vXMjLh9XI/IcR+vrjAmR2S49d/2h2XXMiS6nfEetrjo0IOMy2
rhW9uXWrv3mkJiLBxHrjklT34YJ0HaZy0AKo5ckv6nn0fTVW7ncLb7wGGKjzGRCwX6T9MjqBl6RT
VNWc/MD3tMD1RuditmtCQY/Gej4xzFfut83Jm+z0WNNu9NhCP476Vh95Zf10+YSI3j+TdW1l2Jpx
GinmeLoOjTtfem6dwDBQ1VcaboZQmO0nPcLWBpHUJ2Vr1heAAzJkJOzOa1VPTwUFBExL/qUdycUH
7kIh0MGCsX1JdaONmIXlD+ZP80USeLq4jbc865NBSZLmpP5N+HO/Hz08WvUcZ3hwYlarI+W4D93Y
5F9L3DpfE6/qHism0S9NHmenYYZpnOJRfTXYGW7ANjBZduNCJ1DfYi+rVEofcKtjxWG90x+qYqXW
IHGHV0HydqGZSlWRhhUodGxRb1o91R9bfK/WxkVjOlbwK/uwzKeFHpylzFnxGubGI5DL69hP38Ts
0ms4pg7NZSV+DdnG6/G+MPww+fu1sI4RYpI+nUJH6v7XZbXVXhcrD3oPiapgYlTZltnRObv4u19i
d+zoT7Y7qseT2MtE5E3zeWgBZ2MaHaq/Jbj/fTn+Z5djC4vzf3c5vn6Obz//ejf+2x/5825scDdm
P0rO3vtbxe1/3o3vKag/L8Mml2HXQhs1xe8NidzI/3TVU57LDRY8jMf1Gbij869chnHx/8Nl2CHG
zT+Duk4VrPn/mQrSXswj2S/r4sbK/YLGaHNKGlrHTrfQoyUt2zaam/qI9aE1gtpox43OeLuZWMTv
BuiGZzvWB/MbPQL5tXaLLj21M0/00Gza2WbVI5Yv1ijGb31edhG7ghV2P+ze0B89VigNqEPap7DR
71jnG7fBUvX3aozHBzrQYkjj8Ox57q+du9Lu003brIQt5XaypNSMJTab8KXfOT5fYtCkkmL4hO5y
vF0LmpRYFhegyozDfY/ZYYUSnkv9XQ54yoJiyfOfLbLtQ5ZAJsfkW84PlN9gbWQtzvdeNuU9tz9n
uXuol05wpTIGLpqK2zgVgoq14XHw0KHa1KZAJoEPThNeuczY8/kC0c3iVSOSzxbBejI9GN6+kMlt
lTkcmAJ1UbpFH01pyYc6VvVd2+ncPVV6FYVZol6TfTb3RBNoquCkEd3cNxcrN1/7pundtcHzrtd9
u6e+Kxt2ZWwmlrvD9HJHNHaZvurRTCkw+9+cSqyrRXEgsXGOfu0glFGzxm0AwSM7OhA7q3yTeYVW
zF/J1wpl3UYW1EHHDIURCbD1OF/zdmRHThAs63x8PklHwxwW8QRdmLRDEtpaKmPuR4tG61ht0PRm
E27its/VwO3PStfGNGJTdidq6moy4pPZpUUMOFON9zeOCy0Byxrm6xnocpCXzlQgvPfD0MCjXErZ
U/DaKTVOaxnkkzkp41vCIGOu3+eMuHP3s5/avqSULF/XIn76/VP87wPvnx149+DPf3fgXbKq+lR1
/9cz729/6k8XiP+bwK3mMtX7FvQnHd/Snwki9zdIP6DUPLg4f4SL/jwC/d/gq9zdH/fQPL3ff7cP
sH67Y93t36n1wMYAH/8L+wCmuHty6O+MVQB/XZJqbDY5BUlu/w4o/jvYgIWPsoSboJ8qXaMIeaBj
iqbuGXkAcq4xN5tcWCzuuT3S8TjDAqFNoOktSg4KzGwlHrCgoR7qMi8x8ivdPnL9Oq+FoBLaR+uP
eK++J56ZvJY4/sMsceyvoxA9HljueSt5xXib1RIOTw3z9JKwBEZgc2a/2WkyhXHXy+rkypnUw0wh
ZNdb79ok4uWkqxaXsnDM/jxKX1SvVh4P7lmtLYbgoXAmdmuitO71mAAusbSyinVqbOIYd9dFQYtE
p4msTufi6FrDd9BEE6aYYSy1S25lNkcu2k6zzfnZPnMmlqjZaJw56dA4ezXSBYJ/Cq6JGUKOzkGQ
0/zpdnX77GDvOCi3T3fmLGli9JcN3YmIsjoetmBECd1JM3tZcit/dCTy0J7fYl0WV8Zl1LP+oEzO
AmyChmVtekN7wz87B9zPy+nuddHCtfKtTeubPpKnx7V0RV2xN6vQ1M3QC/sy/h6F6AfXOAxYTetT
v/rxl7X03Ofm7m/s+sX0Dl3cWxr6ZmMXp0IJxZDVxfLbOHXpRrNMN8Sf7/IaNCOnGFK249fFidgQ
r+VQQqM3HRWz+V+W6dQPqEGhljTpxs2c9UbOSWT6Lqbub58b3Mr6jhS12U+Ee6eVcdej15t2i5a5
dInjvSCP8K1ZrQUNVmnri1+4hQj6BCFlLzTdK74AcRqq1wRznKtvhkqYs7ah7IJhbGcOctHVIU3s
CsqwLFDy3jDndgk/OZqsbAgim1LxSG4bcaW/bkIeiRlh/co4ZONKD03sbPxUIAvn9STvxoV7gIBB
jpaVnmRur7zgjglmcWub06agwyXsUDOCSnNfch7zhB0OpNMu9r1na53WgMrgq2jXFmQKdVAzrb04
4LeVk6tXTUufZhAsQcc/s03WGbF5XL4b+kTdo5vF23jkck9dzqGlEmqzOq08t6WmHxpb5Ns+bs2j
T3o3yJVBJIrHDmDlOaOCrai3k1dnJ61Y1oPe8tE0ncJ8pbzwR9Vjxm0NJjuZ9looKEbZ1hU7tyPG
UnlQ2fTe1WiZ5ACTE3DuIVrXEvcSKSnaD9FCKYgXGGfzXGujrNSqMGk1YiiNIVN82OknPotv7own
yo/rhqCUjnEFDyUSs/CmCF0rOVc2OzOVgWVp4d31mYZGgKCHumrHoeik8chXL0+SxR5rHp72BzaY
w2dTNEvkUbu0dfmw7ZE1ohwDAYrr2u/rtj1Uk41JqbhRF3tejXjn43K998u+sLDa1bryj24y3ZSf
HRg1zcjTl00iefUTSM3eKF5V2+68Zb5Iil8C3x7mbdcUVFfGK6nrWHxBF8vupTsqMsrisxB6R5Pa
RHqCkq/nTAOs0RpG6PeOCtre5hDMvIu4V0HKkmUEYo+BhGCKJ0omq0053yvo/XHivdWQ8+fn4exM
VeJtT/1h73XFBzmiLGipZjhSFkcKp6PhAtqyvCLVyf2AThLxqTCe0JKfRkqVNI9vaq2r6+wJ+Yas
Y4X5ELvcXKTSTk1jiltmts6xbrAk8APrts3c+N/dNv1GE/OIYWf+lfalsU9cBSU9I0kHcBKMkxb7
x2FhalUc60+9hVkeHco/5NK9xU73NJGK3HJMeKdaatjuKIDsv3KuDJE5uvEYNFYvr9IcxrDt836n
84PaIhQPVzux05s1z/6lm/Xb2mk9DZqUqiU4uKU/PDASEqxoqTSVDfavSt0UHRu8QmkQD7rcSiu3
+PJq8ZaK7IprjadDCyKbVeUuk/1LUeXO1sTA8zzl06XR0HhnmsxeCVS82omfBYU2vqnV/+Yk5sEc
SL00xtAAkyoYic1pC2TsUDty55sy5lVsxfW+c9sRaPioKILa2ET97sSMlwaeLG/gHHZFmRbjyW4n
/Zoa1m3wm3Oh0i9kSdbALNYN5oUF2bTZOJr/Az+SCi1hh/n9LG0079FT1k5lcr7N/OgQhNgqhByj
3o88ToxvBZ0SUWe5fNQ0LECspi7uwk6lzY/QrPutPbbmqXOkF7QjyzFib3Ua5kvh7Yp5WA9p3e9h
OBzHLM53fYFvmQBdQ/xA2/IwK8I19t3Amwh6sZ4cxAedhD0HNnTeK+kX8ZSWqFCr27WXYiBuskwj
bbXSTt8B24oQSZjlW8szYSpeDTHuUQ8v/oiRBB3L35gsSejWvraZW36McwXce/km3Rydmu/HYXub
h1AystO4WAejY0Up0hgGeoJ5hngXLBRqdlu262tqnOzMTrZYWFDJh8T6HtcDaplu4DjUOupXN17O
yTSWVvWYaCOR1Lrjht/zXGsyEEdLzYBiGAapnaEZzmZSxWFmmg0bMD0LYkt7TbXp/niekqh2/EDz
SEfp8J00sm0PetKwPMNqL5IMOIIcbpXUvIOv8vXIwPcqZr15h1BGiWFcUjC9pQnXurfaGiDrBAns
cc9z1tyQ0PtA93g0UjcLezH1N2VXj7jTtLDN6d5aqNPKwSCozuq2w8xKsV2drwi8xQuj2NHUjH5j
8O1FZlW0PzhexX4ylvjtLjqgY8fdAbi+uZE1ji2ncKjapJuQTYzgm1Xjd58A1abSPe1C51f+pfFZ
WpP48n45UDyj4e4FsVOreKs9d3l2J80J8sH7buU2qQmvdL8wqGQRq1idDWkqX6qk0oN50u/oDNAU
ljXX0SzuHyJ+YDKwZivfth55Eenz5SWdKjel/Nl0+fuia+7N96vxq6WYqf0hvRZ6bkcL8Blq6BuD
NWoG2TBcG7wqjd4VJ7Wu9V5iz+OOUCUXFOZ9n8d5qEHh3wyDz9q0xNPFcZsOT5SdefsV5f6rtvp7
unTml1Eh/9Dwy7bSX/PsXPX9zzb3PjidiYHhnGZcj4dXlvcnp7L8XeN3S2Rjs9/EjcMDAjROBK9k
DFOacyoCftK8VuSUQ+DF7RnFA/djr5ZzKYhwTbUxR27afhQJfHBavjPjsWlG45kDUs0bJCPcK04/
pcVO4B7aCgZ7Hl5Kq763+I9OCV3w24K74Bd96qwlxLftse4Ti0XfsmW8V4XtvNO9mAbteq8qJnUQ
aEbBhWHgNTfvDsgV5y8X4PHoDqsWZIMeVZb5gAVEsJ+Yqm6gy9QvopKbR5gSrElScD1GOaWnbpjc
LZHn5JnKyb4jqkbNdFmNX1CKDo45/axjx9m1DQS1sm9wcMMyOcRVTQH0bJPgEfqOn9qR1TmWrWxs
oqJGwZ/F8GPEs41prhlo6oytyC7qmOB2y/Mvr/epIIS3xE1PztjApt6bIkg7OR4rfaJU1rrKVFqv
GbG0XdGQc8rSsj7htCvBuvnPy5ri3aPkDwut2OnG+1CkXJhkXFNFEb8azOxB0ZqoQMKKnLSBfGh3
RLMkcRlnqTZuC4+o4n1Xdgh2yLtGWEMeCDOB0lLMLccJCg7NOrjW7pmuNU9/gBU4O1zwt7rHS1z6
zetcV/UGLH6D5bc8TU6Gg9DwyohRRfL20ASikdvwTCzqQ12Lmw9Zdkeg+qOohte6WewHzaEsHkso
12V72c4TRsmu6aNGLJQCNnZ30boZC8YK74D2G6r+irJ8nXv2zvTH8ahbqA6SBkttTJyhTG0N96Ks
KWYs11eSofOWiKYfZnWcEXkzIkrXKV3OeJfPhYNeAEbRmb341TWKc5sO4toJvw+HtvrF5VdBVVAb
Q651mGo4d2YxPsypSsEXDeVrh5YZFWJI4AxUPlk6Ljtm6yG8arK45AmHyzLhcPd1ItWOF7/rqoPG
R5vGDq1rfmoXTDm+cgz0P5dbj9H4D3ojr9W8DFeTXXRZU026qi4PUqEvV1P6Rw04Noze2grdcRyx
VbrTGd/+z5p5ozC076a3viWNs3MNNRB65zFsynw7Fesh9vKRVIO2K9JfmtdiI3bIK2CTbPYo14/U
dZyqOeV4pHQ9HMZM36KXY6I1Owu71bgza4J1lpQnuqV4gEr9qOfeq+2mIISy9W12h494SN7rOuf9
U1tPQ39x6/i1Hlfqr+cq+aFpeEoHURxwMq8h+6vz6nvf2JRFne/Xu5yHY0ChdnONY3xTWqUbZyGa
JzlxO9OUxOk3rCoLiGHq1zyuJ65n2uNAX5HH/mheeSTgmkNuHjkadK1Jt5AE1aHjHfxj6dJP6+6M
t+IJDc8yFelsUcAXTO3ye1FLQJZZZpTAmk0cb3NtFVzw6s6NzLSrnqbeRHDQMBbq0skJ1WFACVH/
9DSs8775bk5GhrluRCu1m/Z1GrziMI7peOBWnR98SqF3aLti2yxrcpr0wdlSVPeydIBXwYw9+N4g
H6tMM37ZmRpOa5o5x8aiExAfQH4calJZ9iS6F1ERgPc6840ZXl7ySjDgJ/rDuiZjOKo6OVuza4UD
AJeLQY/cpl2hrVr1DOeK4tLt6Apt2/skVTrSr7FVVbuxskSUzBgiSqo4KRvu76WOixZUFg1MAtC+
g0C6wV0QY6/snbvG/u6Vgx+UpvvmJgWvGJfaC0LLHQq4HKCXwsidxqtR1lwrVOryLPZ/YATJ8Le6
ViRL1HatQUgR3CsxDfDXK39ivcuQRVknb1e4HcCSwE7S+VyTQ9hidSoO3BsPblnJsCjKcXuHH204
zfFJlHa1IcC8k0BJGaa82yA1sWMUZuNizfL7mPvUiMZCzy88qnkKTUwL10X5J9hsHsAEKSIzRp+h
LCTURsaPGv3p5C5KB2FRZHuV07qLPAdipVf6iRxtD8zD+tWuwwX+fxfcZwtzza4EN+INSlz5KDt+
jGBnAhIu5sYoCvIukwbcpc76KG897YSxHwdEaZKYLS+J436pPV/tuF+34Xy3Dap53laGvqM2aCQn
jHmjgYuKTYWkkOYNZpBl/edaN09O3V+WBuN4R5J/RZBiy3CvbbYq0tl4VaY+5dvDHeJYKtTTmVPZ
1uM9DDSaWPLG5tKCeZdPajjcYWz60HNGArGlrWB8H11JJNYGBd4+zn0NFIF1eMQIeeKI/gJYrCLa
M28YtXgnGxBw+lEh1huZfmV7bu4Io7JGWXnoit46dI0BdwM+AI7NdSSm0bZG5TPorNXXVmisTaZp
gj9TGC+cnTeTfAffEQ6F/PfSc28Kk45xsNfQ+tcmGNgIREacTceUZoLAFtU79jf/SSYaP0jPpvEF
r7wzW2i9hniknwHtoTFMlvn6lsYFNxC0BwNFq20tcvDpYlp05UsZp5+e0V7Vap5yz3kDiLRtirfe
KHdD7/1CNKTr2csWuDWrDFXpR62sMOQ0MiLr8Kvp7+q2lv9IWy3dtAJiEcCGMDfpey5Wj13JKv0k
qip2AamBs4JTCwygfOxSDuhQDZ0zh40u3IdyGM2jxp2+CeaEmolpZCgn4NDxm3iSNyPJAF9vWohF
eFqitHeDqXVODY7WTrdREmdUkzkvhi1bnIRWEyxBeHDclif00g5nYKHdTiiz8AOobd0hK9r40eNU
I0msjM5muZ62qRfM3Mj7F004JdF3TxFZ74iXd6FlpKzaHGaEhePDHLKtFL7RmgGAm8XGAtwlg7bo
5wFE2bvKZzfvz7FBRppo1v/Kvp4E4x2Fpf7PXQj44HLBOZf2//evv1R/+3XyWd8TkH/5xeZ3mtbT
8Nktt081FPxR/qI/fuf/9D/+EZ/8J5t4y9LvmK3/2pf38nnfxKvPz7/PY/7xp/7cxAPssmEMMxPd
l+b/sYXXf7MMaAhgMO8lbvz/fwiRlvOb4/FoQGsEAqaD//pPIVL85nuWQ++gDz3z3rDwr2zhhfsP
QqSgstVHRCQvijnQhw7Jkv7vlvAuuB0tBTp80EY2e82OFQr1sHeaNOiaviSozP0Ek/AZUucSlqpd
IvR/a+cmsbtvS8EEa8eMV0gJxlW1EADmXM+pvNdx2yeOskPGiE3JI+UbeylUzQXg2ZufsAM1G70I
B9+ewjYFxIg3C2BO0x8wqCY7m+RE5JCyAW1LqQtNlgOFzTi+GVJETeZpVls+FmVYVF5eBHKpv4Gg
9d4qZr3DMCcrBA9nOyjXjWi6pdNdZskDKWVvXy1Z8WKm1pgFoxJUjFqmU39LjaHdmaO2HtVIw0yU
mI7zHnuUMwRzSbAyKLskudTd0r/msvfOFB/rt2HqzKgq3CcyaP4F8EIbefQn/8BmQkEawRAmwYHF
IT152Iv1bte5oEimDHoBs9VT3dTuoasAweC4oJV5GA0c+f4xqXJQF3P+qHmwj9wYaw3ZUo92YFXz
dGztZ7Zt1WZqhR7qqxBnH6vfYVCrto+11TjSgqMdC8VmIsdbwo1Z0hkv9frSOqnLWehpd+flNLzg
URMbwHTuOYlLeyeYfrcmWGn+VrU+NaOpLm6mxczi5oszl/PHkg8OuUrJc9zN1dOaE/+bFqfYEvmb
I62Zl5sgVvk+oCE31fJDLzO1MxqLBeKYmDtameIvo5fhoJex89MDF7lchsWUl8QuiYJ5DRYoOqzL
jVcWY5SlnrdX4DO2rWNmEZ4ivBx0SwSJBw6nWzr/HS7C9CuZFn+76tXsQZcoCZRQN/kklkkV50U2
rymh2VeIDcub5hg6K9zV1i8a1+OTp+lmUJc6P+TMT5sNxaQqcIjdRMjq3jHGj/JgwfC+FJPxms4a
E6JmiZbOkTp/musWybmyxgez7PyTaDNnDtBxmYVgSZbuftD+H3tnsh23sUXZX6kfwFuIAAJATLPP
JJM9KUoTLJI20fc9vr42aLtKov2k5fnzwJ2kBDMTiIh77zn7kOu2q+nUoGvsbCywiB7ZhwHWxbkk
eX4ea2sX2qW3lqIKqKgLmR2mDnBJjqePhoLdUe+nsss2uIR7uYmrwN00AhfxKOfsxjAUmUgwlcMu
r861I1+KtHL9S9rSY3hRivSLE9XuXQZohjRkYdBw72xf7tPWihOE4AC49dtsT1W0Dfxpvp77ERFo
J73sDQWkP1+iJVzlxJc/qnK0lpF4iNkqTdwH22/iLfuH2AZprk9D4Ur2QL9JJwIEHdxgo5HFwzqa
+uBQ2m5SP8p0sBMILkSBcxDKmUe7JwSabGNMMWLUdiyUfO5ZX847hGO5g8kk8M2vc1gNLYYaI7ii
TMvcLzAaZFVvGzWJ23zUnf9bvNTxasEhscKxl9uGvTU7TI2GrxIK6gxEhq5t7A1jn0YcGlrQ7Oj6
JuPgkXBaHBVmYmMFRgl9Yo++gUP5SAV6xkqln6CCqJdEAOWHhgeo7whp2OxXeQVdkLQlmwAfq032
0h/78gBSz803PVo5OpnC9/U2VwmXnNOgdlZoO8WDFcywQ6Czcc43hzLas/ZxRTpKi/FTN1m4yQK4
IdgPdA7ByJtkwdmow3XWXiQYncwNGUUG1fzoBlszzJ3rkanlTtkD/2mmPSdQxWe8dmCCP6SDt/Ro
DeqsBQlDyYpBe7+QEs+5trECRsBa7VH5G5WAblrLDjkDlUu4z93e2xdIBG9ymV5ieF1GR0IVl2Oo
wgu/LN1dMbR2SNeFemKV91FZbbocc3QbO3LRYuyVkcfLsxqzfgVOtCWIhbACuDqI68g62jrkXoi1
NShj5Rh5fuWGyOq83nWu8Hn3X1XsS+pIS19MBMjSQ6FrkIx2sG/rliHJPHepuSL/YXqrpuqVPQoP
i2XDZHR9XMAUzt5KmpUJFVr4uxHT7KMCnnNr2wx+zShPjymjh+ui9Yxdyvno1Oem/zZLR91Mvtg0
rhMcWTr9Q8ZLPQOxiTYcMr2vvajGYtX6dHBjVY0XLiS5M+N0/K3VmGzKYYq/hdISJ2Si/ZUdjLvW
yHFStibH1NYKEXfEKHXIAvPnG0cj2WQQvm/SvHyc3aI9Tk6PibXO5z36GFXRUxmW5oPRr4cUXbFr
4y3a1KOkD0UY1xbojdqUtUWFwfXvR22Tgi6icBWgDrwpJ7I7+zlMtjan3b3DG9gBTOphraHLZmmc
7WcwtaCwekUaXk9f/yzcWfzed8RSqXYm5Uv44uA0lfUFSWW5lZqCshRNsIuRwBHWAe8rMYfqqeM5
PHd1W98oJfQlZAlAUWEeX0J8IPXRCvurpFDzWsnUOSDrI+vSji4n1OFf6KibdBuE5kUah5NAtuDW
PLyDRWaZVw34lXYd8eTfqNgdGZA49Yvn5uuqcbC9jHN7WzdqXKbunnPMONneJk44XwhU2a9DE1Sr
cmSsmEyFeQzN4Itf5xDzczyLac6k2UC1tI1kUnsrUxjPY+6bW7sOyrOKIvPCMpqFo1kHCLIM9Pak
I9r0FEX7aEjqkE2HJrBZ2e641UsCR9OPjl5X0KPWdFUYqeWBbNdVtsR/rszkDyqn+Qekc+rqHmKf
H6kXuTjVKYtj6hIQzexuNeoInirYnu69VcdewJYXZBykHxoH+8H/lDa/f1QJvzjf86kv8XL//Xx/
Fxa//f5/YIu85L99f8T/8w/+ecR3xX+ERMICVAU53yKt+X/HfH4JzDbAO6i8YLc5//8ltUFtKAVV
AUf9RZ6z1Bl/WW94OVt9mHhoEv2bA75lLoT171Q2tsdflon00bb5uazPDJ+K4q/O6Ouh5kYkHU9h
cU8vpGXLZ2fktlfPA+7Xc2pgacFG/kw6kHE0B8iHRQfpKmPt2JRYj291n+U3RKM8oTxkFsWZON4V
NvT4uQOaWwvs7TYexV08YS30GveqTHtawCMxJuNQv2grOyMuO1vGsAdb6G/aWoEbHTK1SvvOW/V1
9N6ZXXSV8TmuK7eEaJEXSweRWn2kcl6hrrsotHnjiMZiQx9eihFErUrq7WQjGazb6L0B+rrJyKxZ
wP5XrjXuh4io5DLI33UCqU/0d/6oQpKJEBbIhLPnfGPHSHrojeO7M1ZjGL1MZVtsCuhzqk1OaS/e
CLR7rqZmV6Q+gdCMQQgfsA8oQ5wVIyi9LRoffx5zS9Faz6ytL64Jz8Fk/G/WyXn5BNoMuIWdpO9x
mRvrBvvGzkppIloZojs4NHhoh/4hsIY7Lx+dNcF3wbFO9dvgszWw4BDdhx2HJfk4Q0mnh9XwwWD2
tFV0kmEnGUKPD0443Q2l/RxaySkY05e6il+KWbGtWhw+HLvZ2ryhwY7eGUvd2Cnf1WS1TKBKRjh2
cpptaAEjYw00SxxO6DNDEwxB8fmqXizwJiFAydKTNyAdtCWdl8BYPsswe4ECAGhymjn1DPhdl2uV
Nr8Bht/N0Jg3rRz23bIie8HS2zMvShe/LKmL71bKb1MiOifJeMEhSh28QtOvi3iHDK+fZr/1mV84
KQYaVEMopwh8iLx4E2p7vqwBfxLe81TbVFihGh8yU23GKR/IlKnbDXHDL3kPnwOxwZtXzBc98BJm
EzXj+8p9jkbz1ausaz1EYk368m6ivTyrrj6gpX2YIXcSYNVyo1qHIOM7WgRB66Tt6aNDqXaKKdzi
gzXWyNss8AvcCWxF7aqSGfzXxnzKA/GmrQGhDfILVEXpSbj9Q1V3D/aYvmcmfFC8G3i1svHB8kHc
JRE8z1QWWAYcI1wLgXjr43MXuXOltf2M7zPeYdq7QpTj7trlz/E+gcqzuQyW8wwHeTrQvZ2ZyY1X
pTTKb7HP1MWNQxAvht/fWg63XToG/hq2Cvw43faHirE+fE7VH5vM8Y5jbxjXSTilNK7L7Do3ygnW
JLLQLOSgLY3UeoPq8G3qa+dSeEkZcNcUUQXdPwlpvumsws+czMOL7xaMg2ghpg5Hzip/SnL/KRvh
KMB3RRlD85p2fegD3Em+URD362RMt2MIJQRf9aZsp5rG3RiKTU0aKW1xovxOXtHGK8etrlIjvMlh
jG/R/D8VhgiWdpza9p16GfMJzUQuqV6Q8m2hUK+YK8erctYOnKMMqchULMgPvHEBgab0/uRbIZAQ
NURCrUL6Bc4oxc5yC763iUeAQAqM175A3itt79o23W4/Sm66KXGfXcO56mQ1HP2+fjeG+sJ2kl8E
ry6QuR9XcWyd2kMVvCDd3c9heyDo7A6BbnGwe+ZqFvzbNXCIq0hVxL0L548+3h9Nsps/XvdndD2P
tr1mQ7OIpbdh331K7dD20OXO5OYHBv7FJhfM/1MrxB3Fgv7dZvoPV1raS5/e1+IHpXoyCS3AuMqv
f9d+Glx3tGICCg6yTV60z2q4LMcceac1KoamOPJv5u7n1/zMI+PdWfTbIKB5Qi///PGagZXr0Gto
xEy087eq6R8YzaS4YpA0GFAll/ebptjHGla3n1/a+lu7bbk2AbpY3Gjeu59TGjAMDnM8eUu8YM0Q
psg8ig0Hmz4DDZrPycHU49vQMGhNBiypMRBRpnL5gpCFVICfK8jnC4LH2XUtin+dQR3o8J16AzNf
lm/PwSKL6IJeQnymiN5lMEbGLHgyVZjRg7evmIkZcG5J1VHgVL8ieHHWtsfy8PN3yuHlb18srUtS
DempKECNP37IMo10Vkg7P4QSkUFh3ph6vslmIEW/uM4/faI2zUuOVvRXkRb8eCE9CG/kF7lXdWof
GdfcTCKiAZCyCOeUV5vGS85tILLbtJ9u3NbMbkOmSWt7Dt6rnnV5OarECQcIfKgXgYEzUNMaM7Rz
ZdX9PvRY7lUZZTgc0MxVoxyfAyWnfRZIqDnRhKfJrJu7PBmfxnrBOMnIPrWRl+HVaHEj5NE7B3yH
fMGUb3H0ij1jvne/mJ+8oNvNbcPmXVqHcFKHMMwRSSEgY94+XiRQgqnH5xuaCtYKxb3AQ2x8q1Uy
rV0IUr/4IP9hhYE+6ZEcAelRKu/TFza7BmFphkUa0QDDnuPEyMqGLsdZGYN1+PmXtli9Pz/1iskn
3xZQG/U5TqyWU4TOlrA0lfR3dhOd4O/8YsH8eJI+XYPoN2xby981hvMf74sorGBmA9Y7FLovd03E
EBNnCKhQ+RYh+KWJ4J8SaR+0Ia8GXyMgztOTMfpfwIS/IrbIVzIjH8BLY+vQx2zioWZ1KqfsLETw
PjsDljM/Is3ZcuZVDABo1dE1vUwjZwtj4tEDW7VyGi84QnSf1qni3CKERSmoq3IH1glRha7kHmtL
uzJl9K5ybsEqSs79mJwSBd3Dc2IOqALMnhLlOl/QEL3Z3hW5hBdszb/I/7L/4YnluyA4hmQcEkKV
/PEDyyUkqWLK8oOgdUy2QBatoxbDijQS3nPIJxBx3Nqkk3eVKQeGclMz/xPZdRtzL/sJtH2s1LvB
n4dV64hiAxz/eYhLC+0rNiJMrlfI5B3GmwpNqYw3qmYlKgtQaG48PeHZfpsZ9aJYvx8tTocamNa6
NsZ9EpqA6/iYStB/eyCOe10Od4FyIAvW3J92ycLXOGR2aQMPUuanei/V/KTLuj///Mb9h4eEPWP5
SyyZrYtJ44ftKqgYZw/kIw5evuGIM67cgR/HNjvSDIJffCNoAP/+nHjswixr2CcY93x6Jivbmiya
wIz0ZZNv0YkgO/DjE7CRg6YLjMObW3ImagJ1CMtUHHMCDNKzk3AARK7grIpcIyTK+mqrHQw8EclH
oGs9poDiEkLcdaqRAIea0z6gL2tjlc1bFs93YzpdZO6yGXObBVbyAoifU+qATnaGId7lm3gs5Jrj
KrrC2EMdrq4+ysvZHq1NpPiNusZZb0C4i8uh35V+1zJ1bcPj6I03H0WQn6PZG9oE02Y3PERkwuEr
D4iVqSj11DxgFsD/PNm4jq3+QSbipjKiE7bnaiUQikd5wiSKfzEy/g/sT27Isut3wq6b7fIYNaPC
3zQ8OMFSQKjE4Hli/ptWnJZMPz6PSPA2bsnvrg31XMUoDXNU7pdYGN5qghRwcVAqpNE5sqhZ9MhR
3E7tZyAFd8RzYMko1KHPs5PRx6cZux5TVh7gtk1PFMUYw9hZoqDnxuTpcIb2nAr1LWyG/JQIddXj
ooeGPq2XwgiMfrSHCFVcgMK/Slv7WdbIt35x5/7D481ZRylETnRBLfPTPplOuNmxPRJA5k5vedPf
NSb7Xk+ZhTIv3iznr49Su2i1QJ3CSe/jmc/DdsckZVhVMX+syqxN0hLVrRO98XrEwWgiEA1L6eVb
guanQyrg8vURMTYrrBjbKk+Dt8pI9bmsmarNAftiO4f6MmctX88umAaDNSZup6fe4rhl1la5dsyo
W48BauDU42QdUBiyH4ZgycA6ccx2Y8zrPStoLdu72qMk1bBFATvd2aqDrJMC24nqBKT4MF9k4fCA
v4XRgjDmlSqmN6eBcIdu4s6lOjgkkXPVs4lQZHYPljPeLKf51v1rf/2fl+0XHTbOf5J17b932C5e
8ual+b639ucf+bO3pu3/KI4lriKB2LaRP3Ke/wtsY9JDUwzJmZQjHcGW9P+7a6yVf3l3nf8Qyeoh
yJMcE+m1/SuQDaazH1dlYsi1ZS6x50TkUo59ro4qv+VQEIzOBTgaT6wp2ATYWQqVAd9Nw5CwWrmS
3KsBTZRV+FdFPgm1rpVp1Hozt/C274nwNI3s1DSOVY9bg0Gg7R88vxNsj1ZP7h6i0JkYndDmaLvL
6h5t71VrJhE+sUm6EOGhsThtgHwGe9hlb1fNG6XFLZwv118LabhrO3Rc4mS0hqVc0bGX83RPK20W
lyzDERAsLXKzYuIk43kvRY0GMR9FqtZxYy5kgrqJmkNaeV11E8OMua/JzP7apLNFykFTdYsSq49L
FMt16G+LST8blmMXXGJy5u2oUxntSzxT+cqa8mzLs+tdJ1VOZofrDhtDF8O3qEd7NauWQVI3Kaz6
Sysj7iXOpMIKDTLsCgMM3JylR7zD4TfEBNWzbCxZLA4e/VZo7y0dpyvPrGHZoMKZjvzNZyFwrOtI
RSb1kSu2bWzp9WgxigZ9pavbLs7x95vTZG7aAZIk5wd38SB0Rc0sy3cmdFMKP4HBhLUTXfPE9ME/
slgP+xmTzK1u5HQCq4L3YIqwg6186LwH4qai37gf1C1G497akoBmXIdZ7u3BcNSHphjFJSCz/CGc
XQi9TJBvitl21/0YkDtie61khtTLL0aBJQ4nk7SuCzvoNrpM0Z/iPjv2kZgvUKBNDMa7hS8i825r
hD2CJMMH+TFY84Hp81isJ7+avxnEL+68KDX2FQDdI+L4+c1ELXgMkXncz+bkX8HzKi4LI+iyvT0b
0zWuDacXYEN7u5WowP76Z8s5uQ/PhpJl2TGHyT4wgz3Wx/oUl03ApkbeKtOpjcsOGmuOt8adh0J2
MOlrwuTEiBLSO3n7WCb+t6L+akWlmmGh++8r6mXRgXn+RAsTf/ypvzRJ3n9YCdH+2Nh9XUd9ny8I
K4FC0FSuB6wLWRKH3D9HFpbFyIITKYMMoAX0iIhW/XORlbzgH7WDlKhICdz+V2OLTxUiR2HLlqyE
ylXCdv9WIQI5GQi7EvVR5T5C2Tg2xB3gL+JRmDPviir2lqrcNV8bw/Uf3FDXQFxzH5le5J+aBZrr
pq64LFBw7GFnklTaC4wiHladB69EvwfaRkUk4bV6LQAYXIvc6H6nnBDMtwPYzbJqt4QmUY/z9J8L
0w7HDVTiflNXVr0WgVkTF5YZ8wG/pnPP3Hv8RUjyp12GT8DGQmyzu1naZYa7/Pp3nTGaRHVf9GV5
HGsx3jjgcvfB1Om1bNvlffFzf3eL/EMn7tP58ON67GtQMthNlybAj9fD4GOO4LDK42CAlkLo+BrM
A9GwYE1+caVP+bvLlVxLYv4WHmZy9uQfrzR3jpib0IFchHBjI2NSg/QEkAoIenTfy9TeT0AN7v71
22My7pps2jRoYXn8eNHYlM2Q5U167BiTJCR61Wh7cafDyhhVPa3+/dWULTiWCM92iNX+8WqB9oYo
xxJ8xF6rSHmps3k3OrUYrrtUP/z8WmKpAr/rdCyfp6YnTC+FUFubgeKPFxuTIA2zxIyOVTim1toK
0eFsSJ5dNOoC7scUjtcdWp3LgcH/YU7dttyCWf9VHszfbyBlLiEh9L45rbGo/PhjcPB3p6zD1lsh
4A43I1FrAMN9/0E7pBX+4gP++z3EeFTQV6QqJlj3c3uxrnD4t3gPj6WY59vCqxvkyDzBZVgm4XFq
IkoaN4ey/Ivr/tObpKEktHAc7Trmp65SEsQkVqHFx/6L6XGFVPBhsDpCyPOITLuff7GfroWOg9en
02DSkFHgHT9dy44M5pUhBuIIdRhGnsml/2TW00UAy/nx59f6tN5+XEvRY2BITPOHpu2PX16ctY5R
G9xD80T/D02Cm53SyOp/FT/9ufe+vCcCezxNvM1yu8ofr9M5aVM7xRgdfZO0CLheeDJXdAIlJbyl
7sMoysD91S0E6hmlP9jvLAh/0cT5dO8s75W+PwvdIlx1zM/3Tj8JBJmq5WfAmYeUBRvrYmEJzj4c
gFMBXnrDuXz6xXr+8RF+95gul5UsQQ5jB8oGOEI/vvU+cPpi9t3oGHq+9QXBe3aiUJ+uSs6je8pe
mOitsQAeh2kMXLIPu6k/DmTV/iawetVvJZkWJwj9/iFYagc/8vnbHBt/KEH+6+znn35OxRezKIw1
0NDP5U2i8ObQDTYOiAmcVzhidg3gPiXzzE+dweFgHGOPxj/gkupGA+ps9pJEJAsM8bFLCvtCt+Rp
jpFnXS3pae7O6cMiJppFu/3+3961HgFQ9DJQSHuMAD/1x0wCX4smHSI0PybM5yTwIBHlTdNuf36d
vz+Jnskaw+JGYDwPyKcVNjIkHwo6oCPNyvlWRzNRFzlipgVfoe5/fq3Pyzn3Cf1QDNTsjorg3M9N
v8lrVEOMHMs5SHAyL/1+Y6acu1MelR2qs2BdjvDNgCK5XzGWBHuy4tpffLDLiIbb8cfbFXqMiWNQ
cSjgx/n0ntO6xCYGYe7gonKejm4qWUxbPRJOGHTlfEu5Z76q0KdLHHVgByY4UAH/vsiogAqrC+ja
/kl33XTT9ppRbFPFJSk6tFmitcQUeEYljRM0quTdnFr+ez926RPZWvN5TmvaL7qqnXsXSd1JZp66
6GuTBbehCXkHytu5x0lJ8rTwxGVIkB/ZJGVkPBjuQJB94FvdiiDh/jrDRPGS+pP5ChPKP1OcA8LS
KLzeM89Q5SnPqgzpRl/6h7kRRArGaBDpzDNG54xQJLaJ0FNi+Ne+eIM+Yj0OHx3I0QfWsm5G335P
sZYO2FFHK9w2XhyeA4sn21YsLaLuo9eOiHkMWIF6D7C2y3WecWwkWtGEPzVEmhmQGTr2frBNDkPw
2JvfPLeT2zyu3K9eNdTeXSFi7jee/iDZJcWi1igJS7z1ZMPaaTad+3UGsA5kSwdnd/mzjSr4MSaF
yLCKlt6dSxn4QAj9dGafSZ+qahquPz5en87kVuaheVtaxDOfitlNw6OPWtM6STMLMU8in0UHEMbl
1v1YrZB6XKC/ZIXyxGh8w8rPHUnsi0BNl4r50EUln92kPFDxtWmGaB0i+0sH9tsg7cTMb4BpoZGN
bV5nICPp7LQlwPnKjV5rE0Xyyq/rKdjrWafzio6Puo8Dy3pEqVvLlSH5bDNLRq/Ym4nvrYExIMKE
lc9DgwPMjzISmQZjbGFukhVj9tV4HU1UrxvXFtG31GlZmkj2eYIUaqdba7kPs6HwT1j/hmA9hV4b
beZRcIDBOTfvoPVzL7kZKeSozPFl+ZReEwFW/XybKQMJzpxxzulCkp3XMW8AMFE8zMTPcoNtzSYs
X8IlxpgJM3cv5HXIYn44FocupGJwVGEg21mGj2ZgT+fAIIyQkNKtng3yF2t7vCYHoMJM7MLJGGaA
hx+hf0ZR30IpjI4m+veLIaAfFC1ZgQhqieC28vnUgfw64EbxH4LW3cJXSF6qJW9wWpIH/SWDMJvd
fbKkElYEVexNFMdfPWxicH2zvbmkGBoJ0HlzSTaUS8ahoNOz00vuIfZahGF8qvIJkzUcN/IRY0Ew
95KYOHRhcWIGjorC6Eo6YCQrVkvGYrqkLYZL7uK0JDDKJVWmBeRbu2RLImy8hrSGCqwnrqKfwMaw
4RB+UEWPjk++5dSU8iJlOG92iVqXSwok+kgoa0syZEhcNI0SDKOo+O+acHolk+qlXPIkY7JUNpNj
M81DQH9EwfNcgQ9ivmWV6XoaPXa1rpTfMoIqZ/QCDFKiq3DJsExs56Hv/Qt4NcFzS/tsG9oTiZdp
xgJsL2ekTE5XTmRZZ9TI1a1guMIwgNzMeYYY61YToB77z2hNFhGCNiszKQ+TKGJ0KX7vV6tpSeUU
aFjEyif6+LJTKT9QkdK+X/WTnB/VbFtYsVO/29Lw1hetENU1ByUbGIvDepG4ZvoILid47KQ53E8f
qaFFUwKIg8M/nRMXAa+f0Qm0k9b7DUJwTUqCAz+70hkX5RR9rgPzzlPDcOcO07S15q7bLvuPQtSz
RJpGZZXdNKDvEBGR5HpEXc9RQCYYFXE6HoIEPAD5WcSkOh+JqXaOIdj22RHcQLuHMqb0oV2FLI9j
3o5kbxvkYG8jtytldt2Y7ZObzqBGhwix9Edqa5AW6LvajzRXrAHZhbFEvOZL2KvZYftx3C740sbB
cGF146ZdwmHjocMthwpCf7PwwviA9JckWcBhRHYDXj5ZH0mzciB0du4zbsyYswMlQmrcplPtbrOp
fs6XwFoza/uvJDF57609YspxciEfZKbcL+NH3q25RN9OHZM/RMucx/KxOpTzrK9Go3JuaxCHTIaK
kli1yj1QQeuDHoVkdim6+vdSet4WyPZ0qlrQj0sgr/7I5sWvdwmKPecIQ3Bv56ZE+H6k+fqWb1H8
Lxm/IqzFg0HkAwlNqT7xper7UXXzhk2Y5KDc6O238SM2uDXoGlQ5AVYF3AGiLbeLo2JBHARqPyAr
2DkeMcQDwFKiZ5oC4imKShgM8dGPCS7mE4yQJgIL6H2x7xXxxobOzw7tg7WfaXkTVKk6KBILLheu
x6ouZ3Xvq0psMm8o9umSn5zOZNV3LW+JhaZaY0claNn7CF1OlvzlkIxxYjQHiMRk2ARPuTlaV53p
Fdfmkt5ME76Aj/MR6jx9BDzDOkv3aZK7XxW5Kw+8teBiNJRXbHwfL/u0REW3lOOXrUV8dGsvSdLW
R6q0keTs6dBv6nVe9OqKin1JF6Gl6veiOKVLRDWivvI8xFl6UzqqvfbQkRysqgkBFmgPANxcHxn5
Mtla0q/BmPvnuKO3awd99rokSTjbpNTVFztQ1Q6pWvKuPwK1yyVb2+hI2S7jtH5ym/Jbxktv66oA
+6XVLNM14tH+xSzteGARILU7wPhNwqwgE6Yif2cDmr27wMtBXE0Rb/nGo22SybfB0CWN4JIAMGB9
wFWQiJ7dJTIc4X1/gupobDzNHohxZN5PS7647SXtjTD75jWuE9bsKmXXYBHA8dKumYFViXpsCWdy
mzfHplZcmTYkgvfQmKp1GzUpngK7zSmTWuMdK1l+HtGHXEWD6h6NwO9f7TryvgadZvSZ59pIATaT
B8u2N2Wpm63piOQHA5/qSUrMCNvM6b9MrSAhj2nhxvAWAktcxcUqAmG/5hQVXE1ycjdtWtHVQGy3
GHVGi5+qHcGcx+bZHqKU0OyBPaPAnogZsOvIdWNxCsEqxMQUCibXJ/g+ZbdpbQmfKML6f+9ZsSQ2
g6SYo9JYA5iYcEpKEA4skXiz8RCl2tzppOB7Y1PYW2bZnso56t5KaiMqjDDd5OQXvFe1F33z5XIr
01Eyz6FbSsKNZT0eHNPynyYlrRdDlsa7JITk0vem4EHl+EAEeUeQqEf9SMxdv4IGVX/zkcxynDSx
DzTRIwdjgj4g3qzCpLpzLAJvZuD/M8sr/nBuqgxNFxQcmDp3LpqRVeyCBGRuBTENfA6+jGltJ2a2
GjmcbFwXMIvIAcx51NhgBYh8Yqb9mqQSKr1BnbzqQmTPkxMcmGnIXecMv+P+0HtqeRhutdS7RHiw
+TLnJJtMrUXUi1WmOtKfNBxSTxok/HA7m/EoLiaFSXsWL/OiHwqLztvLCZ8amFawM2003leOBHYO
x/VMINK7UWLLq0Clrpwer3VEY3fb0M06RURGH7RJe0COPVlbZd3tS/xXr0kr9Ioan12HgxAUOuKf
UJRWu2xom0uzHbGdCKQjJNbBmgjHNUU1FJ1hvB4cE8O3PToHVVfh2szAVjSQntLOQ+7MUfBmFMhQ
2hRao9c2v7e1AXcKj/ZeOFGBwVp/qycj29VT6aCCpncA8vsYD81tZxkvkWPvSOJF2NvpK+BtBPNU
X4dsvu4S/9QWzmNZ+2eWXBpGadReOPX8jqnvCc3JnSvzfclpep3H6Ys2I8ZNCU1Kt9WvQpkkN6Dk
32hDqMcCGixoL/k6asHBiig5SHWSPBYkz8iFd3FXXoyhiyIpcN6yXpdImehqr0CM29tg6LovszW/
jX10dOJO7tC0ADOY9BR8MZnmwI2oveRk12W/miaQ20Vk7cW87avoecQheOja8FJVj6bXdw+VV+lt
2ET3rhWEB3cg/LSu+u7ZkLW3hcQBroMa5rLrauNQj0Q5MR80of9F7rPT2Pk+yirH2zQh6LOocmiP
IhiinCBkZtwXg+AIzSAf8JIg2KntlVHvwmy8U9LRv5mOOxknA5fBJMiBajwT/64crIvWy5qGWMqw
JxxC1svrySohhY6m80DjgniMY5C13NFIXMoaIT0EO0RYcSp2+JrCArSJGg6u1bmkjXWti/EL6BIi
eU3T1IGie4ljC20SYapfvSDx3xvf4QHkqowYFPkMNUcRCqkNGT6URQG3fbch+BF2QLDMNKai878S
I2Rgs66oMeA4XRAQPl5V7HFPXuVPZwNl/1pG4NnbqXLMq9hQJGO1eqLs6FyWpaGJLZSqS3UiorH/
PZ7lcB07k7gETDbvoA4lJzIr/K9BZtDkDmxX3IlGtVtHAWen39WbIGIGR53bsF9KXt0i3A9V2Xwh
yZCjQ2o40JSEVR852/PSiLuMbVhQoG8UwVA7V7jUV2gcvzkpfMOo5viHF6C8ASeyTkSfH/MyiNcz
W/5RkiQCBszyT1aoaAowRj57nUuPYJnUfFyvL22D6ACnJjbAYmaTpP2eKJvs+eO3aAhbd6ZD2V+4
sd4jc5kP0krKlyZrqcHGWtIl8KzhGsgn2W4Um8x65tzB6sKHyWRZrcywheO/NIrLdGSMMkLP6xL+
M82iEtlZRPqrofkREYwgXZrbHLecar5ACuENRDGvyDoy3zY0Xm4UofPPWWfyreeJyc88jPUR2+V4
k4ycd2cjNA9z0s3nsZymdk1wQX20M3rhJaDHq6oPSxL3prgi5qqktu+61K03fbLon6OZrgjNSxYD
fJgr30Q0UNi9wqvpm1nG/W/OxiUmvPKF5h+xXklMR9GbL3RdN3IlUt3SkkGkEC6symLXJsNgX6YV
gYBKDApo4syEbFY0r4DinD7uOyPK510f8w1Yc5s+pXU634Zt41Amjcby84Wl/24AtKYpQpl1m3bL
Z5KCWIR6MN/yXY1orXo+NpqUa5twhrPMRb4vllZc05Ed7k7k5c24UTGv4n92bO6A1l4iYwnX5AXT
2LkPpDbgoaJtZuZNP98tvc2Yu+ZzZvJHwOzUR5cwiw1x93xagozcaQ0CaTr3vBCRh7VWKH4MEy+/
QgeYtHhnoob7PjQ4XguXPuvmo/EkDOm/zziwLvqYu8maedF4NIoXWom5BeFO9o8ttp1LLQb/1Id+
8eKHJsJiP+TRMUIeYdsiskf9X/bOZLttJNvar3LXP4cXmgg0gzsBCHaiKImSLMkTLMm20Pc9nv5+
kJ1Zzqy/mpxnDbyyMk2JBCOAOOfs/e2xC45BpZWvqdV2B6fGIOjO8APUwW2yQLtQHPAJC92k/RWE
IfhImwCgnVPE+om6pXnqyLLDBqFmK16IywQ9SCfxEIfDx4bV2zT6li959QrMjl899e1wzLo5OEBj
YEH2ttK+LsSxhiodua7mdU4Tk9XS2G89wnYv0mJKj676CnrP8RyGebt2QPiqdnw7XRew2YnbIZp5
hrZK3B2qWDAva+bctUEL/LrKyfpsRuiT3mIu2lUW6iAKDDM4yszgnXdUPnJTrAZW1ZA0PxiL2hu5
roIRbcxJVpKWArIerB02WSDuSHT30bQW9S1Uk+qVUaRSesxi2dNlgwu5pDrdYgMLXjAhFLvQDJUH
cuSCd4scOyzm3boGGxWriCWr4BiHeo7o3ZgX7G1YrIBNU/aR3Dp8R8ILyIACY3puy3j6Mg34Sd2W
A3lDK7UKyZ5A8urqVVID3xqKMwrX/iHGmvmtGkTwHhMvchxkBFQlHHkyiXist7O05tAF4NscBqcO
XhJTSuiyjdEEG6ukwb3JqpjQ4I+W8N9Ch/8kdGBQS9v5XwsdDpjdijJu/yAe+/Gi33QO1ieGo9DO
NUbNqwGTn/cbBV37JNdIB0joK6WKcfTvOgeh859InWZ8a+LRQA7xu84BNItj0p63fzN66n9F54DP
809tduQVluEwOXWQORhMTv84FYrNWHDuaKPjVJPv7Y5VSUAJMbtXFSEJrTtPmthg/XHuq7QGkYvS
NiZfdLAlqa5tV9b7RuO54tmIHo/Ik0Tgkyu2KrBVdeJECt5xpyUclO5SJ2l4tEMLpy1i8GSeGecw
wSTQ6UTUtF27WSDhWfU8X4iHL3sTrAiYBrcdm+WwaEsn3CJZrWmZZTT+oCWwOoy1ddq2AUdFYSv1
m5PM1tePqOjOpsILFzglBE+Ap/RmW+pyo9Gr1E+ODgOidXLzmrY3KVNDf2kzXdlarWaELilbKohG
U4vvK8QBd1OkdueGnX5Zc88BJk4l5rjEnkLpFlINmTck1SXjrrPjx9e+tpQz3VLTOepVE19pERqs
GEkShQjkEVlgeNHbCGhMNyIr3gA/qLeCGLinDGMsyXNNdq/p0wea+0s4zNDMkLdtCFw0bntIhyS1
zWITafptZC7tRsKy8BWypdypUrJbg/bK2SjGi1Sh7cqMZ6lbTVb01WR0sxMWwMDGKtIrLc+xNJpT
fVlVtFz2KA6v274V5zEqDN5bv/Qn8JM1vKpzUDX5ezKYznZIBXo+GdsguKz2wjn4qyQ9A/yWFnh4
BmvOp/wRyeXJEYDOGlBtXpXJ4zDSubVAStwnDUkTxuRMV0ZljbcxdPg7huZvoMqiV1ma8OlR3Gaq
BEK6qiTgoQi3MSvlbiin/D5rwLNhZmnPHMAiBMzwTgInpfWVdGcFkDCIx7h9JG8ycIFaTec5bvNN
RbHta5J3qkxwbtUhCB8W2yKoI7Nr0FxJUTr82CShsKkq7cqIavU4q/23jL9/E0IrvLOGgiP1PAWU
SrGsmH+IgSFxACyZzOrljHmlQ20+KLtUncrdQtvlouqsaMvsu5OeCnE1cwIHlQCNlWV/XUIkexka
Eph9pVuLyASnYYVLtwYoO4hNnaa4VpMg3Cp1f2UaTntkVHM9oJkGD20WGSYrWC02R4e9UaxmZ8JJ
iJtVZ57MgdJ5HCI/K3TbSEq+2DE+tsC6EoMzUW8W5DEDG4yM5kbhxKXNnPLwL120Ws38wq6+togn
D3lSfp6NqACW3X7JrSbbprFOXZ/H+hW8D6xq6zc1f6P7UkHL6wCN9OqT6Fc+/+wEe6T3yvVow0Om
yR1uElW8cDNsb/Qqn7YwQUovS0OSZ4h4/0z2wuhNidVioMDYAYifbaUcrYCzcxDrL4Char+3chio
Vq0fkva4dPGpyzln1t3izgU59QFYSLEijBuRb3KCUPwRwglWtmSiF5G0Fybf2R0iyfAwJFxmDMPG
AT7VdJdP2bIrEBpuKoZbVL6TeS2a4Qieajw0swiIcyDd5G4U3WcmUMpeqWcwycAYCjZY2YpRJQUd
yikUOK3RE85qo5GfxlKeSSB7K3G3+qa5OA8JYeVYv8lZAT0b3EIWiW9I3H0tRCUOska2voDx5xyL
NTRievilbfjIjMKqTVNl+hW8m3yL7Y0lrYaZhzA387M5ym5nbrsYcbnfZWVTcqgBf7T0mFyHgPvz
0LMG43mavzjzBPUxj9X6vm6Iblcxp4Z2kd+UeYTZYXCyvroNZUB6fDUSV1bpAqh6JgcOL0tSHqqU
oBc3BruxKavCuTAbekdfA5OPE+t2jOysJ0BdIwgagTBYRbPIadULTK8ThXAvGT5UsalsQd4tW3Af
+XaO6GdycyelbOo/c+BhErqfh6I75oUa9TxblPprqiQlxE6R9CoO3VE3bxj0ljhwmGztU5hFC/iK
xrybeGDDqwjYIhQetnNoKNufW1L8jtE6KuPIaJBox+qPCdSEeuRpSmAJdzQr61JnK1UepWhzLBnH
H+s5WEmZSQHcuoaMghXjJsr67N5WEtinzaBYuyiFVQZYeYxeKhvf+aCLfK/ByXgFjAAPKLebhK7e
3IlTaDQaIWfofU13GfvgMFQAqUdjBbhCESGhmFv7e8HUd3SRJ47XUBTb2xmfL+mD5jw19CEoanF7
9cbkimnpn9TAqF/rRo1feCaHaDfy/prw7PwmgKfyroIRWjZAO40LeLXhSUmz5Zyr1sFC0vGdgCLz
mywcgtfiyAAE28uBoGVHxDQ6h0PO3dZrOT/Mmzlr7JWvxFV0kySyP/fDLE+Z2WbflARcyDHvdZ3W
BLzxO9AE5meeI45fgcDc9vOsk2tmWRW68FSL4ArE0/Q1jWNHcDMKSVlPi+F2skhFcaGAK7d4jVvO
xUbevICoSc9GVoUhq7hDraw7+XJw+jr9RkhbeqnG4j5DgKF78VIEh1RL842WRmxWarT6ZqkN+Pjt
2NpgfFr0Kv6MdvS6yqLxRSKX/x7YUf0FTdKwRVTiNK5CK9Fxp5q+TqMlw20hud+4RtsoX+Hutjdz
U2A2NxSmOL01V83eUsbqixNOYPpnFPeowej+b5I4qdEUWnnyRN0khAsGtyOvLyDBTZkMGMBdlR3Y
c3FClpbK5HYWE7aiNHJ8Rv/qS+B0gfCLWIVYpQ2K3PWZiC+BU6lwbKBrFn0P2Qh+TbLj9pzYrtSG
3FsH26d57OojiChzY1aCJK+hp8Ogs+AgHi3eZDfM5MEQQ4XUO19GQJhcra3u0Jl3m1ZK50RIAPkx
FrHRmwkeOXkuzFvdPCuaF9qBsCXjEOAmQMm2fE5nvSr8TjhEwlDHLN9NDlDXAVgp3EVgusPIeQR6
m7+WkOO2Bh5+evIEv+TuTHqA4tGu444op1k9xJZqXTso0r8M+PL26OgoK/VQrj1nXGhvFuksV12g
GZ+dLorAu+fGRIpqM7Qu/atyj/SGf0yXPrX3iQGJwk6DevAmPdJeB2fQwcHJ6guDwe5OIhAqvGTS
1Zd+4QDph+rYs5aQMrh2YWnf8EXWBFnmFH/Y/ZPgmejr4nFeyLog2TKarvq2n3dDQqTJZmng7Odk
Zx+SML1Vlz5+rgvrHKKSLyNGWANdttHuI6+YO+dOdI567i0RbtA10NeDeaTfmBlnQ5uUkl1Nljnj
imYQb44FCYo0lorRlJhhkoLDJY9AI4aIrkNLyIyTheG57RgMj7g9Djq5lbtFyG6zVEZGDav2Jw3y
qNk3+fco0XuwcL1pfTcT2lGQB2lGpGbXPIbSCt5wTgTboVSJAOfbXFqvakR/HekTobccs1o8BpKY
8bghvtUNUwHLnoD6wm3WPyolyri1GCTwBnX0lAVT9hBLNWKoL+m6akF/aqrJSVjgpn2VQoOhX8AZ
MQdGai+50m6Lpu73dozjkmZFmD63CIQbNwrGgeF6LLvAJ8/D9AlLXK5SRauOIyabE58wO+kijr8G
S9zBVei6PWa8YRs6RnGos5BWSro8VfBgyHbCYvIaGrV1a9S18l2jr3v4u0r+bxBGcAxQa/7rItkr
OXC8fit/LZJ/vOZnjYxLH8U/ZTBSrx+K/99rZE0lH1yaFIXIij+K5H/UyNoneIs0dRBTan/EF601
MsJucBU0Yg205M5fqZH/XCIjuEPajOUWERrKBufP+ub17KXCtVSu7B/uEoYl9tw/Nz8NKD/sKClo
0yjZ0YdjD58MJ8tHH3wfGR8YBSjYqvBIkJ6dGteFohsqLh8FWDI9KBzeDZDKHqrnFOxSG+NQfJKk
gbEZuJslQc/ZY+F3PaJYHYlqdfHL9FN04pYvV+LNSBnDYZJDiDKYPFSOhkV30GM/graBGRIM6ote
EHrllez3ar7nRo39wbdFOFp3dsR8zrmBIk2slCMgf4EKU3JP9sV6lOzh7c8u9Tt5E6EsazQlf++a
/2bXYNHV/+22eexeo1+3zM8X/L5n1o2hrkdIExk6/fh/7Jk1bBRZsYOWTiDfXJtHvyC/NFCRsCr+
0VCyPkFqUg1VkqtOE0r/S7yvDxXxL7JNWlaIq3BxqGiHdefj1vCrbYRCJ47K2Z6vnWJRyC+2RyYQ
W2IdIVnmwjik05Qu3hCG1VUrRftNm+eY9ohJd7sumn1Tj+WVXpWYtEk28fNYmy7RPMvbHOQfQ1oG
8DSRIdCMaj+QjJebIhgvijVPxGf2zsCw+DEKJiev9n0OPt38sZHULFBunFwM6KsbGhDMX8hWt9/p
QMxxv2cMpU7DIbR6LQ4OgQUhA56SXQ/3JJeo4l4pSkuHKBXpzC8T+lFXXEth3HDGmNZJK4+psFJN
+Hg6sL9QLHN3aXIBdps9eA7yPNrVWDIN0kfM4KHI9eiBuZTB0wpMQQa/7I080PjBTkRDaE8eJXdo
as/d1NSHRcYh4Pugf0WoH7vQhUHeInKNkTsxgXPKgcwIRukL49tjgp1QWqG7pOOkU/siP7zSrY8I
0GSNA43ClCDQaSxHAtJTJcSROWs9maFqmCbhNhCV1K2dHlM27IYfOaOaGnLs566Qkrs0XUxylJrr
isMf2GPG7zqQir+fo/8VChASyb9tNnslpO+vXfy17369L/x42c/bArA/ECqYjGg5mz+9cz/bzZbx
CawKhCPE1GJtRWON+OW2ICE7gXeiA2x/aK1/2uqECu4bXpBtSKhPkAX/kq1OfHhGfrk9rChWYj1V
LFDsEJBLf1LMS32mr13Gw74ETkaoRpz5UP8dT3bd82ymb7YKP7Yql87H0eZ4KbWgO02kX9gaygS1
sx/sAXGAknWkOHD8Gyi53dUxD5MXRKuqoH5JmP7gGiA5ksnfVhi5uqnDyuAZSWBN5SgwzUyMbPgL
70guYPFH6DETxEm+VluTG8K5oBJUBy+h2vZUleo7Sdvn1WvTSyQYdQV7wpTJm4luhPEtfz3VsPiV
g9UcqqF51uyo8hY5GG6ySMXPA+szge6XxNDehoZfb0owhyUYvLDD6VYSiGWZ+h19YqILCz6PWU2d
rzb1s6kljtvRr8Viy8cjLwlYD00RCL/WoSHZPiTLyQ9aLs1ASm/YwRwiaPhdT8n0M00u5cfAWa35
oRlddxfS7yMfgcug2gfY2O0mwEXtDign6cozf40C6vg+oqDiXoTRMQuzjUlZAitP3FHHMPnnlZSy
NlpXHEcUKYUbzlyCCkOULzttuQvL7M6hie5nLb8yCxdJsxCEUDEaut/XjLyNCm4qedKPzOURMq6T
M6cs3ueiLvfYG3VPBjMNN8pLhl0AHIKMVnLXOA84PzufXmfltSpdlQhYCK1z4p5KTCAAFJ32IQAF
cyLVKvBohy/balEXaClcPWOFtY7SOkCifvhYJDEa2c2Md31TWawDbTbuUOMgrFBxVdkapk10BB5e
grsh5k2FSSoOBib6rZZQVZdhPh0tpyPbrFpXUcffxUl1jlst3dRlq/vWECUe8uGJy8TC6rOcNDEp
z6zn98lJV6gSb52h7xtkJL77hf+XBHJC5acUsEnslnAftJx5vvZsNcbRusVoG6G+gwe+ef74vnOa
d/jAWFYd6T7bMGLJWA59c0IiI7cnr/uoAgxik7OqOR8iwGJ12hZLpVz3Qlh38yMGPsM17eTN0Hgj
7DyU0FUan3sulyWsh3nhmx9r9ollMZIebWTrkcXucKz22QK750HEM9hwLCab3fhxMYqKTTEq/NUq
zd/yctT9QLXqI81k6dNRrej+ojWYC0e75MQPeTrSVBezx+AZpF1vl1zX/SYtyeRuBJdUZTQ8hlF7
ZbdQeUITryz9nZiYxUX3U4tNiS/tFI8J8r+eAT6OIPB+I6pzW2ej4sBXYYZEmZ/OYear7BNo1fHd
ENHIXbcX+b3LXtUwMEwiQ5xRoiwue/SAas7XLSIHrCVD291Emcz8ad2GqV16H9+tAnTQVYLiZA7B
egthCcD1cxhQcW0+VvkCknBbVg2oZYDbPpJEZ2vSEtmMCsv5YwGsK5wtfheLpdiBI2RiPrC/xeJw
0lm/5q4fDfYBy2gCoeoPSIleq7XI/vDBoPpAvNVrUPhB1niJjN/imX8YtfQ9THl/6Ge5ryjs5tzA
v4tEgkl80xcniNjTWU5yZ4/JmxJSNmBkKU5Bqqd+ZrEjOCMo+1CyTwF6aqcZw/PWMllkBamDJwXl
G9m83L6sJIe2wc1Bo28TT2LnRBlDeaZmJH7g5hWtYXow0IxN00CZqPUWXavZMjhfhRVTnKt7tST8
V8ngZFqhxs1t5KtTLAb8Qa/fRQRS7GiCzruq42ZSiWHwZM3HDgbewtij5mWLlHtqGP6wIJ593JsI
DGb6s27aITYH8nqVB352hFSIJdFIcafPybwzA5gPkuQYHju0FOd6gttlgqpIS5LfGQgVp8kUE/0b
5LVCcmlmdsDHtTYddPcpswiIDXyvgsRbX0wdUiBbcgsUYLSRege3urZAwSvrbGcH9Xtt8a/zPvHZ
9EiiYu4nQslibCXNV1tVpF+sVMmytj7nK2cyBTipjP0ZSDcRg6MdHud4Ap2k0ALVNmY/q76ejogM
ih+Iy2z5kkpCkqBVIjn2HXtF4yxLk7yRi0ZjsUocqBeq/iBDXBEtJ/Xkeg7b/hiPKl+hoQY0Owni
hPWQqHWyji+7W2jxZhC6pga8fNsACmSQm3b05GcHlNGCAAuUKR2WI8ilV6Ury2+tM3wlFJlefWhM
6TvAU2UxuUsstJm4/Y+EPjfl1slTkq/dRkFrW2Fk2eQJqMlNyKNog1UtuHawvgFKZ7TZnlM9si2E
9aLN9x19OeV5DpF4RIAJs1MQOQbpxU0GzKSe0zo+y8HUgcXqRaBcip7jQ2SZD7+0NP4/7nVOan9w
q3GuEaux0jQtNCOO8SdfaeYo+iLKpt9b8TzvmiV6j1MeLkZhP/RNabCs2HUiZqX/+9+7+mL/dJ4S
9LpAy5i49gz1T+cpBxMMCNWq36MUWm927EEjTr8VI5TOqUrf//1v+7MP8eNTYj+GC6A56j9ZA5eR
IFY67f0+m1kg60kAfZsChrdVf3yuvyUn/0FyomPSNX75UtbsoZ9JQWtk0f/+v1vyfloOT69F/Ppr
GfDzhb/VAeKT6YDOsHA5fxzo0Zb8rANs9RP4exzkqL64LRm/4DWQnfCvWEiAijTKeEmJ8LMOMJxP
Fn0Gk94B5DkwsH8p9geX8z+tWyGMtTXH9FBbOQV/lJ0Ax2yRlanzXiJGmDf9GolNKuZonGEwI/KA
CqQZHHziJt+OnVk7DHAaZG+roHW71A1x5RGn/VWq3mUSGLM0FbeF37ZpHJzKXYDO2gQiN0PMBbY9
ae6CiRPBuNJiytIQUCxmhvxKMVpEvtYyg/fTYcRw4EiiZadoevm5aefmiEgyOmu2UH2LO9ZjoK9x
6CIjxqZxVDIkojKv70O8fsVeBa1ob7RJtVBGGiZmGq0kDLakSQKcunKwIPVTgFev2MfEyX5XADl+
HRclvp54zbOcMWYhsHbEKcozqnyOYnD9UO+0hBHIUPdLZZS3jh1mV4PhJDdxGXXXw9gqOy1IFi9Q
8aG4ZTdMvg23GyspQUqe5KJ4Ex1whuKcAMnM5CzpVAEGr0xia2y4zBrPV36FHqnHwgx7v7BMsdeJ
lCVsgSsvYqEdMR/ltx2m2y1gyfxOXbKSFo3d3BBbLHQqiLQ4Sgv4a2LjPkzHyNqCdsJDwuTwmqFK
qPqzZY4w09IK/wG6mSfNsroTwvnnVobdvda2GFrsBk/YRleSsHJhlqc74lqNz1OW6qjKDXuXo+lF
XIAi71qUKZk8hgojfpUuSjm0F8tEEcGgPZBHOO/qO5Cqwhe5hkPhNneyYtOOosY1o96Kvo9Loh11
46wpbf+izVX42DBUuhnaRHpog3yltTuPXCBgVFGX74xiyo7E/AUnB8v8nVQ7cZ0K/SkehbnhlJpi
XuhnErzD4H7uZe2bCrS7Uc3xzWgdGfJJcgn6Wr3BF2htgkmMh9Ak7jIxbD8XZGxEvYqZaCnzVZRa
BvvECSQ+iJzTxjh+1QJHgXcvGL5HXaZdWOThmg5YHwgxyUl4cQwfSzfGQZCNG7OQdyWrzaMTcFWq
QURbtzY3StQ+LzlxrstE5GikmxrmGJt32UbSC3ue9xotMKDzkfIsLCs8MCutLzKrqusZf9jRsltS
45Ro9oHCDF4mmuhsDEhlCpYtoFBz1nfVHMGrhha66j1oG1dELPvo46YLs0npDmEsSpJARD6H2qMd
0NDbtghdcWxKbRGwuZMxCiP7MppoMSsPY5Xd3+t6Ksd72Zrg2FwihyLts0ZPPfFVmcRXZqNad50d
BdHTJBYIDiQuZca2cEo0ooRBz/z+IT7TttefHGOlgWQkxQ5eE4Av94VWQmCcGBolh7HUI9QO5ZLw
aRKUaMWuKYm3vh/iWIz3XRr361EtZP5PAjvNipc07Zql2CwD1jAEGJISHWeGs2wGxEfc2fo4DF9y
BAFrKK22GjuVMmd5wqlfT02LhkMEBT0f3x5nK9xkdOpsH9Bhl4YQom3xgjJ37L5yBGZ+9sI1cnrS
6/uuPMZdYVAtFkHaoQegtcgQkuMzPZBI7TsajWkPylytmcWC7Wn0gI2lTX+LQ/+rdp2hCY2n2r+e
e92XGFH+x3ttsMMUf3hW/3zpb89q+xOoHtVa+RFwJOi///6oNj7BXUIJSvW3IrL4L7+BsOQnnYY9
riYDqt0qHv3Hk3odpq30LMDZPycDv8UT/jzHkmz4L2kc8oOI8usJE/YLgwaxylBNQ/unE2ZPME0B
367cTwOcQfTxDJaAAcfOLiogCZsFgFh0YIkNlwIlu6vHKLHYu+VmyPAFbBqj1wBgxsYTysD5tjT1
4n5ozeCLI+BKVYsxEls1LnKPMA4tNc1NeRWv2HcrLUp8U1Nq5rB1pqQlr5fwvZMNeP/Mo5UTLoWV
ceyXOqv92olX59A8Q49m2UPLWoaE7OYcHgD9kFlsU6UVNxGy0VsUIsJTSnIGfLVWjGMTzAWSB1MW
yUYxIj06YDNCmlrO5rWuNEGFyjAwDuAXDJ6DNpKxiXhBcqPr4UXNeVObOg+67/wWDeG9oJ+Bor3A
0mpXNUFIlpnNPoQp4zAFINE9xu5l6kPXkfsYWbyF6UHN32O+8L2k+3PLvZsoLW2Jg2+LKSG7ptrY
PlWLYvFzeWdPtOnbp2JU04uD1PA2mOLoBjlR8VC1+Fe7thnmq6lGnopyl9QMfCPct3n0Z2g0Va3m
9rdElX1HJOjs1wgr8e6RFZa7qhHTvADhZxGMvVRftNC2b4MM6IiLAVXVNoFjiQKd4FhuLUxOYHKt
w1Tl1Q1xtc6tbMEpnBLhyH3L9UNPUCMnMeN6t0TReIp6R99O0ZDjxJSItLCS23cKfHLo50SZOwh0
97kG6xb9n/YQAL84xDPfDhWxOEy9VaL4qgflfuHJ4ZtWQs5gy1OzztJewPzVJdZqJe/4zJqBTCOu
30a4uC9NX+pPnDQFw5KlRnsrQ8nYScltv+nQyay3XeduqrgNz9B+72HfhncoM6fQd6aGEyZ93C8c
Sluy0TMQhJsuUsZXUtBt+jrkTFWVYa0yJ5UB75QU8T6waEgd4I7o8y4OeuWkB8oweqNugaFUJ5vo
+pbjW3eIJM80xP1Vf7E0GginCFXsLZIwzXC1xjQfC86p11GrqJAhjEwQd2snCQ0YotWaxdiF6Gac
wFWShBmbq3Ahmv1Md9d+qSG3MV92AIJGlWkEfD/KiETaIbhh9Nd59zYEzaUzWiYhozt2ZtWrh6yu
5/hJr1qnO0r+19BG09VnAjmV+3lsiN5IA0zj+XAVD137FNX5meZHeCICHRpmIhXYmatuqxTKMURl
VmwsPVMf4bvE23ghxV1duoU8+zndMv+O3M5QswMD7fFz3BGvqDhRed0mUe23FWqpXos2cYbsg6YS
DQAC2KPxMye70NyzvZWHIjSCXdk0S8Ph2KAlBqUHQ3Ki1xszndDMdnobIm/jPexnNZ56l0ixfjN3
03Sl2GpyIPNLbmanuJQLpu2kDQ7JoLWeY5fTcYyJJrYmphMCtRE6W4J8FKF8kwt3miwAIxMsu8nW
0F/FugZ7prPO7TzdQ2IIN1Y47gidk5/p46Db6fveXea+vBlt9aIZ6FqHBm0yTTNSPkWNtC1DPWtX
JgO4gpZIIosrtaja72jZz+qCx69u0nE/jXV2X5hAs5OhRM4OVZA6pB1utT4wtjWcDneMo3knzOUc
1/a8ywSn7yhqsy3AKc3FX9SiwMPaHTdNWW1Se3kBs0UES2bdLFVz3Y0pPXM9wipjlM2OZm+zTUxF
vW4avFNo/Wj5t+Wbw912R2ix7cfBHGzLpuM0H8jWKzW93i/Yq7xsGJQjrAd8uNk8uL0Vfiljvd2E
WhR7qTUXGx2fOMDjsnkak3rcA9nqHpO+6VgYo7ILm+m9b8xs5fDNfteM2sOg6cEXI5UItqcgEhhH
QVu4qDVVgHpAoPZGjp2qqIEzOg4zFiTZJQDYPhVHMkwzDxuZdddXeOzwOZakj7fxrpMiZ1WYi0UK
eF3QRU+XOPHtOu4uTlujTKwlW1bmgU+VHJ3JU6vf4M2UMM+nOH2urCzfaj2QfvTJ9jZvO2dXLkP1
Uo2B+uQ0IebJoS+8ciyWc0FH8mrGi7rPjdy+M/gP1605KTcg+j9bYb2awJ2632L/Ns8c1TTmBVOX
kuI3JeHJSXPbIXsD4V7WxT02aB2irctgZtmIMZ/pL2GoHnTNOBsBh/0lj1CLKlUR42vCdGVVFkOz
hmEOdtTerZVe+dxVavvEiitqbPxjdaUazQXSQ3lHiJB6JqGz2NgdV7rPWAZi3KqT3nrTGgal6yTS
DK1QDg1B2d+NVuTfQTDR2YyMnOF+F4yS56A5H4m3cwwvmWu5MWWsPeKLHy400u1vk92HPsgC+1QH
+hfF6d9jEnef6VlMrjIXqgfZ6rEQUlnpJqmHCG1gLMJ9bpnr4DFsxI7gli+B2X+19VrullJ07gLJ
wDPi+XlGfY5tv9TxnTev4F9SdzDUA0GAKYWLXn0nPHhw00Sht4gXfz/oRH15+jILgo8C7TZrif9M
2zG9KzTzXIRdcSI6pPcx7apISZmyd94YNWPlt1q+IPZbFWp5+61PogfijVZHj6eQ8qC5iHuzvaUR
gEtqmV67ZAN2pCvU62Gmtr1ONMw3ecr5EcOKVz1NH0AMkcs11iohjla8h1tsfW+05tIP2nuAPNxu
4tpzFOulyOhtrBy5HYnH1tEhzvFUqb2gY1C/lCEMDCqFI+MP8nMjkhKHok43djgY+2Sa84MxVAc5
kz+bmNpjPM7pKWPNwxE0cSGjkNjpCSGelZrsmiGrjmU33YslalfdNrqgQXo9YYHfOpQpXmeQdkoc
ELTOduFaB7kxb2iOD74kXgppfptvp77M6e7aX4NQf4YnGLyotTRuYI9mHp2Zu1rrWFfya67n2iFe
+tavoERfVQVZX32tf7fy0eNc8K0lkjna9LwlEhTbcW9XdEpaxPN+XNNsGfDe7TixWBdNmUOkz2Oy
VTk93uiFFYA+Ko/Y6Tdk3u/iSD1Hcys8aVUsUZLBNoAq9Q3CX+1sVMnjlFYmaW1IIaoxljRi9KK8
gE0qIVTTEhhMPl1YuoJH+kmpW3PTmsvnLol362Gz1oqb0upCT4zOqmd5R8axr3VwF5Gi3gRjixmV
0hSTK5M8y02q/At5a4W7tNPD2Pa3CIlviO285rQWe/xgEjw6tCbQ8MAnDT2kqIRtLj+sTrjZJRFY
lpCnIiHG0czrwotMTOCzxZCF+IzlVm/w/HxUM3+3aP9Ti1YDVPnvCr9r5uZl38R/aM/+eNHPks9G
vLVGnVj6z7LuN0ug/MQNEdnUh0DrN3WG+gngp4aiC+a7rn40bH/ryppot4RO7agBzGX29Ze6skgj
/9iVZTpt6WgpJUxTwzKQl/2xK9toZlKvnogjCdUI0rMsNIeOgmDNwa1MQbVDDt1ZIbjpAmWtOC+j
oyBDz1XNK1AD+DgI1fukSxf6Q2iHb6CZkb1Lti6+YPJ4JyrEY7dG9BJpS1qvtCebKXTgkOIbpCNx
gBHRvgPlxUn9yPst9exUrRHA2Nbo/alOtAuIad/hkSIrGLJAsGlh8e2WOGoOqSBUuG/hzDBZihTP
6OeucfORAGIce+MXyCGICiaOsyBq+2GXKDp0iKIMLmUtaF5RkE2HHrRHupSvNETta9xBwUdmEjPY
Nd14HMg5RvJl3ozBZFOimU6metiz1YM2B2KfNrrydSTm+N36P/bOYzlyJO2yrzI26x9lDuUAFrOY
0IrBCIqk2MCYZCY04NDi6ecgqnuqsv6xmu59W2XtkhnBEO6fuPdcFXn3JpOcfQGJ6kcwGD6lOHKv
SxSqdtuY3LUWpqEDOdgCz3YSA48BCvOD+Y1YxjYxrCpVJh6aMZBnqHXBsaYB/GQ8C6NeR4By1qYy
x5FSvmLoKh9YWEqCatzuOVRN8+h5zYC1TZuq75YPP6zSkoSwS9sCKCUDLDhobohocfN9KhJsn8Ys
hw5tL8FiMQuly5tm2rD6Fy5kgxc5T7/DC2l23qy01mfN9TSrryOBf2wK7ENSNYo+Gn228tOO8a5T
b5zBrTlPGb9R+o+tUS2KWdzt3XTevEot/9qs/gapnx5HneCAqsgkv+isFa9n2bg+77bjWUo+lH76
VORW+JI0EQi5PlcU0iM5YmB87FhfkbWNQD28idWjWbdezgr29iZmb2/CdppzfxMybkeSMsIz6WcJ
PHkCOmAS1pA/aR3QyCscVFjm03raqjjML5FkwmYR/X0KqoJbnEp+YcwzbdVo8YltAHJ8IHNI80mL
RKZPplnwzb+J9702sL6XQ2+BoVO23Dqzzr9QIttNCn7hqpt9AIWb6+cps70rEejhsscuoGbfQIiB
QFb2GRJQ95nP/gIxOw36m+mgq/EfWLMTYbqZEuLZn+DNTgXtZlrwbwYGb/YylDdbQzg7HLqb2aEb
E/2t8VI/XwZ52eL8yEuIMoLIHNXrHwleclwLYzM+1L2TujvLTHoQWy4JrpGBf8q7GS/AO2DCaGc/
htmJ8FiK0PreSnbkC93iQ7t0qgkXR5C77/Hs7EhuJg9EL94Tk1KsH+PNBmLdLCFqdoe4IT4Re3aM
VJH1nZ5X4WCpzDudGeYPW1VYTGo0m/kagU/+Gt9MKOnNkJLP3pTGmW0q4+xYcWfvSnazsTSzowUb
Q7NSTXXVa+ShZFy5zbqaPTAgzq21O/tiyCXAkjV7ZQZLRbPWo11Ps5MmKXTnAP2GNOWb0aaaPTfF
zX5TzU4cIFhi283uHGP26RQ3y452s+9YDk4eY/b0TLO7p7sZfbyb6QcCdroPRpxAROVhCgKNiWD0
ZhUCfBy/JDcDESURZiLoA+3ev1mM0Hir9+5mPLJmD1IpPCb29uxMsmaPUnGzK9Wzc2mcPUxxQtLN
orhZm4jn7Tba7HeSs/OpnD1Qo5Xrd+bNGNXcTFKmTdbk0sNTdh/i36RcNNRc1ff+PjQ0NBG6UCy7
arVyE68n1x0ZKsU1HXfuHCw1NqsuzxF/0XSumPPTUSccm4XOzmUQ2RP9S7utq97H5GwxKqurqCL+
OhnzJTGg+DvEMH1NZjdk606X5aow22wtipCxQirc+H4QOlG9RysFJdmAgcTb+QI3OSVJkblUIl7d
MZFYqMPK1JvmlRFMHd/7g68tDKzk93rc+xvYm7Q5WSoepO4EF47FYeu4ybTvmEPYVp4/lCxUH1CS
+MYCKqX/ra9k/orsy4Wa6OT9IRyD5JubS9TFzJ9anLUqvwAGzC6eI8pNHQCnaqLEOnsB4VZFhzgp
tquAY5vbDvneiKyK/ndTuk4Zr8w6y86xJ3i6MsEVCeWMF4Y0ZL7qnoE5q6rlqdR5+tPQGGy5crK1
KtJAHy23kvs4SvqnoNVc/DSdH/4w5xyN/Bap0czpGuOcs+EVisSNOXsj4Bf/VHMeRz9W9nZo6DiH
Oa0DSw/BHVNJoECgp+MmtkZjQcg47NUG+GPSzLEf7ZwAYjQM/Rj0kQrSx5cShwD7GNJC/FtwCKMG
/wH+6L7AYHZXDUVQLPM5Z2ScE0eCOXtkfj2fqjmPxIunasdx4WzjsiLy9RZcYhi9fU29KfzC8Rft
okHrtUWFFofHEc14GCdnvBKWTuzZ6Hn7Tm/rb9T12aWbU1P4PmGtQP6FbU85xKrUt4iV6Za2cgte
aecMlh4xWEQ0luktGcDq63BOa4FHZ8HJgtM7Od6wr7kYmSMY/Tkn6EXMiS/6LfzFrsmBieZEGMGe
dV/PKTH5LTAmuoXHhFXIJW2l4D8YpzubqIuTi+9RguCpZv/T6PLNmPNoDMbO62YWFsElmQNrpr63
p3VVGUbxmBNpExn4DdddiJ70WN5CbwRzhBDXb++9RXMqDqv+urzIqo7qHYPoEoGPlBBKsxgn98mQ
TcQ99nvSzgiwFVlqDg/yVNDrPlaAgdl6uSPOPAidCu7EMsxZI5Fy1V8nVuDxsYEomUHc0sJXW5k2
LarkK74cjUTY66qHCSYXCRSBSRJLOAxdsy2CJBLtgY+sAQIK07yEEcO47I2yd3hBdZ5/xt0AurVp
nScaQXUoy+gJz9y4zswy2ztlrZZOi5/RKWa9+fTGAfjTisKPuJFvwKDb72YBnG1hVTYLULt9czxi
tNA4pZdST9e9lWkn3hyDTlkl+zxpyp8mYlzUcwpH/aIvsVwvojZKdxWY2atpozNdtq0V4mGs4Ek+
uZJE02wyYBChvAMyU/R2pv3H9/Ivrc3I3tD/VuCy//oIf/GK/eMn/tE60QnNZjH+0y1sUnOY1j/X
ZThbfmMfBlzprx0U7RaAE2Qt0rVt6wZh+UcHZelYxfCQoXihFEAeb/47VjF39tb8WY/F2g0nDU8L
vj/7QdP9ix4r0f0Szawvz3bIeCwgZLA88tEejbXm6uPszRiMLDHzw0DITfo4RcoGr2c4P0Lm+o+W
k3Bo6IX5JKXOl8XRoiNdHIFUqeECf1a5nH3YU+3BsTBnl4mWzo6TMOj78lnkJVdd3kWpmR0TD1NZ
16VxfHaM0Cv53KfuJqrDfJ/5owlMt8W3OurBKs9Sa6UjHdiEkY7iNvbaa6I8eqeY8+2Umkqd6tZo
tqPsyoPhVf0Xl+i7lQH0tbxavNGvOVuhIvVeEQOyJONP7qVZf5hVTG09kO0LRdDAvssOYNgJVVgb
3ijtDC/BH5jQdZuQ2T2FR+UxWquWjmr1rNsA1J45zeh577UwNF66cThZralWbMvRfzO/eRhrRjJN
W+arrhEvqR15zwOF5v2QDybgAu9lGFziUMW49M0uu1qxVu6stjLOVZZV+5bAF3CR2O2yruj3tgyj
O6ihH15TMu5RuVrb6NSPZYb4NC207js3gr8ffdsEBqbjn58xiFPs6j/o2d1y6QK02HlG9KOl11kT
6j682mRQoY+P4gDXAMB1RpHuu2G0ydomEp3XpnghDvyl1HhotqkTlLi+e/MbtJ+mmRdrK4mcpa2A
qCwQ5HbzEq9DxWQSbvzoTIMl4bOFaj9/Ip9LtqobV/fZOFJTJjvHaMtoESKy4dl3DsBQ4NZb0ZHA
DuBsVgTJRA8eLFzzl3GsJ6ZSId3sZJUsogzYP4iCbR7FLNbMDawtnCDWGRn6p0cku+nJztR4Ckdp
3s0ZbhuJXffSV2W1IQBh+ES4kNILCJgobaKpnx5IRBSgEDO2mRP3J1Yg0W6w8/rU+O7EglH2wVdo
AGlHbGLvQr3JIfG0yjnqisXQImocce7zUSxk5U0pfFFD5MtSdozF3br9Zg5AkRe4441NYiYldFU8
DSsjCLtNFxr2MgGXihYrA2LNBnKIuQ0INl12hBxsvH44RSVPymEbCpturBkwO6yEO4SmP4sW7rnr
ph7azkSeKlv7ksxHFmYYxqwgWEgtzIrimB0py0tTmWrjxMJ7iei0WPU4dMR5dMmwh27SwBbfO7Sz
GyPS5WfCtXiYhgzKtewId+5JAl1UetO/eoVlXrTEd1bCcf0NYg8Yp3nSj8eCPVSzdOlxDq5MaJIy
H5M33TU5zTYi4anE2y7lkK+awTT2NZXSAywdpN1p336zQ7u4MmgP2Uv5s7DJCyLw1iZ9awbjkGKI
X0kWDLAXRurVGNt7gCTsk1lHdzH1oj+uo96dnjv2ywvsqPomZIyE/o4Ejqqx/LvQzauLpHgHVFw9
RYkmH9g67qrcnNhRgwkpBhoqQqr7RZwawx4qA0PcXqImywxtrUNZwbij3PExqVN1l9Wd8YQULX6P
2FyvNKJlF21f9Xt3jEJ/nzPSegTrSfPKdssclLjLYFaKvOivgVVWpzFW8ZLDU5xrmrZlYec48bOI
fDzUeqsAG+F+KvUvwITyrCwmKgZonn1Wt3IR6XW2HHJlAB30gy07mXDlR+pJc9Tok4JoNo+TF44/
MqEoq7Ag7sY4s66kZVNaVnpIwqpJrcYMI9k6xCyvWK7PUctTc4zCdnjOU8GcWOXBUrqdvBNDznQA
JObeC8J+5WMofjMLEe5GuChLbUi9dWU1o7aKa1u+cQlOO8J7cLLHFH1DH5pLMPPtz9jXijPwzuKh
LqUOKT6jfinFRzBlwZr6CHFd0XVbt6sBeSv8+m/GFDSnKksf6qJoD6GHcNGsKnU00qC5TLldbPrB
nS5CZ6RVM4wrsSH409oKZLXNLMbThjmAUE1cGgQntH4E8+C/d4ZPijB2iZyZMJ4RBC4raWunULNK
hiB2/8KYB0k0rMYHCTd91QDcfoOBy3fDlGo1Mdve61Ey3OVhq3FgBf2ityPrHdgjHhYHWbfu5/l2
Qlz30WeBtRoa5JktR7rRj8YOzbdC0cBY6DHCRLpSoKCJaUkfJqHvmb8KSIWmDjZbUMtCHbC9lRN1
114lwYs22NkybhE4jDIPLzFQ9Zz9Og2iCGRJukDpHAJqcsBfie/tODfJ4mjEqXY082Ga2ksbgD0s
U5EeW16wpc1n7ykeDfJyWNrxlYi2aETwikxBuCdT/SEZgU8NfVWgujeZT1p54NL5SNaBbpOua/pg
1tv+KU5Usi1kzUBAQP3IJxGtepUBDkK8uWkzVp5BgyvLQJqyHlw/OwV2xfHd+/1HGAm11Tohj1NX
O5+6k6bfq1ppZ7uurrWZ2Y+Taz2jk0Be75FD3PcmHrNGm7Zu69AG2k73XGdhe7Bl9hFPs34Bhemm
TKJi20EM37WA2YCQaUF9iAx6RisKrIc6yIsLsgtGCdxcHfSYqx4o403r8/7EoAHnrKn73YseRdou
nTr7lKkoPhiRvSkIDF7iILxPpPWNLhAcuJulawiZPmj/Ln1CCau2beOW98ptyIyvlbkRpf+DGGeO
wCAMt26NpQCIUbqri3Q6hUxxj8pOAmamkKKcGpWRmtJyZUl7+km4wBOBmTkyh9h5THyeQqMnzZLn
x9Q0Nu+Y/uYM5/R3n9XnAplDeB+rAnidNt4NcjiNvm49pyVC2DIGdGwhG9xGFU6ZaEj896odhy1Z
JNX7oOVYhT3szUVndHunj9sNLJ33niEy+qdM3wSINRIryNZpG35oLSS0CqHrwoFydCBQdeEQuXYc
mqNTIA4DEpIRXZAWwTJ0RbEMhZM+z7jcR4qqhJ24y1Vv6z7klj5hilIUjb71nECd08DCmW2qrTuI
Cg4R2p58IAgvZLlOKowRnGCWcuwYcbsL/BjZaNfH8lLaigAHC1oxS9xqNcboZXurf8ehFkP6qWy1
7Xt9ule9Ey8Tu9KJdanyje32w0frgide1AS6cCbU0l4kaVCC3R5La2UX0/CZs6t8l1jABGXuRxZ4
/oon8jNrs3ITQwglXTTXQBjXwqXJTXAlTVWCp6hM0APoVpJjTjYSWDg4Xvoug7CtWQGjhMpYWfkE
Ei+DUs3AVwwPKHLvqXsZ1oh0w/x82ghfcYP2vn6YOAeWXMJqhYZN7HxTEz/RzdiLBm3+om0IjYem
wAogAhBE6VGt6zS52g4rg0UtxuHo+7WALGzEe1YZ7XsB2HlnDCQLOHmryBwY6+RQwdsj31Grwcam
LG5LdhuvZShmhyF0YlC84uqQD0bC6hjEZ71v9M8B1QGjINBMgqjCpYlHC9nIlOb6ozv40OJWfueG
xSeZSJ20FllOxPqTMxB8Yh3IPQDO2gzMcp/6seNVK5ovlBGwinIq5UVckYwIADHVHUb4fWyvbC9K
HPaiQb7SGh9IdReMww8lVfjVIxxcUCPYr/xM8a4FDNdGg6UyqhC0B3rnDitRu9Gh7dzyrlT87aKW
xRvzxoWZjNWGR9TuEs8rV22AbDgCqFpgox/yr8oX+h3MVHcvMUzxDaaZOzutfEJHpmD+2PLLShUp
G5MzqaNve/3anrwKyz0mt1hm1UHLFBr1PgxX0iwgphZh3+6sFB4Zp8G4ouozgBpTwhh9nSHnjZKd
rFJr7aS2gfimtg6VqCgBbAEnI0VMaMsRhyQWAHQSiSqeh6izXjB6shyoI5U5zKY1YwE8L1kKXrmH
3nTxVoHKfett/x51JC+rSL3hcei9YNXFDEeXIBbFHbJzMuobnLiVmTImrm3GD7iulHvvcguz0R7K
FtodUMlFraB7DFkcPwVu2rw1lJ70THV3HnNCBTJ7qje4o8s7H4IALOlm3mwYWXjW/K5n+ZIPHTQg
JfZjXJePCP5Es8JDAIMKiO4+qav8oQmgYAWlXn5jhqW/6sotiSVhoZE54mThzyQWL8cKaBok8S5y
HBCLthNHBm3qsQuHOicMQ+XOHXwS65qH5YczVQgCFGq6EHCxmOBBCK79aArYuEFlAOOWjulLjJXi
2WU+u3UND8/bCHp6SyvUPCdV2391SOKQJllswbJArXhG+SauYr6EQ5UzDpWMJ5kRVtQ6hA1DcAvt
/vtE1UfFr7ECZ9o4XkrGvOEq99LooQo8KrFyqhjLQ6Bf12ju1oASvH2fQD8Lpyk+2SF8+gx9wjlF
2bZwBsmHSWjfU7eYnnHB+fYCoxS/HEC/Ahl6Mr4kHBUQsLueVKbYme61kY0ROD1/2xhd+pDPdZI5
8bmqJtQqDOiCg28kEcQHEGlRxIYlj319GdOWFfSfcyGr29XJNimuoxy1GicYqkRURA4awijOytei
wYt7r8M2NLEjkv13V+Ijx9xR1KGLREPWsOQYiUxfs6imv+i3WRmmFf7BThtfmnxQw9PUazH3q9bQ
8DaXVtQQQddt6xiQ/zyTMLQjL0mFarAIylAu8cwUbbL4L3gadWihrjhD7Nz6mlM+pWk2fPvT8vwf
kuT/QXbZpQAaWP+v/6n/xVsnEDOTl+oicma4otv27IH7/HhADjT/7f9SrNBQ8+v9GZ+ZjUzQQDBv
dLwj2V5DYOwH70ZmguMyDgjENppVbexQR+Xo36l2QroFSwAopzeB5C6j7d8/ub844n5/btIQuiUd
6TGQ//W5ZXpX5sJnRgw18uwoakV/R5DQv/8gpPHOocgEIjp/fQFsyEA0vV1/RiO8mP+XQD1zp9jc
HuY/go7/n6DDQin/p3fkv3nu7tnQF/kvco7ff+T/ziTlb2BFATyTSH3jbvwxkzSs32yMoa5r31g8
f6ZuSNx2TCoBSxFzyIiIz9afp5LIQxwTJIdjyX8PYGXOYKFfp5IWPgLHNux5zMkZ9NepZN1ChGm9
6BInnhnjStdneUcVJPLeI/XFuloSLMMWmzOaT9/3UCMveqzSy8RnMkZgANwuVPQJESo1q63GfADz
qaXDi+12GiM/CdRtobo8oRqbTxkSc8QXfXHP4ePUObRg+uF5poDPj4ugCA26xW3hWYTwhGV8yOJc
/2kGOXMe1hnud20+FQeJw9lJ5nYRNdtyaJz0gRrS35IqMK0gbNEZ0HxQqZiyRdNoMH3EBqUq3E2m
pT07HNbufGpn8/mdzyc5XHbSbOfTfZjPeaez23eqb2NtYc+bM2tk+FDdrol6vjG6dvK9FRugrFqb
it8YwMHUuOu6TNXKEyFrb3x2qAGDZQPv+Xs0X1h1J8P4bBuDtqIycO6jSnDV4dRG+5pKQPYNUThU
v97gsegTTTQ+OtBPkNX7anz1x4JWE7Zei7jBDx4dy/S9RV0AwqS/D7t9JH0Gqf0wvCLC0G18VIMA
A2J2a08mdY6+P6aBcBpJ3ooTmeplrIZqGQRlXAN9gH+k1bkoFgRXEemZ+RNlBsqbdoG+nI9EPEWs
NSkX62kV23VdrWTqjG9NSwjIhd/EEHRHXTbgAaAoYs9jruu5UGK2Fv6ED2ytw7mWqiOr3fQEUa7s
MmohKYTOtWQLHixA9QcrY2yKK7YO3JUFKXwiK/WrNldxeUe6j2+BG1vAB5BfPaur1XCr/m6FYDgC
qU0onvGyb8pcUyesfPF4J/JWOOoAY7l3YVIwVcRCxQtByhvDtVxdLESDxX5CtkwXiUIUUir4XSRy
NPnWiS1eDpg1zHXy2ReKxYO1ylhVmteWOBbUtHrnPGaIafuVo+FSJ6Cic0qkHtieRwYm/qISXKnM
nwbwxZKoveIQF37lnSS2gq+sZGW/jFMncaBNj6ynOtSA9RLFZHGuNTc6wboNj9LP+w/KNaDoSE/b
9Ui1N+6HAFHU7FPM0fOmcp4HMTdjzkx8JEwUnQCrZT8FWrMTVeZs8iCKLtEw6tMyJOaD+qfyM77Z
PtchG9ExalZVXLQ9ox/VdaeJTKkSVxjmiALPmLlSXdbplLBaNS1iLfcC3ChiTtKkAXPuhinrz2lt
i22VOO0qDMwAfxkbXGgTDniSVHOis1YUKUNX3yevy9aFrFYMvftXA/H4lvzWEp+EqB/YZsdE2bba
pzZ5Od8pTeL2cUHPA74qcAdvmjLMmk3QjsXrgMQKiurYws2aEFJvLYjkxHsIi8G6pwHB2XESjY9W
SUDk3rBlU1J8p0iiUtrYfu/E2HdM4Bs/mZ4+20BRTmgm6+mRAW+ndj12wgIt8zisXKUB/66JsZz8
2Lhaec/30bc8UNIxmNCF3bKsTcYy3k6D6R5i4oQYbfTaMJwGHXSZY9b5BBi5SrbMaOt1qgc+tR3v
VbEJML6uwASYV02NotuYLfQP6cXGsZC02aYba95ao5sIEaAM+pOarGglzBSDQcM0IP5elU78ESNn
fYYR373VMMuqNRGkFt81a+hWWkzaYqZLrdlXQUCEpdnG9VqGdVAd+QsWUT3EvaQ0BRK66kIC34Q6
XmNqySDQ0n+JRTymFghxHBZLA7MlDYSsAtA9IG5AXlfsAvwGbmezKOyste6KXLUu0FTEWTphkt+6
fnqx+Ag3WAWGZE6qEMaO8Z5zneXfq4D58aoxwnLvIE4S63yCnoOphpFXMfTDAwBv60yaT9stMsjx
+h0jseIO14iMt25ZmK9lM7wGrJmhIiF911kF+am77DrRQK3p4qG9o/FDTzXqNbD+AjQ8A9UhuGJW
9Ylvja10nEYU+E7j2PHSYq7rH4CP9+4Z/JP+n3rqX1vxQh78u3Lqf1cJEJiPX1Mzbj/zhzxWUmAJ
SiMoifDMqGf+qZAFbICsUkKgcJCpoqH9wxMpb6EZhkONDBDRdP6op0wTVigbTFBmiCBugLO/eCD/
1hPpzjSPP3kiEdvyB2Ii6AL2yfBJf6365x7TUkbL3DV16bJsrTtXeQN+l4SmAwMtGydaEY84P/rx
i2vCOZG8i9PH1fX+gSm7WLRMXj9SJxUo4yzvDL2anW8cQ2aXSuZEa1jOGW1c/TDGXfSU1Xa6Tdq5
IQ2k/l4o312nsRMfXEMS0FWX3zGtx7tBwxywiOKe+UtNRvanUAmHD2MCY+lDDHpEJpIcPPRyR98x
021rQgsZmvyusA2gaKmfcYRwJOhd3e/zKMOpl2kSii7ZsIesbBWD/JRIYEqhrUpd7zSSsU25IAfj
OmgEzrEgI/93jBhrmKOGYaMwy43h6OlWR/r5qiP9xG2fXHRG23e+oT9NAruELn1mCaWFlliUyvxp
jghGMbXIJa7tHKxXVjUXvJWIoWLHXJuWPdDSp1G7tVOhvhhUlxuzAl1cRlW6RfuTPJdWDNZ+SBHr
ETUQ77y6aVbMKDP2aaO+bHSjfSng7983bdhfGyKhPr2xH19n2sA1SNxxZ45xdZaEuV4x5kbMoY1o
UxJQchSDLL9nJsmvXQ4CR3Vglx094dfgYAKwlqeIitkGlonVfhHoBTTZJpPVY6GSB3vL14Y12hOx
SEQBjsD277JEzY2stk8Th7z1suAI7apyW5Ydmd0e/Kk6bqJjgwdnS6cA6TkLs4vO7MvY0M1Dsxlr
ICzmFLdHZY3xt2CMvDdWmVxZEftMX8n+UbGre/J8K7ojq1jc9fPdsWgrM3pBZVWf4lakj1ZhKTY6
TGAQCxRiZw+pEzOgNc3rNDrRHVfKtBkdFgc4i1znIY+YTS7yBugF2WrdSfaRuGB7cg6A7WYV0WSl
n+0wqLMvJSa8oTWPEuUjEAcZsepxQGUzTsdfo+xr5qbTbgjH4Sy0zjwavV3ssG4G9xib6icuNg/p
XJ3uMw3Keu6jIfRy2wX7xzKBZYq8K6Fq7SM9Vbs4Ttl6ZewPN70V2vep6o9GyHwDQ2q102BgtWEA
fbV1MfOMQ8LoR/nOR2n2P+ySoUIwKu6fMbP3RelbG4dt5Gp0cuObaSWfIMYI9NMCy3hz3Pyp6Mzp
W12rkUVULq5FKOHhDaGvHWygOCHTE1aPIdI0qjRNlh+1X8UXBxpXuoCP4n0CMw23eTdD9KYofXYj
cBEdYsO16JLsGAe8ib1pEpTYpnLFSp21v1k3303X6yqqAv2pKXIQ3b08FD22vNyVBGXNcoEojZOr
qev0TH66k6AXDtKf8r2VZMWqxhiH+tsz31gs0wdhcdsQblCuwBcPC0Qr8YOqhfVjGsqCUXocLqeQ
ZXbM7uSVtmp4dnLiWJSRFUveUHZpVUhyBvtGddGqYdOnsjyCZiecxPM2dhNnW7/uxZ3reum2TK/U
ht2r5jO+S7CcX2MRmDtqbzTZaS+6cy666tNsRp4JBPteDM620PthTT5rC6GQpvm1YcuqABDNJpre
GQsqiTG4n+oi2ZK9jmYLZKyzrLpBIvDT8C8jrl5Dg8TEO6HeBTfodc8Bfq94kSbk2KZVMJfBNaBT
T1XiGKgS4kXui7Wua68xS3SXKTHVFXJsB61CKZakzMol2D2mfiyRU1GLdSEIaTTipPieynA6+kXo
Xe3Mlfu6tpHjz1X6NWpIVnecfGlj8fyQsTNsY4ZfF1HLrGESaIrzHBRGUFuGygHVj0QWV3jfPG6N
M3it8AUJMoqVqXv30H7vuEQnxNQMgcHKsVdkQ3OqY3a4rIq9EzVadWliv7xDy1N+0/woPddJptDk
1sFGJ8VvNQG8WNt1ab4kfUaxRj7GuvLdYhMO+BEmJ2jvettTH5ZZzpdLO1mv4Gmi58bQu3Qho8Tb
MFIIGCKHyZpZOxhq3Q8vuo4OpfesGfhRDo+i5aXPiQVakUeIbW4w3CMoYTteDWkR3ptIQvig6QRp
kDyJEE+0ZAYHZovTdGj2iTep57T1txErJvB9/nRJOlZstDBMoMdGQJRptRwySDBsZFl0Z70LjAOT
5OS9Lw2wjwiOsA9y3UZ8xY9oe4EO6PRfi6SsvLdEymiV4ah/xdvr7ziZwr3fGKsR/85lamPtU1mO
OKjG1TZZ4NT3epSne5v6cSOtoCbCu3efgx6lhg4t9JEpg+DhHCr/cdQk8kqnOiNg/56jLfkkI4Dj
H7PrhJxnsAKMjKS5T8DFFkatHcnUNTDd5FVEP97+Lj3U6W+J6UNYeXVNUXH3x3EAjJRCBH9xmY7M
QLzmWgZluitCvtKwvxy0jhNia5RDvlv+9GYxJEQG1oVDr50igzAMN0c1O09tGlSU9iyn5KxFWem2
iCwT1JY2qkuB+pKE9Dds0Q85+LqlNvVgBmepZjWLNivUm6CC1EEhNXqCGml8A5+Xf0KRGl5whLy5
v0tAsYE0CELV7/JQhZwVsShR8LN0lFIrDxDg31SlkVE01hpIbHgaIF+s2n5o3UvZlKN8hRvxswVq
6O5SVhremzaGhtpoHb5PWsRti2Bo2mahKu7wF2nFm+IApfbyOrBMjGpKyI/ZwdWSChBQbKwo8kjC
QrBwwM7lvBEzWL4LDEIxTIUwPTqhrVdPbTiF/jadyE7JWTL3U8H6rrHjL9DptfZsl/5gr5F7AMcE
N5MU+5LJAWorAQcOqummk/VLjSd8UQ34bwVe9EUTWC+DZvQ76IJIo7OmRaOdDxsP2OIS2QS5w9YJ
XILL0kgjkC0JuGU0p9N21CLP+QTDMpSGc+AG0R5DLQpOg5Pq+Dn08dyFQXmueDfJRyKGLYz6Dyvx
xkPlzYQsS2u3ej7MEum53DJhACyAhFXHKCLfc5MQM7OCPdTs3NS0lgnxJVu2tIKwNuuaYf9coTYJ
9pMVNPuWXKFDlRnRoRHBCVET2cuOrk6hL5vVGDjle2vKdOkONhyEsos2bLnobwPhr6soLdY9uGkA
m2HCReYrssp4m3etUAbZx0a2tYUvflqtTxmtEhUNQJHQXH5BMJXuC2CsOSW8tW6Z4UTOUHEQOnrL
E//PUPxf4dPrgKL/tolLP75/ZL9gbX7/kX/2cNZvRHkh0sWa6OrkDv7Rw7nub4iADZMD1sBkwVDt
jx7ORqnr2PRoIORhKc5xhP+YiZviN8OwTNS6gHLYu/6bJOpfOzhuFkk6N8+CVtEQzOd/7eBinW1i
zZR4RwAqRUAUk+DZelb99KfX5P+xu/rLeuj2MDjc5+BHU7jgfH99mEmvodlOfG/rydKfkiIbV2Yr
3Pus7yAZ/P1j/WXIPz+WR24D2H1G2fTPvH1/XpPxXsSgNk1/N+qFd8/crbuTtm4erAlGjJIZ9/Hf
PyC7t//2KkKfk7rNiA8soCNo+//8kEOCE0J3uDEjfEPBwi+L5gQEk+1loWWFjZwQ7L9wpWlsxP9h
70yW40bSLvsq/QJIwwz4NuaJEWSQConawChKwjw64Bie/j9gZnZpqJI6/97WJiutLKUgEYDjG+49
FzYnoYoE7QJaBQVcbGsn7ICrKKbj3QCooCKYZifKAYMeLFH9U4FWBpAzTvQ6CMUWr0G8xcJpQpsY
CoLZjPwhSzOkuVrTvjNatzhQE/MyCHKQ+2MbnxmZOcVqXitsx1rP98xc4d20Mn9g4Dl9EUQP36LU
bm5eFd7p3RijWsuKJW0u4ckYCe9sm7JhGSVW92DKLv9Kanl5AViUvMMvyUpBD7IN9NkCjR+OvRnT
Bb2WiMF6qk0UdozZm3rseTcMIMVaSx49oy3PTeVzLmep9aJnIaInt69JEdL6XQ2Jg1fwIAI6X80s
X6Wf54jE8uFBlFPU0R0DfcWKZ290aTbPiCtFj6M1ajxZL7yxD3v5LNgCjfLE0DvZeAVjtmUfcJ8v
GVBTKulWXnzqGq96Tsj/fp8QOHkVIb7aJTZB8TnxJYoDQ8zE8dwcAV1oSTxsqOSZBGJAjj6lUTYL
Gwo7uwBPZthO/VOeZlfGceyK/uaPU8bWKG5Wpplx7yVTKAEIJs4ltghCHmKdSUQyXqNauMAT9OY5
90q1KQe9RbsAMQ8eupt/Rp8dwZeKXscmqZBp+s4xBANXLYzJifK15OIATMju6iynW0at/IBrczrp
UwDoSA5GuncLpWsrjHSQDrVSe7SJZdnTT9g71RdybY1xetJxEX4Opdt+Sg2m6uspnMAFam0sDlwC
ueJN9lq3GQDlvjkj11SY7LPPukWksJvax0CjWUohqgtJDnZNQPCWvph1gZYPSwl4elmaNo1CQDan
V7XHhFhCeO8tM3MXO9sLmzokLJr30UK2uIpKd1wPnltfgz4zT0xt78ku7o2F73s2tzZPz+CY6g5l
Exp9Q30ZULpuHPA9d6lZTJ/aoRyJ9qycT9WQpheSNs1VOrXtFUSEtixa/1rDyFp3zvRBo/E/m1Nk
rs1xkmfNm8iQEkwJClzcy9AQajOiZC36/L1nBaW5i+lxlE3ZoqIRD3KMxw4IQVcCHU6HJFuMfsXa
aJKJWqVhnhJ1aKIIhCxTu9PJ77Nx2GdCD/E4U5zo+iLQtHC6seUgAA5DRIdJiwtRogQaGWQ92U3i
h23GuGfwVf/k4VxaC4MaauWMs54S4xNaNKcmcUO0PiLQXtH0fhhQevkbb0xNZ5/7jDjgB2mjv5GJ
jGtiq/LW3YQpy5KrSh3+S6uKVXhm80n8fJk3RX8fulpIGV65tYyOAmwTck0Z9M6zWUVdkyx0CMLR
um8GYd6SrtecTT1gKvnMwowvKgInpR1SFD1d84iNrMjrLfas9FlzqvRRqDzeNnrBMVzmnrNjZp3d
vGBEhhtYJhLDvnMtaC+kcC36Sc2aPQ1cjYNX/NBjHz9hr3J2Zq4RWDukYzyyohLGkxmVIKBlPf/f
+E5AT6KDfwWyBqCXCHSyJlPL2pdQFoHB2wW5H11m7+nui0OMFmnd5h1lbU5MEA+7zwYDLzw+Y095
YEBcSTxJExcYIUS7LNDczXAWYF0aS+KPQ8O/1VAqHiepQ+FwCq2rVkr1Ofwsu/oCuNg/8YMQYJKa
dnmsULlOq84NM+CpY1/ufRRRF1wb7kuWz6A0K1PGJpBe/qD1zMKI7M752TRiBdkkaW3+1fSb7AbE
fLjPSIaYViwwyscwx9e2mJEMQI7KFIBkFGSrt1fdf6URv5NGgNP8ZRl49yLly2vUyS9t+91A3/zz
T/5VDbriD7oVSkGG9tR9hE3/34m+Z81je9xXps8gnbKFIuJv8oX5B4eb9WdWiP02tv+7GsS3ZTLk
Qg0Dc1vArHD/iW/rxzrGh5SMU8CCqMiH6W8MxG8URsIaXS2ttIoMuuwrD5TYan6JS9ln4/frmunf
fZIJs8PSiUADxzRvFr75pKywC3saDD7JnPoFEomPFZTDRR+Qc/rPP4nPEJYOZsS2/fkn+eaTwlYL
Jnr+agfXq4NHqF+kQiLr1tPtH38QGea8yRw+Tuezvv8gRecpymaqdkhav6ZZ+jXQ4q8J//u/+RiH
MhaJjfjpO0LQANXDGaodcavwoX24iDKiv0yH+H9x6bhXBWE1HN7sZOZK+9tLB6LBLiN+IwW84zTo
DEt5C/qnpkh+80vNf9M3iyTuacN3TfxRfE80ST9isNFj+BqYvmoX9T2glG68juFwA110Y7T1O1b8
Dzq6Pz8MQr1LkB2rtR9lZJrhlDybZbUT9Zy4IPNml/ggn5havOg+3qXYJgUDEXr7z29FdEyWQ1+C
mAkw+ffX023KzsyoSHfgMMvHrkGl6wgtvWkJ//bru2S+2X66oHCmORU8Xeep/v6jmNVRx5ekf2kE
zezyrhrXiakHj7/+lH/zFPvuN5/yQ9/DHNtWWseqQRODczSb4YYjuzi8hez9/33SD5euT/OoJHec
GyTrxpU7JC8TpD/EJL99vPSffyn6dd+f9WjCNgFefH/pANU4fl5W+a5SZC5UOsquGWw43E8zcFMQ
B7aiM0B3IxwHsclM0cssZAu1XRxUTde+xAcKe3ygrWvohV69KMbEPUsvUMAZmzk2Y/SJgAsnQ91V
HvrtppqkC5yhrGcuigH/h4xePQU0QS3k7Lyhzh/GRpg4Yc1y7xC1/hF9yrjqc0ohICvpohwLWsOE
+zlFoRsu5djRWKcFSlvFRmhPrnqx7tKMlFrTKx5httgHnAX961tP+dY14sfjUxIKlN6XxFlEHvr5
9Whn+ifApOxPJT+PZgr7JQdNv0pVSy6SCKtLaE7lCoggTFHa7hnY3qHwxoMIB9ANaEVrPRjWEJX8
ldZUGkFC/HZTzsGVJ15LDAq7TbKPSAIPKbFcl1dA4ZGh3TK/bJdKzL07oKRt0kzl0dDbEg8NAlZf
5NqSzbH5HnOjcxxCI/kY+mV2c/uUNkRa1TO7P5PFHn8RtlEDIGFuM093A4UVK/LmWs6ySDZnkWHT
baOYzW6yp8fyNZpjTYvbjwGX5hgldXVxu+SrbvCddolrvs/9+Csz0OARCny57+ejMaL0mpPty3TT
QBNCMiJQh92zexyuyQC7lRO9BVpG+atCElkoA6jnMpB7h5jOjlAq7FLn0KrEJXHD4qurCeNslAkX
scto4AGPkIv0dttn7DgOE+Ekp8jlkjEP59eEQ7dkMUIqfV1h3p9MfqWQTTT7ERq1nEDBVeBESb7K
WiLSl3hRIEvG2Ecr2DKqEiucq+pDFFSob9hpSH8J4zGeFi5iyJPGavi9rxXO01CkFKBeVB74Hcc1
a0+Ua7qPoTgxxK1k0vWEY5f7x2l0hwwp21HpQkSRKjewQcSpGQjDQkHMVwDJLaXRNWFULrSQFb2e
uOIm64bHztYnbclMBGoMKjdIURVSQCfrq+jWwvVQW6BNyYvoTW0jCp4j1yuR+cdCZVtJ9NCVqbj6
MDVTunWqrmUDqjVsrhPYDdPsVca918iQ5sJl7/lpEpX8bE48W6wyRmOV9Y58p6DTPJPz6xy9MeMM
pabGldpB4nV1m7bD7mMNkCjfhEOe4MeaXJUDUsVi3Qywz9MmoUyPBHk/tDP8ILQRIWMvDZVCv4py
NzqHMFfWXcjoJtH4hjqLV19ncapFfuOvnEgEj4lqunQVVUP0pajgCRepqzDjRbSTttF9qOSotoBm
8d6Ijhth6v3i0NvxVxmwEam1FnwkogN20V9aph2rSBJ0X5u7tlSfumiMDzn4lnXHZhyshu89RB0P
pQEZA8F9pu5U24h1mPKc20S+Lkx2Ke99jIpHXQwbhIHZMpyGqgWAksp0wYwBR0ubcVNzKg73UVaN
q6JLAIBRVG5qBlJrmi7m6qpCgydBmk4Np1veoxgBO5hj0uT3NvPkJUYNeCGDyXnJBuk/WKo1zmUI
/pTANeswdNxRKQfqx04EDNsztBOqmLszCZR6BvyLC3S1/lVqTYaNA4nJMrJT/8FwMTrYevbiOByU
TcP5AUF3hjwP6cIEUruCWVxAErI6/wHwcnMyUAuzfp0rrU6gRciIwFolY8IhZs5tf89HI81qdiTa
tEuyNPvXyClYzOP5DgXOJ2XrRGnE2cWqWlaJvYVHWAKKlvVcVxPYfcyMipupr6OOzZbBroGE+EUc
iH6Vu52xfjt1+yh+blMM9nrPacVePFs6+mSc04DxXuJA+VUgYjnjqCQWGvaFcxI6G8nUaanKOUbO
mjgRW4SFDAjKd2zUxGXygmKFObxZ2prslx3fMEtgvWl2iBYKFlhhsPTdojgEU5c/yI6zRws5PXrB
Q4/2lWvOLpadJ2vKENgCwFVT/ySMrj1CgKIeLTsktbPl0NWBzLGN2+YiBGPaxBcrtlh8J4m8jAPZ
HaR2vI91q3/vp2QF+SP2TXsyEA+JeFrjnskvFfRxel3UHNBVYwszejjbQ9v4Hc/zrVE6pjK/ZCke
5vWy1a3qYo/SJAVkZK3ogtFyiF0yPV56qeBtqMVRdqsLTl6W10xmc994wlddQf7hK63+PGRdG3b3
xHeA8sHqZ7rLTO+x8cqP2dDtctOxm20BWMo0oopJphQEro2wAstFQpMHVcJMRL4k8QP6Sl/rAjs3
iLkCjThmQYXrZgHaLs4XVli3+sIJ+hrxeG7iLsUhC56FjFYiwqpl6Xf1wcokAmIjH81sFdSEJbrH
sTeHHIKRjgz3zsWiHlxrs0ecq6NU0LZ2rNAwQU8CJLUwc+xwB1sxnF0Ebmd5FnZl0WDvxjDmfZVj
EqFfRGvxBUJbSBBDCNHc9wixggpOoJVVO/q6lm8xV77H2GXZNm17X7hMapvE7piXAfBN1i2YQjJl
rM4AXCMN+dFPdbyj5ZA99ok1ZIvKgLs3F9c2TCFvVIcCgcYqrvRPtt/tKha6TFasfAHxNgKPwfPF
waEeHCfR7gyr0JJV6+VMX8h72vKcmnATEzmSKejDTa1J54OQ95KCFF97Paltpl6S1ebVxgeYtUSW
8Y5mOhKSq1XYZqch9rKmM49r+BpmntGBmIdpmnmDoLTUtH08ODqjNABW6cJ2Ob7tkOqEbolhfW8L
EncqfuFd2vVoxPzRUb+x1cxAze/reMG7E78PmEzLnFEq3xejcsIg1kk929W8QJFU9+quDRF5z1Af
TjlKy/NogQUhNJG6IhVNeeSBd46tlYcxE+zfNWo/cF0IH+fnYUJgQFGdm90fmlwvNEOeAX6eJjdu
nT4eG2D0SE/ilyLrrsHIa+7Xhf9PnaHQ0Uaz8bIN6nHxI4pT2srJQcMjJqspwoqgI5ql4HVcYJI4
avZY/pm6+x+DHn7a5cyxsazeUEfqwrJ+ItcUJBjhmU0zDpQa4hanRImsC+HvKmnyl1YjlCmVEfUg
Hoz7t9cOgWyGu0VfDQTCANwRpJnzUk612g5Mv3/T2Fk/tSf8fA5bQ4wsns4k6Yf2pBriUvPtLt1F
5EhjKpX5V9SFPFM97DodE6dNsZ2xXyKoLjHas3KpNQ3cxJfKoNAmSOqFUqZAMolebTTpPLFnFPky
I6vnaJuxOBFz0ZxSlyV1qwCJz5gDB98zp7I10LiubS8PHkm+tl/I5CDpQvCPLc5B7wHnNy9g9OPZ
TY9jWBXzW7EATuGjzYch8ptrYcxd7Hdd7nwtqChnrgvUoh+3l2HXBwlvL4QbLgJ4lGblogUTvsTC
/aGOPW2nUTYSFhCZLAgI+QMaevj17flTny1Y/PkmPmm+Em7THxab7ej2jGWNeCfot7eOFjLetfvf
HQM/TSz4FAYVpmt5tul5P37nXdypwC3KeOfaFM9EU7HIwKG4rE1Bn+GmJehUrLTnCIXHh1//gubP
15gSxZrnP/NWlQCW708gQHaoMLM+2tlsJ4JdZpfi9Db2RlPlHCXCnPEicK3cCnu8IbCov2pQLVDj
Kgc7UEn+0Xze4jUHkedb67Al0dS2iWig/hanpCzk5zowgnavBZLG9e2n/++8+jfz6nmGxhf5n0N5
jijYu9d0/NbM99cf+lu4ABHME7jxWKIj7eUY+kt6DrTZ8bBhChNZgs+omDvi7zge8YdhY0zWEU0g
TWeC/C/ZAtbAWXaOvt2G4Tz/qX8gPTd+eu6wmrpMyjmiWbybb3ftN6NJzIdRQ8BaeFDcOhFtPKdP
b4TTxuqLFpmNJw6KucWMMq7Y5ADZKX1xJQ6k3WGooGmqjXqL6UzXfzfjM/kdvz+UTH45ygIoa8RD
6j8eCYNEPpWyBNhjq6vKiyCb5uJTR/IzQGFJmY6Uj/ivNEjtxAe0oSWQESuADIPogs+s8YwHaTh+
3ayr0cu991OlhecxqntQn5E0nvOItBa0b6qaNhOrYuxGDrO9C+J4X2owPFrNx8oTkIhAGF0brYys
t9MBn7+XNu/g6YY7xAU5QkPhZPUVdw49me2BPgFBWoiD39B2lCTBrgdyeGsfdEsHOsW37nnNdeB1
kb/3TU2eKqzGLFx0RFd8QiasX2nOSoz6Nnb9JWBMVMU+YAADD5QZZQfANlkKBJISGbGexV6VwGm4
qP2GeeGNzlnbNvHUHHiXGdsOTf5rrEfNReTOsHITiT6tPFRAX548tJAYuIdx60m6DXIe1GHQCEkl
TbCmqIZxeq5tazwVYbTRYmAxi6gzyqtmi2fdSiDBY8EqVwjZog8mPn1voXdOf8fZrT1MHU350kNK
vu5jNZxCb0KzGWaXZqQ/G7BogTjoXSPc+KlmA45hlSCqiPACDBLTsiPjxb3qflpdFYAWjIV+fu+o
yYMAZDVGekdmt7TeJWED9MzQ4stEkIo9BibTxKx/GnWd/LLIKvaDWzlbTOTFpvJaOM9G41JhAwJc
T9CMd4MVVKQ1Il2zJh3EjV4xukDntgQk6T5w1esjVCxyS5iPHUKSLNGAuv4hMpBarIJCzz5UrSGf
Sq9MvtY92yqyorTqsZbxdLYKczgBM/Y+h17kbuygrdeYHmA5ocekTMBrZcYlgUFcd3sz1T36TPYr
0UvKbb+wmAJj7UTMRgRMf9U91Z+xi6uj08tuDSBYbO0a3R5AnQLqBASqqZh9tG3ebDp9MhdhE0fc
0pj4gk2vUjlCY7XdDw5/yUx/0haBD5QYl6TxYoYosvNkHL8gvAzu6jyyV/4wNDu7skkaapPEfZas
9tkse5GxN5WbNKuyt+BLT61HeLIqzdnm6UjpL8w69+iUiXUh6NoSBDeERLYvXDwFTxgtKLnJJG6J
vGqMo6ic0lkPXMe9guwgadyz6ISNuDiyAefqodeblrYi0VgqcGej6SCT8QP7FUJ2D08j6xtgA1Vx
EhngD7gQdQrSNgk2SJwBN/noaJiZ+fO2PrMDtZ2LOIhVrEgePHyIztZLS3dP4t47EfXTJ09NAwnR
0t4LF59E7LJhXlUGBCxOwv4ZtYLfLCrfhRqX40w20IM0cNBD4EMjNJLG+1gEnuhwqTYQ4UqUbOps
5RVxUwas7AVINAwQhmqj/DTSk5oLMSq1L4ltdLBuZDWUKHA2F6cssZJiAzYvMrP7B7chSAhQRkQD
OhYyu2Aug4nDWIxqtVSltmlg5ahV1Uzu2eU4OOYRWApw2ll+C9qivsad1ZbrITOtu6Dua/IlWgLN
PYv0yNhPyifCzrVsZXSxvdIR/p9c7lFAPcYYHdTkNHe9GUX3sdmn77DDFU++g0s0HLt8lVc97MGq
5PAlGTR9TdgTYhaw44L1v9W49zIeM+1DZYVTvxxQjFxNq/fjtaeD2ILO0rjNxtZz8YUAqvow5kb/
DAkrYzZgqKtB3bwbyBaaNFdjAIXvd6ebidIXeDntYyQUmqReNY+ORcDigglh9ECda74vGQ5fvXHI
jZ2kPLqHhVCRvza2abZk5Co/kpUIjs9Gz+Bsm1mqQy+fviAiqgmwxNx31/owHMld7x1ivCyfONMU
1cgFMwBye0dJPg6cmfrK+S6uQov6Te2BXGLWzEeEQmeuyNm8SUYr2TepOazrngRPzoZhn3hp8EGl
yuAf3HSc8zzkiCrYjmDhITd1YkkAtsksAPfX3skIHYH3ejRxKuvSgBc29KCwVVt3x9Z33bevbQeK
+5jrjYYqw+KXVIa3Zp35mlh6v+p9jMtpPVi32GirfVJ53r2wIoNPzV/NWgpuRCe1LgMGaLT9HDlO
dqI/DV7xSrNs6fIFqLUBJU+urXyypNZVZSfn0YHTaUMr5g9Mg3kpeNDtRR/7/Rl+GM5uszNXeTSa
iNP5B9tv7WPSp/VDA+HtiCzfzpayiopn24FJr5jMHMGVeqsmL4ftXJd8yrS0fOUudawlMPyYoyPx
lL9mrROdJNg5HAE+WmPLr3FwOcjiyZ6Vk2evu1EjkhefvbA2Y6PFgF2mTr+5CcZ4Iurq9JPd4ppZ
E9dF0mVoh2RZksIyTgjpWsYifuT1eA7xEG2rNFbaEioNAjkZpTdKOL4uMFp2oi6abqfXUXcf0yFw
tkmSw9iy7MabELdE1p2Me6yrBoXXBUu4jQcgKj+OyKE3LWulVdnqfF+g10bm9qQ7fLQcZnSaHqvP
plGka90N7Pkl2uR3fi2Nk+Q44ymS48TAGNTXgrrLRArIyJEbxDPTF3r/Z6kZ+ORHepAlQ6vqkBBY
5S146jR7YQEBiFCEBz26tLLOryA623OZJOMDwtv4cciUbq1caYAXajJ2Agx6rqHoeVljnryD9hit
Btx9JoJ/dJwrQYwdyQd2bBUQH8EvsKlRKzTW3mufDPUnX9Q0js2kiYNH3zMXmA4sU6y0Yo2nvLUX
Td9Mez9h7QC1vnNPbU5I6qKKsw4ApjZhi/eSREEsn8hJ7TlHkmVTwFdbUp40780Eb/8D1o3c3na8
9B94atFB6NwDwVqUmXtQScObALZBUe/gY9rDakAcASzJs6m/yszyH4fBsFdl7YEotZPRPfpNykEb
iRlkVrpZctdgVhqQiXqQ1Qt/uDXEGJO81nsf68AH3/8WopEin3y1DZxaPnMy5KiyGRA2EVxnLSJj
4pVRe2T/xHNohxmHEb6BOdQj7DxgpgWbkGWmh/q+8hMyQFj8IK63OlfHO11HVnt0yZot3f+2dfRj
cTv+rq2jhWIi95/bun3Zv3zX0v35B/5q6YT+h+EwPkBf8eYK/quhE+4f4PGwE+NAFR5Wnn81dPab
KMlAWYnIaNZl0If9pUO39T/QFjB00eFIMxb4Zw0dAvbv26Z52IbGysWxjG3ZY/L2w5whb1tVeLF/
0Ot8OGoJ4Qp9aqbXwXLSz3mhGHQHLQB90GRhyFstSM+WlTfPFHlklAae1O6N0EOfG1WjuretNril
hAbaxzoehteohT2Mj9Gqg2VQsGVb1mBqNx1p0usAf+dtdNr+oWsqC0vtSOz4IUr87LNSo3NSbK5v
0YCLHqwKkSeL1jdMVlslz0lr9ftIwFAB6pitk8iqWSkWwmHOn1vuZxwB2ZdCJ3AgyybiDQb1vkWD
eU0DrUMCyCLsa2tN+SXU1F0K5JAFQhEnkN6t+sUOQvV+CCmuiBuJvmoWhsuFCB1WdM3goWRXFHnD
aMn7BLvX3eQ1Rg/M0x6/ermmPZRFAj0RZU14VpoZ7BkdeeAWpQ/hoy8t+2RGSZqwcp0MATcVwOJE
TAkybGgNDhEKz8ZohcPS8nN/Kz3UbCSeuNnjaETRpXO6PRuVMtzFfRYCohH+waHI3+ol293VlOfu
Yx7h5NxS/GUeLkSyR6grzY5kaBgjwLYZI30ewe8QbO03HrzlOdHCFQ1btCCtD12QzsWz4U4Lk6py
mSEwPTZEpiwgY+AS1UUFq2DE4rUJlNddlZfXOxAh5S7VdPkp0gImjyLOs3JpTy6dTYbx0/B8DS3y
wMURWdbOuYDZxQA2SKBoOBEkz7oB3a/jqQ8Zs+2F29mtfzSiEsxYNI3YmoOQwQJdWNCuQmIf1pks
mgtg1maJMaceFxBboWj2AwAfaCEEiia5FS3caAjv/bb6Kvlbup3eTjUxn75Vfu1DEpx4x00ZuUs0
cK9FY7naLqCavgXdkOyVVdTrSYyJxVLRVS+VIfx7t28UbI3CwfdsNaSmWbW1wezAy2+Ijf4ytTJM
brVORJN6mACrlBncYq1ttx7x39d+9KL73MRJnn3m2zV7m0imJubaDmTpaBL5eMMO7qy7DHrPoQQQ
nONbhyrZKjB+vQt02DDfhT6fEcw56Nn0aEtyYvsC68SyNXCr74LCwIOAmGZR8ISi4sCmNbZ2upE5
hl5iw5vlWELeRYi88AqjIZQVarPUq1lKawSbJErJcqXXWMfMRWA0WQgXUoPYDQETUTcQ/5b2FU7Y
Dq+sc5oqO1iOekOUuF6MO+x0XPfZcw28mv56VfgNd6Bd1DqxXeQZr6TsLFryACppMrUHk9jGNe4X
b0/2bH/qWJiyk83Tbe10HZSPfKqPrqy7AwzQ/Doa6BdZ37pwh5KivWpCPkwRD2ZKP80O+p2hcQxk
fvrZB0uyStC0LMo4kU8aArBz1rNJJG4yWrBeMh4bO+XU8iFUAn2yxUJ3k4EdAtPypA+Bepgw8lSX
3oMlvQkkKtRQPNhaSX5hG17xWUfrvDSSZUB05zKJdYWkgpDSHU0VMF3wQlztsn/SLSta6QRC7r3S
ntZm5jK0NxPzSuatXHE8UVUSJYEJ2s7X87R9ri9ld0cYFpu/IYHrClnxPXwk+4OXY1jFsJbhr4yi
g9e13pPnAQWoejcbOKQkZ4pHVhl4PSfQsHrSDfHkh9NFp0mGuYe1kNlV9iUNK39XTra96zSRnHoD
Jdk6lNhXA3Pqlm2BD7yXTJLBKdXnHPTD1mty/0jE2AuWXxZ/YayIbsmnBa17u4aTrYMi5KI89BlG
3GBi4gIEN+Nqm1bCg+prArs56COuuaWQSWCsHQgv04pT7ETygoYK0KLuaARFppgoW1Nf635VrBLb
62hY/fxDXZIHHbVhNS5Dvv4PCZkBptOBEE6H4mKoLl6NWag/oXfMWK3a7bNnhPajVw/FQ11HISVk
rW8ywOt3Co7WPtFt9otZqtGS+mbGoRvF3WNsW7DNI2m9wNIBxGDVPUbQurhDgiFhXDjGBT91ChCM
8BqZ9+MjfQ723lwz4nOrRHsCkqBO9OfBTo/AvKhEpkwBfY7MLLygyE92MRpV+OqdR66w8j16Yytc
WUlrYmxoo+mgZ1W0ydMkB7mXBe8iyLHRIq8c+ZG83xhjrabik8mUZieR5tPrG8MnXJzpcrKq6clS
lglgKfEYypGaRq1fy3fgo80TTtL+xGgB2wMsp4T7rY6uDrv2R5IPzM1U4nYZ+7rFIUL7+h4Xury3
JhdRiSzpGTiY6h1v9OElgiDwZEWMLxcdURFrIBiQR01GcQl35cFp2of2Lf4obKw5C0mvXbw+SGh6
g5yk8S00CRJ7E7+3HTMgTakt3Y43UTrnLE1vkUuFRfpSZ4ByH9mk5+tqTmfyW3KagjmxqXkLb4qs
OcipmTOdwmjstj0xT/0w1FtyiUJEPjS+fJXZqptzoeBPtSsSmQ9dqFXgAkiP+u/a4/+lPmZD/muC
4flL/3+eyyb9tkb+6w/9VSN7xh/sNEzfmwXWrPZmes5fdbIn/vAISAHF4/2Zn0IJ+7dCH78mM3n4
nK5nACv02OP/q06GP285yBT1eV/BX/gPFh8/bX+BKEL8oVbWWVG77g+6XkO5tdL1sNwr3NuESBeh
c7EIADtTQfxOJz1v9r7brvJZPsscroWwmfn9sNtUUidb0TeKvYcx/zwx2jozGxI3WnTSiutJrL9p
Ve7//Ju/BZz+tOXE96DPiludLecMBPm+A2g0y/QqxjR7iFesNXtqgWCRDOic2gG5bNEGrrWGHWs8
9W5sPv36w38SNsw7G+yi7P3RhdMiff/h+IbkwCS02E/oWj7nWY4gNwPefKLdH65DMIkb+qbf/cr/
5hJjPcWBi0GBe22+bb5V2LeyTZre90AI5MZwz0Ki/ayIZZgWIm6G+1Af//EHzi5VnY+D06ljNpl/
oG/2ZgnQksqUjdhRIUNpe0O6RK1Y576l4b9T7vOvL6vx03X18Ci/bcjpH/G+zIu8bz5wxNs4hdSh
u64cwGZ2tBfmvPXAROj3NroD9irG2ccQssexZlyB/RS3oqq8fhm5KTuC0JPetR0Zyi0aOJVqgeJG
YgITw4fR9H9zF9AN8/N8d9N7jmGwt+MWJCnpJ4FLwawblVvb7RzPCu0nDZlXcJRhRqJdWKKYyGuG
qwejjHjDAwF1cDMX4UgFiCbF1CPXPSB6sPb5WDkvoSUbd4E5g3sJ1EZ5zCffOONAQ5eldDPL1wUT
8nNOggtVb+oAcutMSveF1sQz69yc/E3FAu2sNR4onM7TURdo48CAmVdhEKN+nENJSueTr3inkJM5
gbZG22omR5SVw73LKeGuYnRdYpcgZH+fZKhKr3VjNtxyAbYDqBiSt2CJfigyCPAR7gB7ixSCZLhr
baHsh6EY+1OhR1m8JGC0XygSFCHIzQcBjTLP6aDkcK/1COQFEBF/SY5e9dwlZvU8Nbq1dxXJY8sB
0eezn1sKwIsEESnqaUab6onAw9k4L34DiL5sMsNc5Cqonq2oHa5arRlPTotuPJ5i54Wa1Cz25MEN
z27Zmh2eWwMGhQyc4drZDb9pBfhykWeSDxRFHNxg0IC46PweIWnHdfQnxXVrsKB3gi9t8mtx6+vJ
eXE1RNr4osUa+hG5RrQ/rb8Ug4Zy/E1O/Oe9GiWgWJaRFffdHZEc8nOWYBpZUDpUz+aoKrmVvcqm
pdaMaXQQXhDn+7TW6rxdQMD1u3Vrm9H7SOEG9yvO01VL6TWscwpvdwEexH4ppV89R9Df72n8xUmg
+r9VWY66xS5i7owBe9bSDofy2JBomIGyLIf7riMbZaXcN4a2KavnYUjQo4VlOtUb1TV8SSIyrD0K
ceQ8fTX/rrN6ja4X6erb9beHlpS+zgdcmnreijCOSILtF/r57b9pA2JS81FPODemaKfxuz5EXqtW
fQjZqKslN3A0Px5uSxbPjoyjIDj+D3vn1Rw30p3hX4QtdCNfejKHOYgUdYOiEnJoxAZ+vR8Md/eT
qF2pdL/lskv2ZxIcTIdz3vMGQS1er4d27DGcxmz/DtWUgL/a+ZbZA1hjS37VKdAbh+4nk/oexzez
QT5f6XDY5SkdOHkD/ECZJ8I8G0XngW+SdlzGxxb/XWM/mX06blRkTOFdTT8Mq79ywFvpyLvwQtI3
P6PCoZyfDDWAKrdzcjNOGI48tbz+eN+W5bBvZVyOq9nMALN9IPPKzNACOCS7Y2nzUFthvNVLdG9Y
BtMuYEihYqXPRvQeO0BP68rxAQ2GYTyEAXkHXVTpB7cgHT2uw4Sv3ZiIoSGZoWUE+b41pdrUhEWt
sHUS14Ybd0DZqo3gwg/OB/rjgGbcakeLYUyizwfPGA62X0XFqjdlla/Mar5iQB99ZlQrrtwi8Y4o
ad2r2iwDEoFme7oQ6JX5wvXChpphBe3Leu4+BwkMgk1rUIpuWNzBkbku4UgIeNpgJTwvfLTKFvdd
YdjvujhC7tGol1J46RW4rmMf1GhxZKNJY9E1mHIRSpU57edY8L+sOJf1Hdcca5kiOoanZITc0otT
wdTCondEFzwWU0wkixf5BZrlYdBYn8bM/WNqi5r4m2dkc/BDh2x80ZUfPaaOy4FZyewhNcz0CfEH
GyuYHIvMlzbZJ0CIZ36N+zBiApjMXKPVg+sgLElS/OT4GPg6WYXvHJ18NoOnua3Fh6IxjPlsju3e
PwM7xMJgTS+lcc0jIeQINml9nKPBcbdNmR3zoA4vRqOObpo2jc8iP3jAsVg95l3zMhV4+LIExWNb
MDdNe94Tac2c804tkiMcCfmhN0L8ZcmXNS9rJhH3eChk3iYZSFizeoNUpFGJNfvSO7fDqvGRMcjy
WvdS97vZlo9F7NebSrc2k7aCICQbrh4hsbntYMpmheUVvvj2x1xY/P/X3FjNOxQDMvwY+GPSrCBL
htVu9iucvAib7uGVt5lxgWEVUD6wDhznzoneT55fHRK79K+92DIZJXX01wLXVpItw/a50j61SN05
/oW1qB0yMfC1qiBoMABrbQ4LO4+wdPLb6YyJoX9l6IlroajgiWPS23428zS4cEKH4y1zZxaN6lkp
bURUVqSNZSn12FJsorgSV5YMOEuVKznTUzJNHwfJX+N2aChQHlnWOmd0Eq2KHr8KImAmEDOmeeC9
GUZpK23BJnPzOik2kcw475uhOUwxGWdriGhtu1+cUC6COjfWKZpWKChcJlgVez6mIBaPdx2SAfcn
qUfV8GArnO2XGeCtX5+OQIYgYbP10Kmw9OFcxzfdWPrlqq9HnJP73iTX2oENSVRQ+7m0IFyuhNWw
IiSxPy9ezv3YJg7ndOEkOQRwVeXEbneISY8YOUEgff2zROlg3qhiMKMj9gBcXx4Ss3OVQ8wfpl7f
dAO1L7L+AEgvL6ejxNOrpPvFqUBfQq6W1trEb+l5xBIwvpZAuXxZmDaDowwzj8RQa/LubFXnLYkL
LraCBKTHkWJUPPrm4AECkKd37LOW2KFEOdM9SVrOsxsLDlZmkoA0dYMLEXA1VtoQvaOH0ZvxXKjM
3L2wZ8tvORc9cU9UIFZhfWx87RoV7ON+RErB30yVkxhe8Cj1yLLw84abXBHS8WBhoVXD/4CAu2s8
O2NaqJPljSrER6vcmbjW+9p3uDAbjqr7cPlG09Tia+qLRdcEt/vKEIquoZMzWODGQfqRbHHqCM1F
TGo7Nu+J0vLetRKjvx9cnbv1OhnjKPbv8owRCFdVHQBecDWqKdlNWWJE4l3qUy2jJBg7Z+UJyo3c
hP+RmDZu5HAVkk03kko5YsqyL4yAGoSoSfOIpUoMjaIb1okRT1v+W200M+Njns71JV+/uqvgpp5l
Q2xg2hAkR6OLwhVZElw9k18cIoY2GDNib5H3o8PnUO4GsxX0NV5wjsAhJEfRuo18jnSrifqdMCOx
QWlUMCDQ6gyyW4RDVy7uSpsjZkUZQpblgHudyKhIOrfIvhqJ7ex8nK7IoK8KHLkUNHN24IgItvxa
NrA5c/id2h7PWNcUBj3Ui6CrzWunIAl5AJ5z26k46B6aALVxeI+lKbHJXKJYZMXjVtv2tW129iX2
FuUt3zb3cqnzIzdfsbeLJXvPIBvRL9xtFOSXfWbjxcqrujbxj3hXG27/3FTSuoIakeLBGJkUkMAq
eZCXG3e4sQpxR+VXblHHmV8dN3SOljUwNsW3JUjxqC690Q79A5bQXxyQlvjK7tnCO+T5I4742H1W
FNrGUK/J9SFXcgJh5ASJsbRZcV9xGnZpdd4raZy5Fl6Ll22Ws0gZbgQX+KazImfEhOGKGRJGJVM2
psl6oOze/LyNWrqk77oSNAA0HHC+pQCCeNv2MzRPA248lMPOqegfNAErzVL4/vw5P3Q/BDTA8l0Y
5iY0futNexiEMbFpVVcfcuKKIeIwTHxgIIxXtq1Fde7aS+tyOg5//twfWn+ei8jBcUlmgVnqvukS
aclzK2V2dMBFxYVkjyS7aHWOhaYXc35VRTmBdMecxWpYqtyfP/3N6BGxL0plSVfMBuePeEuvJh0d
9ES41YGMIhqQmVnBg7+cuqnXctoD9PI/zbqhLVkqb2mTefdKZf+PqPyLiTbgmwXo8e8T7QWxu/yi
k0/fZSH/+WN/YnbYE2KXBnkC9wCUAIsJxl+YHRTkP0zHQpH5F5P5b8zO8vgha/HBltS3Huvub8zO
En9QbcCItBiIm3JBg34Hs3uze01kK/aCDtoOaytw7DfAlsJufR6jMr3gqkumF/yFyWIqbQ97RzPG
tj9gAtiM6XRISPQujLMKK1KnWWRG5aHCTHhPdPj0ubEi4g8Ns3bWOEcN87lGffVFNTlFpevR+6tD
2UUuaXLczeNk3xuMG/0+YngkJfrW3CsZ2JhTxFGzzQj/iHFHS4zOux2qfhDWlmKgqad76yTfd8nw
MJ9za8yTaTXbBpd0A6WX4K0EI9k12jBjJYfCmRCfRzODj/jCHYju9e9jAqSqkckybZ7cisLuULql
ZV20DyAjLolEqW3l5hPUxG7G2LQefHz3ka6U5jlKiqzfQmn9xByy2Xmqnm4cmZfeep7GlB91J2P+
UDNRTy5Pq+q/DfirDShEwHb59w14mXyKk+jl+9if1x/6Sykg/2B3fSsW+Hv7wTixyaxmzVNe0yZ+
G/vj/yHQWi3BP2xPLGf4K/6CzMUfbBOT2vtvDP43tt9bCBIPjMUN0ALcJTfqx0tNadiPKm/FeQkt
mBt7iIpEHxqHWWIYm6VbYL45FRWposIYEccCRep6iqEHEptJ6Z5gvi42gB+Mf6AfuPPUsHvxVD+P
pOJqpP1cOpsSyub+mzf9D4j4ct1+c+2DlvIH4zPu4ZmIMdDb69hve+rKZoYpGAGPibg01g7cuItp
8AiBBvXIX6+hf1W/IeH74ZE2pv6o+3AAchf/RP7zb/BaIyHn3IDZcY5/yUXVeQaxwQMqtH1q25HC
rh0460DTXz8HNIJKr3t78OwDlfMQ7pxoCRAJvYTaYR5I51yVeNrPe7nglX5JBbOtSnqYZVr2QJ5H
N+/tsOSebQW3PO4PVPsiC2kLFAKDeY0VKr0ANGXeteECGeQMJDZE4DgvXVkvfaLyeVSAcUG0bbxw
kSefrvCRE9OnMm2w8Cq6tu+x0yKddFrmBo2wWASjhUivsRBNTrZBPzt3taCRxfFg7UVMh6H/B0zu
TkirSZvbbBjcygdssOlFklNd0DapeqZUBatzR/4MLRNfbyEKAgYOI+2LW0kVX+u4oKg4IRfII2P9
rlFOjDW3MjD+l2ks2nOJNkNekU1Fqe96k1u/l1YPytU1LesvahdIUXrOcEd+qHwwLAKjn2pfaCB7
2S393SlkhDQhUl+aGrfE9dBg07sOXYNH5/UC12B1zl8HC5lOUJ/wd2CVNL4J4Wi7q6opl7gVpqcJ
uXul8wL3IHzsJ9TRfwKIo0B6rRL3NsaOYl6breIlJRNOySvXxhTrfTwikjzgslkUW94jtZqTWLyW
xMhBnrTTqfl+oslAky4dKc5hDeHwOy9fibfAOoFKMr4/mvHzQBmAo0neGRz8QGuXcTTOt4ZvxpqB
EJsXaF74G6XgBW/bZmIT5sEyM2pcb/Q2xMnmWzvEJy93lCAGeNTTg9vJDu5HAPeiSEO6jNnpq5co
7ZzLaYrcRwOnt6txqPMbKM3RC6yY5IDFjO2vE1l6L2WUDU+1ZaZ6J2aWLLCOvhm4JBdjzEX9C2cs
oxvXLv0pBOPgEZv7truVCSTwjTN4LBtC0Hm9Y0L06rXZaXBmmA0G/ISiV5aYVxOF5WzhL8B1+wlv
F767xEJO+HVKMXR+5p9F+rXWBMQkhYkZgstUfV1FrJFWllzQaOzFAzHOfD2QCZRLXve4VAPQi8DF
vKp+5s2wuUizZVMS30lUKUO+un1/wtDR/bIR4K7yghNZkxqU0eeeO4wGINjpFmeAIcXdJA2lhmDn
qAOW0JO+sMqeV+9VPU/BTiOdV4LdFmxfUWhsYWnIe/KXzwm9ks0DpYdhPBo9Yp2LTjZGczNBuQlR
SVgcvyQrTcG7BG59dhdCgj3owmgUtinAffOwyE3naRmQMaXjXWpzpBsLgogXgVtVcyAGh66Bdpfd
UysPMOS0kDNt8MVVy5SGrnHZFF1j81v0uOCZkNHkQ9Iv4Zr4VMXue537vbxOw4CDwo8ItYDMDUwZ
uz54k0/DXyOVilJ9wCO7ST+AHo5RvXL6qPtsQTzLnnDRbkXMKAQRwjXdC17NqCANyIYeXqcIaDLB
bzJZTsdWeXznXd4wXcVzXj/5faiyL9R+UuJWMdFTbwtzkPKa6QkbdyV74hDOwlL6hVzBjTPNs1gS
p4kAYHECwgXb/JDouV0lSeRflZYZvHeGPsTwRdx7Q6TBPIuqfzdVk7HNujbesDAWIIcMbisnZhgL
H5gdBUAlAJaYnE0M3eeAR4Q7XlQ2vtcJhjuI0nd27bglchFi4EsOmeqsZnr72Dq1XFuF+cHAFGLV
lSSDQpMgCAlhjH8QmYw+5m3ofdER+dUQv8rrDtyoR1E2bbO80bdu5UUfHGsotwWX1AaBqHWHPVf5
QdB97mRpYkzhzYDIZuc1N8xxsrVXZ+iYJYou/M6j/J1MW+iKZtvtYL1hFjBoaNBNNG+xp6qvmdBg
ho4XwrbH6PaWY73+kAZ9fD/Y+c3omTrdN6olk34iGNdEobofkiq5j1o3fzcWNoEBTVcu0h2qgjxT
8zFHPbFjyJusBoWpKv4B+Dwkg1U9cOnU70unqONNOrflzk/M6okh4fJqiwRHCNfpyej2en3FVMZa
QWYCfYDM+jVpvIbMVIhREhCfKAkpr8AxPXsTYxI/kbVMObBp0btg3VJUez/HNhfTAqs682Itd5FD
oERY1XtTx/2m4TO+T7MGnwqNDIohWiiG7VR4/ZXq7PAeCZu7N9oZYMQI3LWRGoweJ3JUr4y4U+cc
2NPBLMvpbDREcDYz5NlObdOsO2nTkvcTc6GydR+GZJg/m4C+50hB5/OmbII/HSj/tUJ5g1BQEtGq
8V8nNwCLaf339YmqCvLB8jo86q7GeAHz27U50jahzsI8hiFndR4us9ifF2JvOrjTUx0H8hUjxSVY
aamavqmK7HCOvXgEukMdVj8jE+JgqDtJjfHz57yhd5yeA8bDpJxqT9LTfv+cIYZ91AaEcdnA9Zyp
JpgDhvhMUHTIgfH7DwN0EbxOOAjBW8qDYA9j8+qi+MxBk6sqts9OToJGQiT7zx/1YyGLmwI5FtTi
Jmzyt7QDFQVebWjTPVouLJJyofE5Y4CMxu+q89bDo+O3n4cIl75eEJplw1H//j0Kv2Lb5gXe/8uM
6fUKKmMGe8SNtMscLJl4vT9/5hsMi++OD+fDloHCzpf3tlifEIZ18JeJzGaMCfPaMCl+OFC5gUuN
/woGIvzU2igG/m3ifqN/e5FiGebwnk2IJBKax/cfuiptZeo8A7vvk+YwjoaFfg8n259/zB+3Ak8B
5CZ7DE0ancn3T8kJ+cXKtnWPUYfzyZTgWH4axvz+U1Cf+zBUMD74wdnB7SypHIPPcvJodBO8pqQm
f+jnT/mHZUlymoXvPd0O7eabN5YpfOTqpHKOMmRUmTQwVFHbjYwxMX+EdlTrYf5FS/fj+cWZzhm2
ZLpZ/OvN6yuTIZzG3LWPcKPd96In23U2B0qRPkdbVPoTwK7bziyRn3/UH08WIE7MNQF3rUD+sCOY
gifmXDvymPXs7hD1JUla4NRzyhDl54/6h4/I4sAElRocn8u3h6WHuJVHFfJ4MkZGG1mdz8sUOLcX
q5ylg9PLqvn5Q//p87lsQSxwQZExy/l+WQ5mUloxVgFHMpdwhykgjOUmmVIQjX6500+A8Pd9OeQp
iNC2fbJA+GGnLQZtJucJvm5t4K9SUThEYnpmflcPc4MuDZdPbFAok5lx0VVQa7VXgxp0uMOuxKa5
qJhQRrL9LOD3UnXOJfNEP3OxTv/5a/lxhYM9klKOsypepxCbvn8tZeKMyYTtAAR3JDdk4CVY3muD
+3JI8f1g0EpZ//NHvvVm4CDEjphdtZiW4Ij71jEkysFLQu64o+Eb1Loav3xMZLTuYMMLrsyFGMF6
TyEwqD5Xz8OwMJ+sJNB3qpUMYVXUQ1yhSkr2HSKF+Ld3PTZCcA2XSQen5FvvCFOBi5It5RxPdKzU
dNIPIsLWr80xzyfyzfwVjPPD2lzYfewGoByWKMSy778ElbRL0T/Nx8EO7ZcWu/10NamSZaqXuezP
X/8/PWwZ3QCEQxD94RbA9xGHeUXQjSaH7yYts+DCbH26HMes6ZJ+/rAfLgM+GcMTbC6s5cZz3uw6
xneibkNzIlNtmfFHCfJsIqZjusSfP0guRlffbTmMc7FV5kbgwy080e/fYQ4lXruMbqkgGiZtJj1c
vzb8tsveMZ+e2/M6XSbddmRjijnGaGHz2rMgQuTLNVgpfRcjdCSxb6RZwplshp7mMVM3sVV/DkC9
rJ2ZL+jHqDKa4xGfq5uurAKm4z//JD9+Pzig4IIiudcgPL0thZKSkACvaNujnDG7G7GXOi/w99v/
PtkTjxEHOZBLcjrOg94PhNouMmU3EItxbEwXsoxM+fyqUsHWkIyx7FL/Ej9cbq9vviWbaw1TZbY+
FFrH/OFbKufCEqpx7KOrtP0Fi5jh2Nhh8HgCRFyvBdVRc+68q7SWvzjp5NslYi92zhYDRJ682GO9
DX6xc9wQMeVMj2SuZTjsmykeGO1+cuceHcKoQ/+jK7LMJtipFe1VsJDfSgbnyUF2ZNyt8IKY7swT
lWDOFrxGNd7SWJCJNa9mxtSwdN023ff8/huPXLmS3zQmDtk5UYY/Qoai69aBZPbYLMsrx9WF8Lau
EfVxaKa6XUkXpqQzaqCxNsRp7jwDOMLsUQ2Rt/HRRWACYS6UD5MB/e0I2nDV4Oay13bi3lSTMOZ9
5WFQAIpdzpAAlDQvgKXNEnKZ0wer2G7qCyKSPYFKsp7HTTUpQpjLOTniXSDW9pA7PUJ9EasA4opK
nA7s2xzG6oXUzMV/PReIuSBZiFx8Hhs/AxQ3UvZLoOsFDJ2iLL4ZJs2/PUNhfAsPE9A7QKocH16J
nqVi1LWdlfdn8TlkIchLkC91jarZa3EJk+MraHkywieKGhr3qdFBBsHK0He1JouZqX6VVxdZpIbu
tsUptNjgPbrMgUVRZ3fVbHJfNH0nFJQHyIyZiSl55LpVdufVov2MWwefYsSacv6CFKi3LxslgOi8
Medr1mbCD/LRYZSO/Ln3aOpsTN1kal8MvM0BRKMHm0uyLiNFr554PDgIyFUHR9bd+ySyWlucjvmN
5EOH2MeOOLYgkeqNew3haobLuzBtAhOPQbWKcwvKczkOTncnYIJgesNyiW/oVxHAickjRg6vYfts
GJqW5NO+g4Q41yVUIVdyhDtzxAqCqUgjIb0x8S7sIRTITrUB8aDTSPquXpmzRNm3817n9LArmQSg
jFFv6ubhlVPkJw4LrIx9V14ZCfTy1zoAzJ7VN0cuUEPs4td1FK5nTSTjmtpXoG2V/hp0c3hzIs++
QnBO3vPHWLEWD3YqnZckjONw2/Yt3M/XbeUu/r7msmdGD2LYS3kiPY3I+x+EFjAEQXvB5iWEWAaL
rsMqUr5LZxbnDu9VtgtmjldP/xEb8xGFV8IE4XU0I3z7JXSspZAg6hQ8rvKwpBbpgsQ2wPOrU4CS
FiYI/On689wekDEGuyJ/2GMescrMRKe7Cm9KLEeCiG1a1AaThnyyebEYrthYYAQySm6R6fGHCBPs
ZFfnsr0rZ6H0h157Frm+uedk2Z1fBRqdnM7FEl1c2uu+CZPpCwINlmzqK2nfTgImyyaeqI0t9t/o
FdzHjAHQicbAFawVm2kOHtJ2Z3lPFOYZ1B3ES1VtrfJkqA1cQkIcHtcc4U56zJsWtH5iOourcFPO
PpAE1rjHwjQ1UBsIOT4gzmomCnx8vfH/m5P+Yk7KGcBN/u9j0v/jEqjK78X3px/5m6MAEYHexLID
4JYl3+PvIakQZMQJm/moh/AIwIIq6k9d0YmjwE/5S3e6/Cf8DX8OSU8chcWkkoudblz8FkVBvnUt
AzWAX0S14GOsxp/3Fr0olNcyRALiFUmda2YH/tgVuBhTSFfmefU6pE9fR/aZRB9jPsHjZpqfnSb7
8nXMj/0jM/8cA8kaBoD3SghIXCJecSvs0zIR/boekRnvbIzaCrwhg+mAS9toxOsSe45iOGsYI7Qw
seauL7v6sswn+LzDkBBoFfh1CZs01Udi1QbzDGt1Znp2GD6ggOaINNz3kJ6HPbpCL1qbOtgQrIo1
TAFfuEg1uTgOFlUPeKYTp5NASDTQtI/LEdLgGgSjm/Mnb2bUEG7OtTJng/Ni1ujRCXduh0vsyNjQ
Mu7GRYrSUxQEzGVJ2taYjmtMEjHtDioyiotIeVdB0GGC3hJzuVeGUfE7Uf3tif7Ex9zIF5fvws4O
ddiMu3TGeQXAqOQXM+oM9RoNxAB3Myyfu3ESd6MbQ1SvurTDPbpFNIn0VJKtFU3zihjbZoPhzvCe
kcb0GM5YA6+J8cWxBx41xtZh4/BB7dDs5fswT9XF6AhM0iUecrbIhq0b1bgHtaK5GKtK1BvP9kYs
XJamDfGic4Zix3sMUgY9shuDdp+ktup2cduYsLVZ6hvD6ifzVrm47WKiVOzxAA+ZfTqaiVfaeauE
THYG1yQWeADeNu7uJtaRq9odigM22DizREPv7+Q4jtsRut26iOQQ7SbZIRNoorp21qLNx6/IKcyX
2cF7LXPYjbslXm3LHTtx+mMovwuawtkjM6rvRdnE55nb5e+JIsaozBxI1MVGrzvkQxyZG9l410Ux
IQ2R3FvwWjzg3DgXLBpup2EboRfeYZSnSVlugmvtqJpcswbvf2VHRyQ02ltVVpHdY8sFK9aJe+LQ
UqM6w0NbnnWFV2yIzQg/sBsaksFTEXwMiwHjBdjwQ7aPOiUfQqjYZyM2ZzuZDxgMBGXY3vv28Mkc
HWMzTP68CX0UNqgfpuSs8moLrVSkB2y7XF9c4MWAmXXs+M9LrOAe0qiLcXk7C8GwUUJOJyHL2rSh
enAYXl8p35w/YhEUbnoVTY99Qr5FOBPNRelhBumqNog75p7BkbvS5ZVyUqQ+HQY7CSyfJFxjkuVv
RBxW79xIdavRCFDiBEn0BLNi8R3qwvwus5n8MEOo9wPczq4ig5uZvI1tPwr3WydW/XrqtBXsQCrl
yMmC7ec5M6OU6WBXXzcFYvzWNTHMENl0RuJhtdaxSlcDpPJVGXafUhOfL2sax7XjJ/YhxTttXdny
RY/Tk5M3zhoeRqA3wSC9JtsoC6MQfBVqFde9ezO2RkhA+CpzIKg2r03df7fir25Fen4gp3+/Fg8v
40uSfCu3Fa8/8te16HD3mR5oGrE4zoLZ/+9adM0/ENsCm1DRAZ5ZQAJ/XotSknolQLWQbNo2PqAw
Ov+8FoX/B6FI4Jt0oafrVPwWde/7hhY16AINw12CcgvM8UN6lOkG+Yy9irwn277uMeorMBsfBH/n
mqF6cFHbUXMbQ+j/RDgCV0ucGXe4LE37koKuXucJKZF5qxfHkjAfN4Yr1l1gEDSuh/q5NU1+D1l7
7NclY+8mbXTNBLeGDVHFOtv1qGW3tYDxIw3oBnFQjhv8LKc99m3Z3ZxaM+U20vcYv4kv5WwwBI7t
0cbuLYF3gmwKQVTbjS+ktEwvnkXiw0Jtpj2Mo4FCGe/ueechbTw6k1F/5DBMX7ponHAEoFGXfjo9
T7CP1gEuHd7amubuy9BEYiVrovMiConbKHZvRWdAt67yVr7rLT1nv0DrTsjt/zCF01fgoo3lW8UF
nfn7ggx9M3srMIfAOLV17+fGCs7QzjjbWmrQpgAbU7wepFruGFkENxyS8qIc5dIDuAB86yQjemCO
SZrAnQJHOAriy5kQlCvZ29VnUALjqVROexdPBqSNJE0vOYkEwd9xlz/meejvo5j8mr61qmvfb951
HPcHNBwXxFhLIgfl3otJC1Wu+vjNJrl5/XTfSqGXfN9vgBQ+tG16ywKmwIMC9sOYAK9GPwrNurxH
nhE+i+Xbj7id34Pw6huDueBZn1rNGS6u3daOS5gAhdHNu9ZK50vda/NjDZkNZhRow3VU2tkRyx/n
Ppz4l7Kk/CLrCgYOSrjrGN+ECyIIaDT98DGyAWaCJMkfMzrWNT7o5iEpx3IfG42xzwbL3WDb0kHR
LFjTVmcO5+ZsfS7d/mJspDicvMJx9Gk7Kg5rk+gp22pnlFuzDuKdkzzndZAebbsaP+EQS3PTWeOn
uiEb6aS8aTox4CuKW2o99LsugerCpsyuvMFgM7VZcsisz2aRpM2KZCGXVjqdieuxl9Cu0Nf9JqGr
XFUeoTmY2Mi1TBCPemWp73TJtwQdIUkvi9hSF5Ofy6cJFtkXJufkp5TjotVxMBE56JnMx5JC6wDs
kZznXWdehgvNy1+CZpwMWg9eIgvbRcVzepiaOA1I3onkHYlB+rrFAOfCwiptl8z+DKd82ZtGNuPx
NrZPWPiqjwEiogvbboK1CUh79fO143x/ZoH4whh0F0QWX1e+y4BO49sNg4NGiHWUZ2Cqas63XdCX
e4MC6hHchtQTrw/WdrCsnaaaP43Sn9dt12JlYo9T/DlFTwoVQYZHMinUk6fsepPHuUl3Xr/Xgc21
2rvFO/xgg3U2NCguUyyK9oh4xEWFEy+kDGgW0JoYoSHeu9Nmk9mYQPJRSaSaLu04TNYcV9NuQDW7
HKhVdmycuhNbpzMw+zF7xe/Ug75qsmq+PS3bOlXBOlmKfahz4oKcjvBrhXz0vW8U7VOQivapxKrg
KmkTwkkhW9AcW2D5H0sTA5+qMQBqMBEiWLPv3b0NZdnbZn5MxIypqmn789d/QvP/d14tr99a/CNM
3Bkkk8uTwvyb8wpVH2P1uQnvZFO7xqZjSA3CpYz7FD3qZSPwal5DDTMe0inBCZIov6C+1E0Z672P
aRQmUuxB0kpyFR79bKhfssFtplWgxjpa16IJn6nz+TAIyMWZgrb0K6h9GUe8+QAMsPmzXMm9LN/i
qOWctY0AFLrL3Zk8jVToKxKlop1yQ+J02pJzBjNWzgu5aETKGKsc0ujrF4LqnXMxuuFX9p7FwTyB
K2pPXLijzo6xrPtwp3I/fMi9RaMV47vpv9Zh/8oO8d+g68vLB+72kPDjTi5PXfa3ax/nzKSZ7dG5
q3rHKVdj24ZfWc0ogJqWdC8xJ/NlSizDdU5zuu+KhT4qoWchJU2GY0Ws13oMZHOWO2ND0a2MB2RS
wT4YyZpZN6ovr2e/TS48KIU3YwEFaNW1Y/t14JrgK0rsj8Tk9mfmPPsDzqUz2mx7zMq9N5CzU4NH
Qr8hL6Pr+/BJxiLF/tTwj8Tyym3IIG2HOXQEzhTrZ0gE874Zh/AM7TH01NIrfeg2Un8REYmFBLrY
xoANqRRb5GoBxsHZRwEBDvvOUq2srK7PcnDC55IhyBk1AYy9ZeuFYNWfG9J76fsy/o/wa0NIEo28
A9ya+k0ByXkdQFv9bNbtvEtpeZ9ZecMXOy+WE2R5NakXHkmbmi+XjC7U77Rrd3XSmKtJFtkDDfOM
Wl25yXuvSD9ZVVGdqSjWZ8TZtbjlyGFt2AQ7x3psN46X66tUEDf9i4VAkfh2FQdALeaJQnAqB9+U
DZzVRd9mg7qjr+tI7mFeq1ensxn/LbWfQhVjUYr/EdZucbSjFKtfXNnNt7PgTNpGRXsWG4rMrDzN
jwq567jC4zzJ1gNZ4MRsROWuU9hTr9hJ5sdFEfqO47/7KAlz/tInnm1sAvTI3qaNUeECEpT55VB2
zrbwTNp2MBAL1qqVk52ei5Cw42Au+oMfGXozzTXpO3bxTo8VnESMf6F2GTLZB8ol4ZuNBYOlN/vP
yuFaYX3FhFCp6oBbc7u32bUHLwd0WYH98s2MSfcEtHOATkFkICTleUvQ65Oo8bSyKt+CZUSU8aqF
GbwnHInFmsrWXuP66H0ij6LYNMOQHXEYIw0eHN9Yudas9rOScXUpdWgHa6jF8SP3QPLYGinu7nM9
Wj6GZ0X61DIsRruZKTfCOgBIeV1YnAZEltbxZyPwxJ0xjEuBg9zqaPqaq6otXESMy9TeQsa/7eBP
m3zcjCMvr1peVDsuSdVh17MNMBacl5yq1rY3KEvLhyjqWhTiNrfOLFLrY2yBxeIA7NbZOQ54S/kT
TLdRR4oKOefK/IhFIOdqpwp/M3Gym2sDiPcicsbsCFs581cRsMiSNBNXawehwXtRzYnPeurn2xTR
fb9CJK/vGmrLA/BHQOvdzvNX6Wb+md/Pxjbviww4zQ3JpzObedzaA02835L+t3ab0FuNqNLhCyqq
zCUqY9NhamysnDokuNua86+eN951lWJ461C2ojPNvHKdE4l55XkMSyTJT2sug4A3E0zz7ek6+6+z
/VVnSwFFL/rvne0ur5rk88t3re3rz/wlizH/4FeYDkpK7FWXAJW/W1vf+wNQxiUAUiwhGVBJ/m5t
gXWh5DFwYqmBlSJL+7u1lfYfiwYEjBaXKTrS4LecpN5UiYgsF79VdGmo5pbBOh/225syGrU5+3XV
H6SEtwxhPGDugj1JcGH3VtCuPKcpSQHioN8E8S8FrW/uaSa0kCF8tH/w5eiu34ZkKAX7H9P6bj/2
cth6E/JfgcXcBrfs4vDN1/IPvdQ/Pgp421ywAl7d8iK+qccaK0W/Ujjd3haQvCDtjiuL42cLrK5+
0av+06N4lQia6NwWwsL3j5oF9iyTbXf7/P/ZO5PluJEsi/5KW+9hhsExLXoTgRg5iaRIStzAKInE
PDrggOPr+0CZVpaiVJJVr3tTVlmVUkRgcH/+3r3nznN2mFkno1Wnvh1mfzz9/le986x+v4CregWl
Bw/FTwK5WUHZK10uYEhWIKI1+7buR+9tVl6U1DG998YhvIo0e3TxovnPZB9/fziV1voU4+569ztZ
kuPYaeGJGo3wNlY+p7vaEt0fdGQ/X02XHoLt03gBvUH58+PVlEngSNXF46EPhUdMoQ2ghHK589Uu
b6s/Cmd+PHK7/ChcJ7xblL42j4l4pzChg27Dlh/GQ6KBn0O3fPUd+w2zc7WxyurCi/O/Tb//tlpd
/8Z/FNrfP5Hzmc3xnvrFfO/qjtMihwPfjAc0SDQvGQRys8Jm9/snZb1MP30KQDXQ0eTN02X78TIS
RQGTHVHLwSF7BW+9cZmsbV4qaOwTTAl//2m/uor2Pz7t3U1DuZN0CfPhQ6AmC5QPGbQK2EC7prA0
zERoOhVffv+R74Uf369j4KN2gbwX8kC+W8p0WnjBRIV+sFIP2kAjysfEHEEeN0sAdyxhpt7d+bTU
t10p5DdvMIMzPbbjmPTNQY2h2o0zneF+8tuv8+wYJ41Ae2MTfELPSTPlTROCXrvlDwvTe6Hc+r3X
VHqSjDgmIoh798QFMgF2MvAawZMSyDoMdvbNPLtqZxiOydzEYiwRNBNEzqKF2DqLZ3PxKdqtoL3G
PAskqE3CG4Zuf+dm/dsn0/3Fo4mYGWk4bzgYwPe6wTwsga+55XCYhxSmT+pGqGPnLTN6DFddIh/m
zMHiO9EfjZpyIfm2JjROMuUoomoeQALBXoDlkG86XZvUyG1M7kxgbmqEVRfJaPfXtrcYJzxvJDyq
YYgm321B/8K7GkHNPA4qiLehk3XbXhj+nqIXd4XTBzsGPOeh6CUziBJAbOxCry7dCwJeH0aCq68L
oVGUOFgZegcQ62QMN03oL0fy4FaHFWF4yJ7iSzPV5hPOIqJJa5KHYzQphXbuBtw7m5CIheMAoeKG
v7ne//5p/fkFQdRMYcBbzx6MUvvH13GWiTu603rTZXoNejXdEjBxsrL547gQ6jOOlfUfv5J8Ippj
xIAuwvD3etywnxVujGI49HF8sqTYMej6GtbisncQKxSh9+n3v/DndZtZMqsNgXEhKIf3ckeZhKrm
3gyHXJct4yPYIQmpO7vAJmH39x/182OKHpCcLfrwKHKJG/zxYiaji8JBNeyCgXIvGqOzIOSP/h8u
4C8/BToEZYoDefP9LSOv3KiGiQtoeL2JpNAPjSNjtODD73+MtR5Jf1yp+TWoUjH7+kw33qspYc0s
nFMYsc7ANqLGkvnem6uEXIu6oZ0qfUoKHnw6x8m5D556Ozk0gp7oH77G2h98/zUoYSAWWC6C8Z9w
BR186Ez5HCUB4+9w+Zb7eMqHvZgGDj6OWMTJqmdidszmtWwm/64Y8umQuKa6qpbFObsFh5Tffyf7
l98J50/ARCakZn23rSTCMIw4deShTsb6ZPbuLjRJVCM7qruOZYv30cchWXJwAhVv6JuRUOWtl5l2
FAZ1Qwu4fC3Jx7nGAxsty/Q85oa97bKhvdc10VbtgIwPJdR0rnV5bZjDn1S5v/4Ba4Iiky7B+7/e
+39UobHVh5UOJi5qqu+S3meqMInkIWUV22JUzKMYUua28r2BHauvzjpdXoLM/yh7LzyNbRyDXOjV
LjWb8LbBy/kxEMvrgkLg7ARpuKc3SIh0kRsrvbnc91nX/qHmex+2yW4FvvYfv+DdwjUNxMglCNkP
2sgTUqHD+jy4IOTAs0XD2v5xRk9v8tw8OY1eW1PiT9LZ7xkQPz2Z+FuQ+K/Qjveve6BZS7Q7SgLT
06FdQ3/dL5RVH3whcSCG5remVPMTDJ30q8ScNqpkmwPTiAoHPb5K5N42JYHdKGaJ+7GmCk7T2BK3
bpqHmYn3FpyY9apry2Kp9O99Bx43/r+IdCTs1nhRLeWal4C3y+PSNC++Mu89bHBbzMirrCWU7h+u
+c+lW4B9EzkOFQKZie9NDaRIk7mERP/Q5eVTHdNGzMvIWGDeNYvr/KFO/MWyDVqIaSd1/ff+9Y9P
qMQ5VPcsOgdiIN7CLCCj3VL5RhB694dPWk9c724jn7T6URjeQvt99zJ3cTIi53R5kvrkY0FmD1zS
Bb0gHExGMLqghWR69EVjj1nc7xeSX+y+sGBsFIwOG9NPc7UhodUa5yj8R19/jofgw+x3pAjEb6U/
fOHI6/1hg/pee/70W13gnhbiZETJ796aUBlyzjIeWY7h9d3oUPdoBmOaULSto5ZXM64+ohmdo0S3
FDfQ2SFm0gQyqVZ+/9N/+TBhe2BnoW33k+0hQ1fqpor3F1LiEJmt721oCacYhptk66Z/Sor+xabp
oRLiNqPZ/1nn7oV5kVTjzE3W/XxIWiveLmOQ/uGM+Mvri40DK856eUmo+fGphRyRNJZo5YEzMnB/
5O6RqpnHeXFgnCZJzESixBgZuit3U8yckG5AuZuVcbEssN9+f4l/PpQHnsWpkEM5avSfTEgTEcpL
KtGcO8BzCKP3k73slyutNAEGlWVsW1kxSiXVYtMUo/mH1+p9dPW6QrMuelxs6nY0E++etYHBn+3U
Zn/QWKW/tH5vuDQXk+EGVqhbwadrPG9LWJUJR1KvsEXldUSYm3kLEh8FIDmTQEWmK5U6cOjsYRit
rZtA+fz9VfrFQgNoa53pY1Rcx0w/3rKUQBLt1l538OaY0Ec8/TshcSVQy2d/uCS/+CiSmXFpMUpH
wPG+95MxGmxR8XcHBMzVm3C0f0siDX1jwzP/Dz9rRWrjTllbaj+tagi2YYgEoju4dtbf4gDx9o32
44u8H+gi/qvR+OGv1eOf6oBfLGJ8Em0RSkSfpta7Z56Od5I3I5+UOSZxngyx75Ec2jt2N2wBcyU2
AqLNH5aPX15KztfkqXkWlMJ3dy1JzHoIU5fJiW2pLaGs8Dfzyo5605Z/+CiMMD/vEFQagLNWf92q
9PnxEQkK0YwJSusDckHI257GRoFiU0xL5FbxmujRSzvyqMnB8TpqMvacHMd5t6DLrm6hvvJyZWQ3
hqeY2cmj3So01kBdgzFqy9KDS8D454XsauOqQAEk90laYsqStZWlm5qfxNTFI+UDLZmLxnrCVKkv
XCMND5lGq7lrQDvmG9wQSL5HGzdCKWbX3mMEnL2dg5ve/kRAaVa9ejnNEuArnGBSskF7J476rOjT
B1k2lj6VNd21Q5pBydpB9rKwpM2zcWDaoeS1W9VjcCXIr4hvibYr6z3/bEz7CqlCMW9GERZ1VBdK
JFeBXxNAiGuhyfeQGMt7hY0/Pve10QDrwSW/0Ulv95ByskfI9o7YzIwS8hM6lqTdBmODYQvWJUSX
qtV1f5krjpMAv8N2Qioqp7CIZuVqQoSVjs2LysD0Rd+hau2ordy1uMpQFr/4MqZf4kMW3i6BaPr7
1gX1iXBV5vrDFPvqvs4E6hFwzKF/ZzJuJRsDneV4ooid910wk+ck6sRrN6JNFpQJEiVH3bNF7cp4
bf+ZBpHnm066wUOeduV2LqsGO5dIlbXJUYoeq2C8pc+7Hwlffopbu/xUwo25G2pv2sSIgGFXE5vp
dOHNWOo9maP7OfXrO+JPN0oQzQJyPjvYopiiIiyqfTKqs4MleGu38iUvPAHlg8zFMZ+dPY7KbwJm
CUExWvIdev/gycncEQeGygCe5oaKeQF9FiYXUrTzF39AYCygJUClVC9L57lHhWJqFThu8Ec8msT7
QiLvPrhh1e8ss84+FGRDbUccKxdBVaZXzsT94LSQbSR483lx3INrWLdZhlgXhUp8ipFogIcrRooK
6W9LdgmijvzltijnUzcQJZQt2uU/ipuC7tI8if5cYMaK4F+TIzxAiMuhKW0Ln5SmicSgjDv7IQ7E
XWWk886agnS/LP2y1cYwRrEN8XShdL2Lk7J9rgNpXtapzyRtAFU6m0P/5hldDVtTtVFAw/rgN417
6ktmgn4dzyfiku2T1H6wo0lxtq15DyLXQt+rP1UoQT4BcT/6rrjPRv0JBEK9m8yQRt0Yf6qQzRGt
WlTBSY1+vVdGF0eLa3wswiA+y9jJIi9pgp2ZC4P70C1kJIZLRHZ2e5f1hvrQJX1wJ8eZfdGRl4Nm
EFfOYJmwdb2CCGiPgTNkx0xWFW7iQL0JOYwbnU1MJqNCZcOit2PT1QtDOyrNHkpLk4XDx6KB4bOx
eXie4Po7c+R3nCPYTFkk8mScPrdc+2swIRntEbgpQWGdCJgGD9sMzd6zluCC/0LmLS/ELnYBb8hL
WMfJJD+jA/Blx5Q9RlMQLdLuP4Os2WMnDdAP2nzng2/YzdcZDEx7dIrSZp4f9L7a6Ibos0vD8IZ8
U/gBjHVinF3jTHvWlDRpu+zY91ypzVDUZbQElfqIOGH+YJc5QuWqLrLTlKMXd8Osu7bQDO0b8DAM
sTuacWkmzS+eGVNP0t9dY6nN8gINTv91kEHi7UqdNFB4gEFdzjMyPoEl7C2kuQ8gCvgah+9YmRFm
yPmBOVP11hOuSw5eJa3nmmSeiCOaexPWNtyNVf8omYYfBiqWj4EW+Wcl+XsAQM07IgG68wKyiSw2
EG62cOQTXTjGIDmG3/2gRp6E1Am7T2kSdF+7ljAyuEDdJ3x02THv46E8OfNARLk25ZPbdGiv/WbC
hRW71RCNCwKSTWkbZGUzXo7wm7nEHtvOaWQMH4FwsUH8QoDYF5ybqmPVYsoi6TRRpKRNiKICN7MC
srEmZBiNKZA0VYwGiXVLy/UZNKZzEubpvVml5Hv6/WjvJZfTeKwBCYxbEDdhCnBu4at6hXpUcMKn
qwSlF0nIWOobs12umiEILkWK97112uwgCCO/V4ON7IRKpDt7hHXd5JNsn2nd2TsaZ+5NAsPW29Vg
ufbLiOR0ahAeHHzfT25KwGH+tnVT94aXqOOl4u7ShO/ORRUKiOFp+6VXSX8rlt76KDOu93dx6qKJ
1g5SLqqBUunC4NG8hWfZfgGDX/fb2lvIfC66HLg3Fd/RnSv+WgMsnNWL7vxd7roo2X4ZdNt/UsBs
YFf53ddmNQviaUq5rF1dxeeEbsRhDAf5LZykeyOWziCeogmTmzlzQTRNHhr/b6hkRTCzA0+OIC9h
smJ9abEtEy8JTnxrpEHXbYCQ4zIJkOVIHLKwtVrARzeZ28QPrZcmwMHH5tkDrhkNMK+IEjOW2Nqo
gCLSxVy6S4aAFOjejKPEGNVFX/HjMQLND4GRsy4mcXZ0Wv50axrJzYiMgxzEwKUCr8Hw3ginK0lb
jhFFDSFNnAjfBQGUFcLaTawADCTJVA4QhNpm3Cy857SxavmkNU3rwFfym58IdxvHujxZAEh4ykck
78xcbPc+q1L1KJph9LdTw5csXRPH2tC3L06eevdGuKC3a+spvdFeVeMDEXX/qVyVS4gqxkeznQto
Y9xuu4+DSze3iA/BR3qyCjR8oe9j66TISG+E5KpBs9YfTOIYUICheTFmgQaLpj1auCoXp85M60vP
mfgbmwWvpmXOD+AL5LdlUsI4Lz0t8Z1RpSRYtrT5tvGI4WBDv0Wiz/SMCVKSgQGWlXypCCgwvPhO
pBy5NvgeO32qlCJnL4Uw/2Exup6l1xM8aaxZ6U1Z5I21rZD2fCCxmCau0iX3Gmd8qk4eMph6G8rh
rYFY4DK7qHLQ2hPw6ya3HkWypmtM0nr1VD6S9WDP3S2rxUKKdt4i4LZrGFR97o6vNooPl3vm8+y3
LZfFYyeXB3MqSDiEz2B9XOzSuAsH+ImZ76lXmCbd7RATTT12dktsmya9gyxrVNVBchN7HQiEcA1A
WUNlWMcAtOmA97vGzPLUkQ5s3va44Fnjm6JyTw2kiTcqav+KM3G8R3HXs4gRaEXfdHBGBsJO8LxA
3bmOqzY5qLIkXsKruDVsm5cOUYS4NeAffvCEbPdtLeRD36qYJOT0jWQL/idk8G0Uq9b5Qrq3CwMM
u2tLEGdkO3O9dREIHyyu14aJpoiKoec9HJxK36FNWwOOODWsDqdHm8jtbWk090MorhTOHmaRZsZZ
pu+jaQzz647+jzmm6pxXLdZLWXg35lTBYPNBNqJAYrwOvPZq9oz2ptZufO8RsHMK5wzg7ZARB2jV
DBs7vOInNxvOSusS7Pyorsxk6i/rxK/PSQpHi1KfEhA8CrkoyUuIS+WEvAZPcaOcbwqPTZeZ1oHd
if9wZLerPaslck9cQLcTT9TbyN7MufkSTuucqcEYRWf51MWNz7QMjO8RZJ5+CrBM36FAm/Y+kGuv
KbsoBBmZoPppjsG0vND/qz4Xlb/47DlcJNsQCQs9J5ytr7VIgTIW8kS2qbNRsWHeFJVo93AtGXxZ
YxtRoU4fEEqbByfP5f3YGdhzpzC5GyUfMrqx/2E08XzTmNYbDqXiJcQf/OjJoTxmmf8452Z1oF2a
UgdSykF/I9q7AYx/lQU0bhrLPsXOYn2Biz7tCRUyDwMUzijIRieaFC8jeei4ggpahQnYsAuKC/GU
C/dQu3Oz53ViAW5wxm8SjyiAEOPOmypG+2luhXUdVuGCaqESH9t0zoHmhWLvsnZdVDGq5TXR+FYr
7pKrIL/vferCTT/0yQ7pdPu6MGoiZBBB13WX8xhkdZkQ3zLXpGS3UFyRJxJTMLd5v2WAgMhusLej
71HQiyR/wdVWnOGLHgdyBPONK4zLRufz7WLaTwTMVLAOuz0irHw1QgJ2jAGmVcKNH8qiocwQal+w
BGKfCobsLkDdFRXwyS4kWKRtbKa71F3xd07v3hCa2JAJM4UWQ4tyOWndqCvPNdh2EKEWvHBefW6T
Ob8pc/gZmw4mOe9dT1LmpkRxSDACPuirMB7yTxW2mQPoh5oth9CyTQdtp9+MmUEEE8nBl5pmNqc6
X8HxG/u8OIfAf+5cHzRV7s/HWA1bFcjiCrQz9K16TUkXDbx7Bjzo4OVwSd+X9FvyIUGMhp9CZqac
c1562K3bKnXxt+PdI2ARL/lGqcH6NBNgBLXa/4KS8zVGi/hMxVo+l4DpWLSk8UA0hrF31JjsBn+s
brVHxVLq3mLojbecnIc4bSmH5qPCApqdDaeZwDT4pvSPfoHYl0XDa24M4nJBymq/uaF9gxIQiwpm
zbEkvZRnFI5LVeX1rd0F1a0H4avcZJoFNE+n4Rv2FPNLTZDLty6GTrS1Df7CDhUAGZF5c6+FHUyf
eioe7lvGIacitotdwgCcUbZkhCx4AT6zW9I7W0ipIiaYhuSpidcwjrrgZFpUqTgnayhUVTTDNznK
lTOix+qtILop3chliJ9NmVtfihSr26YROApkN8fPdoHJcSvizEBKucTym+G2RgXOUIX+binc+p70
YxYGiWS22fvJoJq9CIk3jcY55fFI7ZECB95Zc596Y+FSYzbxM2Yr/kzYziAv8UMUbiRqk8eodvRQ
RIoY3maXu8ilohqVls8hZuZDc2If5EW2uAPnRrNWQCwnFKQJ1g2Lv3kxAhCzYqL9GKUi1MbB0GsJ
MDAhBfI544jKU1MQzdBXFK1ljHl4YyxsddtyHuNn1as03SQjrB+ylN3qzR5HPhX8KYajSTjh818X
01VGMm6wjFnZdgENDrvBIkOWVA6vOTghebAOwVHFll4Qlx4Tan3voh/DiJDltHtQFmQcMAtUr61F
F+gGmNhs7QcXs4juh+YeinLRcguZt26nuOP3FRiEcuC5ZpFfSFQM6lBphB9XoRrUm/LojW5G223T
K5C66cdCK/tQE+b5hPXUvy38kFzxFX/5cUpbqY8zbfj4Roz86KOtAFHSahd866yOuXmenmuD+V/j
llvuySpjbYOU/DZHcBWVQSwgiwR0qIzTS7bhy4J8xhP9muUyLw/h2HcMMEJsMAeQdhiBS0JBqHe5
nQtMoUqcp0wasJqbgYrOTUWbn0yvp4kCFZjIsg3kj55XHWwMf9Zg/4JAa64252BEVmUv81LepMox
t91aQgKOt4dNiTbwARGwvYOBaJ6ZScOYq0bntkqC+RItU/a4LOn0MNlC/dVW/38N6h80qERSBPR+
/9Uajl6Gl/96/R6Eev1Svf7Pf1+99Lp8qem///W/nr79z3///Yf+FqH6BJMKtiCPqRdpByAE/iVC
Jc4UgTytauQoiFNXtMDf9kqHoFO0DoRiCI5zvP20Z/+2VwIkQPdNRxb/MsolXJn/ib3y3UiKj2d9
wbOBtQ+D9k8CqJr4tr5KC/TqCasVdbOoL5M50Q8Vs/ptkqCK+8fl+UXnfO2M/2Mat34g7NDApG9O
Ax1Jx4995aEM08FYPF7QOe9vTUNhcVsxY7//lHdjoPVTYCWDgRRMpNDRveN9Da40FXCP+UgbLDtM
63GhaHpigHzR7kxjKjecaOgEdrlxJ6ENPvz+44E//PQzLQasSCUQ2fJt3it+xlEHaP384diU5HHv
54n+B4uZecR0FRAiDRKKQG8OJnS9kBu1scNZqG/Btm8lI477hojcZNPEgb6SsKmoPSzOzsEy0SW2
C/7dstGsyU5pwGOmtqJf49JoJ/s90LB9BsypQF/oUc0Y4Fj42FR9rztXntt9ijPcsTE1I42fxKLH
0nSAFwjKQ6NldhBlmCm21z0npo82NrAPHFvi80RK4Atc88zcAnjQb+na0VF1qR7LkWaDzOf6MrZo
/UBeCSxOunZ9mcZm85xmHKisxOQPTnNGklhHO8HyODmGyqerQ5/BbE5cKta9hBGStaXXKZzDaqJb
lTbSpp/FHs+5CiPhzInO7ZYaDnK4NoMSmyLTZ9qD7sABHelPwxbiQbCRXrpcAXPOjrFZod+DVAB4
kT6IrAb8NqM/H7zOKunILnwdZ1CPFOA0ivLFu+fu0PGQLLS1zQYxkmX/VVP7bROfwUs21fohHeLm
82gu3JmOMIyjN4W8Q1Mfn52hJgYN6+eRoHH9No2tfjB7/og2e/m0jjQu4znhvJcQuAXHXT7lxJhd
zk0TXlZVwBUJ804w9a8m9mVvXNhF6APtZAtoF8C7vWs6u7ijKRLCsUm8bW43/VcR848JhRqKxBz7
z9GYwXXUYuy+onfTdEEGffCysTw1ATdX+xyo5xFKYiRJG6mhTcjy1Mog2AxEiUCgMOaDYcXFXUJM
994L0u4avyxOalg9r4WpkREiq95XpWmyaFgNvOtOPcZhs1yFHc2JFqvzgfTgYGPN/GKOWu11XKwv
u9G5N0ZiKiyQ/BaPnjAtlxReflHwKCowG68Wc5AD8ebiJhHcie8NGFETrwpQATdM2Y5cV3LryXQL
iWKZ4jyPhtlAJ98gi76jE9p9dUNzuaKpoh/sifNqDWoIskhX7I2iHkBFeNZHIMLQjpJy2VsE4cHy
4D7m43qp10e0BCryuhbI+6XQDJC6hTtBDawPwuL5hyKC2inBiIUp9vNkyJE2bF/dJMGbOYamArpf
0QtBj2mfUuk+m7buPmGDGx8Tm2eT42XBlMOEuytE+QwqX70Owm+vsajxUM54tOaUG+X5xoDXT7Q3
beUIcr8m94ZplPWxziQZr6Bhng0ITvTnimXf23Hz7JAIc5E7hns/B4DuNkYe4HWpIYwROyOhrjgY
iOCFFdH3HxekvASykcbdrNt6AAyKf3kKtHxqpVHc6WagZaoSro81WDCfy5y8scnMjgOnDYujIjJ7
d85w3xMjH/DUkqe61bT0PmHuphY1NZETnu1014NnJ4H9FBShVXifVVNPw9esH8XnzKpJsWUQs9Ti
SFvfqHeOaU7jle4muJlT4ozizim03nRi1g9WoIctlGZmXpY7kwrRLdj2UCyZhM7ZHLGbGX+kGuvr
sQkpjHnCzoLz3WBK45aIvDvDHa9F1Vb7IPXd26WnQ+b6s3PduwmJdvF1ZXTOqv5IjjR701NlFw/S
FdZuLGOA5UJ/yYJqxEM0fitSuzoZdfJVjyI9pYvH2YhmwGWD0XhXugpATAyR3spoWySZvJiHDso+
QNIzLv0wsphkbiFYJVHSJtk1sj59ZYTkom77JT57eXA2irYjhYEhx6YN4+7EnKOMbLp6285MXJoE
hWqI2y3fEkbfAeV67R9GKfQ2FPWdrv1sB4QkvMjJs72SXj7tvZQXtssr6yLT8bwbyVo+LZobyUjZ
PJm1oY6VT5RgOzjBrpmQ6LVOwGtZW/kBbsF6aqvMC0YJIdpt655ggXDvCV+SeUow687m2n+V7TR5
W7cLjWVT0SyNN0k5qKPdZj7jlem5buL+ksMZpbdtjqeEEzn0/dAr2MK8LtKxxLM44QJwE/Y8NvBg
r+CFcsqah12ObOEOHYq1sYaCqbEaMRXCfMhhE83PAWpUOvnFfFGDtCEooCg+hyQH+ltv9jRODQXz
zvfAGONYxH2ohEOF6HS3VGfBXjC+9U8t66tJ2Azz6U1XkNVN5zpurkQp24tpiRk926Z9goUsIydN
easktJqi29QNT6AeLPfcev38sEC/oyVZKYxm9XEqI0cZzdnqveWlJc/1ZOtq+dji9kbZLkMs7254
qsZYf8gKZ4lUPK5N/hYXICnVPO4FrDMO3zuJo+jWl4jVm1hbI2GNiOjMNth3hqp2xCssm8l1dITI
LP/ke3RiAlNPexFrtUFnz5g+JXBvTKrbEqbBVmbmdMoyB/I9pjh650n4WBK4wDGOJ562bHpC0RPv
iIcQV3TXIOwXk3FXDXNwbXWLPkMaUGTTuWEqdh1nzlcyaq7TePEvw3mwPTzt6F+IjrTdqBJpcYWn
1Toxm4L3Q2puf4HszCGr2td41N3JX6NCSnmRwjkMtjmHnde2qqoyEn7tzehkTHVaOgY3LZkUYCBL
9/NUjlkWkWWdX4ohkV8rJ/fMK0TWChOsVVuJ+zlUpnmc0kJmG5MwA9K914BLP3XVF7rLzRZd5VoX
tN0tiNwy8jpVN7tAVdmFMZe0j2Lt5z6PX5Weekf1lxCxG7HtZylJ7GwYoMx1EMttDsf6htlgdlzS
uv1it4GB3bbVxXpvsAauJRJhmexDpbUcc1eSYGDHLotzC5g3iyfOw5ONDsAs5KpYYBV+q0uYVi38
4Lu28Nd3oKBM8OFSMOdwV7JCmhFcTpfzZsky485oWliqKnPS/VhkAIMSOLw03fUaLePN7Ze5HZeW
phg3yVrYnfVIVfhX8dVlpOHklpbf2tzPCflxU36fVa3hirPW9o4y1Lufi46ybC0YSXxUTOHy1GZq
53v1JeCu5ShMScBqM7EY9ytlF4ECY+HUJaIS1Fdj3NVJOD5mtpPcJBWVRu167XWyfP8WDAYdY3W0
x123LspLpd+GnJokC33Kk7DrrA8sg/U3JjmNioyEHpikTDx7yZpwUtE8jzQghcNKY3lMM5N7Z9HG
rrcEk+hDUnn6wlQ5v39UU/R9eNVQbH1uJao0ZuCUv6HXfPaHuTzZ6Ag2a8jNx6CaGfJopnnzEje7
Oic1wsomfMc0vem8QAgsTwXImdvfHyLei9E5NqDzIYuA8xIDA1agH49KPTqLJkmM4QglpDvTk115
jhLnaZd3/W25VjSLQxtPcWOepSZ8AUwIF3tEFPyHAw0su/fHtr++CUZJLCn+e+3R2OAiBwIxHEVG
5b8F6OreoJRe524MyrSgIExDrizE2/mDj2Nrl0v8PcvQPCdxzYNZM7SU6Dgu6qntPo0joaTE6M4P
ExX3/g8X7p126fuFwzmDUxO9NL6Ed0KpwCfmWRmOPBrIszZK1t69bnnRTCtPb4yRp46tiAfMUjzx
BTPyyGSfOhf13LzkLXWzz3zrr3S7f+vn+X7k/PHgu/oWgNzzpVCMvT/4JmPHM0LA/bGqnA6ea4gQ
SQZjd7lMhjr0GKrJtyqXnXYcNp54pILKWw6vOOR5TRnZ3+UTw1lnNZePsdt8a7PSvw1gx+0IyVmO
sUHXd9MNoMt+fzndXzyIKCoDmhccqjFWvg8ccEfDaUs99ce5Y0/DINrmu64ii73RM6sTdBoMqo7/
pmytjhleqL1h2S9B3j5NdeLsMpdyyXCnJBrbqrlSvS0+K7zvV9niFBemWTnPtijS+apN2prRbZoG
J4THRWQSELTPSIKDHZjkxyTM3BvTwjjaE0l0h/CIBNh+XPb1jDZMpFTz8CFg7q4rjC1G447ROANW
19dv6JxMF86EYDbrSNZYuv3UvVNTnsaRBYwxJzU7h2XOJUnBv7SI9Qnpk4qV+HutPtdLd1uX3bqm
hGvZXlDQhxU5kt+H/ALgww4zPpNhxyIUeeyoQS1aDoli/JssRsLogyDFZzxRhCowu/TV5SpL4CIR
E8SWJAcISAjaTOi/ZCIZR8fJUStvXZh+UkT8oNp+bGLBhLhz2uLke0uZnApKmigGQFGcYgr6ODJl
QEs1zjwrUBuXivvi+4CXeNeZFvdETd+b66gdVAy/OKlxO84swlj7V8esD7UVaSpFPsdp88jpmyU2
EPIJjYu3tWvL3UrXgJlVhagdvscLBHQ3v+h8xO6Vkdo9Kqors5h4IpeBA0UKmehxyMpnv+f8uMxW
+zmYSsRBPfAVDpUIJMICOPJ5Wbj4bDrGXZ+j6bDYOG4Lh5ySuEAftg1c1CGDGzQvszaaFwGWnnqf
UB6yPbifzhD0a5JacKk7sIjjxKHfK5nR1xVnGew8zsmcWY2G9WxXpxg9me6raSuWckaeU06ENy9J
dSJpnlMLzI4NtZN/Wzk9I3hrRNpZ282LKzEwm4ITVmtxekbQyJxqM6DZf7JzGkpdVzJC9jNogrFg
NWGuHEROMHAyinEl+9vGXXhHpDnSFp4t/k8AQQgr1oCZoFrKjeR0iBJN0EVO2RO7tqMrR3IEFrtw
3ULTiuXS1RDHysruPk0Ity6tiTYL47/wMrHanixznxl/woXr2UAPNY6DLdN19RgAvdpAs8z+l70z
WY4bydb0q1zrPdIcM2DW3QsgIhgTZ4qiuIEpRQnzDLgDePr+EMrKTKrqSl13XZsyS7OigoxAuJ/z
j1feigDhH2tuyhx8yE1Zkz1VLd88vqXLNvUIz86d8k5OLiKQcWDdFnZ8q8NGB0SlO6Fu8Y9W2jo4
r7/1ZPmAWF5a82DUxfoZ0Fp60Nev6rSe7yJHzdcAlrza7TTupq4kEzIThFLRQwMysi6vKWxytUkm
q70XVccnU2eMIpe7uKkwVK9Yz3xCK8qjytALrmM6vFUrKFEX7nwiP3m+RiLpnS+PoTEBwfB4t2I/
XWKPYhAPs5/b+wviU5k8PiXlUyEOB59ibrZgpKDpvrAYqAp0zOcxQl50gQe0mGy2wWrZbAEceetX
II8IinmXNwBCKkm+dd4yXy983apwmmOGEUU2dOjFoFcXAQdaJ3RuDMA+ewoj2Qg7fdeOEnCORBJY
WdJLDtPCX4TRDtoqXvgK1ihYn4zIgVmIc2GT8qHVWz/jEawA7tS2KvnGxFNp3xq5Yz8y8CCr6B3Z
fxyyVcG1WHn7spgWQJk9qPZLnIG49GKYP1QaX/PI6IqDtqpb0FRzrLHRRxCVIDUaJSgBmoZVK7Ss
OSalAdjTImrbmquF/4LfXC7JKQe7rdbiIsp2vgqxrOOyS6JIWJQMS20v8t33RzMFumxW3UpVo2AR
iGnPTW2QZoVF5OwNfftS62Boeh+DqaHurM6qNJNbabFphbEYONw1CJm68OtXMjrI0RKtf1Yu52yt
oEQDlNHdF1GRnqPyfNS3xLIC5TiM50PGd3p9nttuPYb7qO5PRV+ASPqpy8ybd/w4l+h8SolreEpW
1Ju5ZL0FWNBedY9HwlrG/m1EVfA50VF84XUDNurW5yenppBVBzDS4c+JVvTrMt56PghpnFf5Q6kk
KJLFNem4uvF0uRv0AQiY7pnk1uXIB3cCRJWajagr1myuCoUapPUZQ9oZoZ3q8HP5JbyOUzMJW6zD
YeJkqKQck5q5kQ/SByA+zIWozgvNlWfbYIgl277eJoyHn1AQE6PXUQu8KRXKM7h3+TwrxuQmB58T
dUGrZYkkMuIce6l7j5h4p1hlnBz7F0iQKnuLBgN6v5BqqU02MX6SbEjEImsOFaEE3e4QIzKcDCw7
5VowNZgmKCg5YRVhLbJ+vUj3BgVmbKYRq8LA4GyukeMG4PKWy56H53LMTi7vBsjRfOpqK/7IVj83
a7bRuk/0EyhUZ053HaDNh8ZlatcWBWQhe8mbKTjeEsn3KPdRwwlHNux4Js+aJqKHCQPGq1FMZXqo
LLs9qqYARFyPyjWeA27OzEmXMnI+yhQREi79rdn63A+EoIJOLx3odDW487W7ConM1h2/riLaq4Ff
PagY8Oh3WRPaGhJtficjipGj7ZfigACZJaYhEtJwq1eJjrsJL3UGBuInBfTJezAUgm1IqvaFqQQh
6DjNqCWof/SZW0Y7pW1WcMiqlnGiriMmSEwtGznygc9evlznBpD65T8vX8wZHl4PNH3svtiKOxUd
uHWolmG6mwx0Y2WC+K9WNV/olKkydm0OGWnzZFuNi4BqsYnpapyFjUy5827q82/YRGpnm/QssBeg
2EXFaBlspqoDvp1RosoNyVPjFUACf7E6uEWm9qNnfVq6VdayMjHkNaGzsl1eLK9H7zhEQ/3duvAf
qvIXVKWJnQey7b+nKj+mPYNEn77rkf7jp/4RmOMQBUtmHrVi5CGsced/cpW+Ae1IHt1amkUDIGqo
P8lKixp3D8sVKxeGGCzC/Bp/kJWWAcNpknoBDUfQDKGa/3Oy0vLoa8FYRXANNnNDp2nk/UJMkE+S
j3binC4NBx0U5Z1N0PR+mWeaBi5VvX97g+7+2eaz/oN/7WzfX5BYCEI7UKl5ziU+4m+WYepEjMZo
SvtEAgzhy5K7bvERNzqF1+7judd/FRz5r15vNWT6rH/YNX6gLX2arXuf9sOTWyfOZ2yn+g1qMpS9
NkfUz/+09wv95U/jo17zETEHuCScvn8vOxp64jHXrVNeKuojXLy19rDSWaD0+s2wLP6zm2cUMkf2
9PDzl37vY/r+0thpeRo8knr+yX1GvY+cBcLkU0/hx6HyGtRFms0sXMr4l5kyPyyvl1fjCdTJeGHj
ITLthz90Iha3dKfUOqma3JLAbTrWHpUJwrzk4FLpWJlZkxxLlPFkinWJ7F8svYYYm4pUC4UBm/fv
/vkO7DRyAA8On2KgHxjwjAzvsYgj6+Qpiz/XpwHvis4Z/ud/9loUD6HS4RHmwfnhgYozUxQJ6sWT
2dOei/x+najL6WFEff3p53/W+j6+/67gj8b9aduuIPz5R+sjRv4OQddonWSUfOuN3t+OcA+/UA/8
86PDi9AqCaZDSYL9YygK4J2FdbOwTiRkUlruSS4Sz2m0UF9yxv2f/0U/+O3XR8chJoSRDNkPb+GP
TadehI1gweBxyoyUYmxT8pp6pJFSS/0HC1ub25+ttU7z0pw2J4N5AI00D7/4Nd5rCb7/GpS5GQh2
V+f0jw9MZOjwhoyZp8kbjKOZV/qaK8V8SFg8T2hLbNg2z43OCeZlRMV1+fLaDZUL/x/dcv/qE4B+
Jx5t/aQpL31/buTwNFOZN3x5ZTQ9CHi64NKgZTXdr0zq/+qlKJNC6YA4hhCcH/BPhNldjXPUPKV0
hj98r5jGZsJRjzD+V6Wa7496jm/LQgPj4ocn1uCfH1/Es0iC2wZHDn1OS0BtXvOJfEg6yhTaw9Vf
9qum2R8xVV5y1YELrmCeM9q6f7jOmnzBJq+7/lFE7FSWh4426Lt+eqDLnoJxqONya9r4ABIPExDQ
ob8l2Kc+UVPBLuulTrtfWq6/ywkyWHnT8wAQLkl8MzEmm1QnNfHnj6J9uWL/+pavETZUtbo8iJew
F67G9x9/5aG5nmCiqeoT5U4srDh16mi7WO/zkSarcp7iEIVbV6NZzpqZUDn+sfuu0whrxvfH74jJ
grM3siFGF7Mc3ibUlxiXkoXvldFqnLyiy3SwK30tBtFj3/rcJt5EFi61ksBQw1uH6520an5u069Q
kTIA8Qfp1icvtkwktryBwZzjeIzTgv5D9Cz+M9VRWhbSHNHqLJk2/3TvJkA2pZ84eVh0aUT585ii
ni+qltfweKedHjdFS3MDzD+LaILCt9Fv+qTmCUE33Xyaa0KgrjSiOByWCRMt7xBTBgIQR4tTXiTD
W57Rr+g2mKeOpZ6iwveYWjQgPWrUmzxOX/XZ5yOjgdzJ80B5Knq+NBxXQ+58RlrI034peJp1v3/r
9Wa9oVkgPpeshV/Qqhp72RKgQEtZeQV/1oZuGlsy4PyVWM99mxtGn1lWwGoonFu1GFZERIs5Wbyj
ERZGdLdsfabZv3X94G20GkwcTQzvD5yf+9D38fJsSCzojW/xOZUoXZ51lEtvOamzNKWag49WJlqb
2+c1OqqZ+X9p0WweYGr4V8qMxil82fqNNQoKpy63XMVNjaWA8g5sZkkHtmvBvKGLX3UpFhlic1BW
8+Iek3Uw0dBM38UgzmeRGasxYHambSFw023sqqDDMm15anJT2J9dJ+fdnLOsQWFde3MVytUXd2zW
81KTLrJNmEEaLo3J4JcBss/LbQfA+ubUCd+/WsSrBXfx8DloJcLdGeeZF0YYd9QGkpL7ZsgjkjL0
yuRZlpnmP/dQxf2VN0DHTRqLaaOvmcbD4FJeNl+qwAaadUyY9BhJklssML4p3Weybu3PTjIiUkDK
SYyXPevdY2wuxp6AHCrBjNixXispqydvSefrAmhh0/ZTjdFWA2Xb6akA7itqeYgL0uSCHggXidBS
j6DAkfOEKDvFB0I0dA65ms03dCdjHbaSugnKnOqO1O7NcMIpEM7VMmPcFDbpXknTHHP2aCYjJ0+C
RfTV/cDKVwVZNJZfa5Sr38i+qQ+2gRifiF2MQjOWmSkcqSJSay1DuVWi6XgT1vZ1p8i7ftfbs/MF
EbUOakB3e93j2NwhEXRV4JMVtNEvNe/1WN/42VoWUy198hqjY8GOQQvR7CTOVUtr+kmfB+IEvF45
ODnLYTdj+8cZpuoj4qCYXnYsv68A9UTH2AYGZl3yMXqRjaU2V9VrBrs5sGivLXACw/A6jML4TC12
9q4rtW3LDBhIhpdd6aG65WCK4PZBD8a81w4E+TWHjALMHTE489cIT8A20VLtfqao8gU9BqaamQaw
pkL6n7VQzm7efXYHi+9HumgYdsskHGWn77An8g952o01JYLj34yoKMo7EhCBiWiRH4ivpnrKDjrH
JQNx/eTX3gMapPaGiTluQ5OxIpQq4oUsWq7xNcew9XXTh8XQs3DXs4b8ox4/NLlDGJGs+h3c1xxS
m/ulcPv6xS9SA24Vz2+vkYgyFvwe2BuQ7usYWPngl+TsWC0FLrHgE3VjIzvXrl/diWFs7op+4KHW
UH8Mny9lzRperJ7sXTaGbd0MRnYiXoIB28DT2YactsNb3AkOpHrx9aeZCkEjEIP0nzusm/HWGydb
bPM0mSqgyFbIoHQjbAUGfMOnSLemO1qxNMw4dMsPvc997GGroeDbsOrT9/o9oU/kkOTpwBHEacxg
Rpj+HdQKh3afMcI5ctGfZEPYRTiCF+6tycKQbut586lpeGzD2pU12FFRFZ+Muo2Z5yipCnSzNrBn
UBXclK92lnjNt7mRVtBLd4i2BNf00MKW+lp6qiXJJdfsj5j//UOX+P0epSagI3qUdFzbHZPfezlA
M5IeZFtpHIcRQdj9S7FolBemGAzNvWck3o3sMuz/RZpvE6VaKrqcZTcjFfiw+HGJrcC11Adpd+UD
DOA3o1heJsPSb/PBGPacq2tbt9+hUhob442e8PgNfYB6jEeAyzu+8RB45Dv7gRW7uIhhkHPUVUXv
HsFLCWiaVNFAiTuc42E+9rHaD/4kThZh/deUL5gPzjKlWtCh9tIDh0+B5CbwhGetklO1nfShgBvq
LEQJ6Nhb3RofSjyy4Rpu9MWSWoFVeDF/r31HnganWQyUP0bqBFjs0hBzRhKocVE+iSgFx4Uf2Zus
9KzjrOTvUaOpRzXE+b0+juK6S2P7NVdOHoddkdCrAOqVBu1sxje+NafX3YS/RANNdYKE+KnPRqqa
U+maFH2n9nhCxKtRCz+A1V3pHHk7LI6j3ExIimkFRZU37ZKiMp8c0tz3sjKpqkwTogvncbkfSAIL
fBmrT2MxtONW9L2VHmn+m5B01LTaBl6kaM5wJoEv3E9G+Gi70s6Zu9QfRAq9HxI+WFbQi67I9yMP
z43ihv+my7a/HptGXmFigDDPegQwlHeguwA6Nw/0d7ZXuRXhzGiYLDQoRlfe09hFs2GVRdRh9Rx5
n/JpMAPU6/Z5Sg2OUVPM/oBxSIJDGyUO/rCoauMaOBO8b/Zb3dt6hWtxIOrqa204dAX4VIzu0KZZ
B8si3eTCPfejmz5QDtl+GNGKPHs0Nm4lcrZwySbEQTg+IUSTBHprydyN2Sg3DfVoIc6+HLiHBgGS
HWkyRdPDW3UnF/YU7Fik8+P1TW8NAaorOqVdYxpE0ZtClu88zezcoGoqe9f2rg03RLkmBgye3W8R
Wf1kg5nDF4XJ7k05g5PuROOMBEIUOvLdDHqoCyJiXr8tw9JCPCbLPO7dofmGQjy+o9zU5JZL++FI
MDrGr7quWogoOLLAcrsuzLmdb7VCZcS7OBH63JiZPV7maQoExWUUSIzW4J2IE5oDzXLlS+LMNX5x
OJxb4dLiGURNVdxWflFg+cDkc59oJp9aAYBk4VJXeFSepwQjkvUfLPS7zeJXWChhvsAq/z0W+liP
Q/Jfm8/4b0j++cu6gU9p/cE/4FDf+Y286gtUZWKWBTz6Ew7VhfWbIOwKYMAnrO0dHGr/Bka6av9p
5rZYlt6hoR6dHES6+pwsOhvf//3f7xQk/Q///fcMIuq03kEuNvsqEAjpdMiEfNABfU0p+hs86TOY
DVHUaifi6+Q9NVrldrE6+1AWS751sWRvxCKNB7628sojUnKLcNk/UPCUbOK8Vk8znBjIkMGK0A7e
Pk8FOwNi6iqEoyPA2qmSLTWoD3Fj7q2cSNkIKhEKtHpWY36nDLJMchV7HGOsRjj6pzDqie31y4pF
lsY5RNP0TDwOFYKWpjHccDHj8sZSsn+qTB8ijrFoM0NevQmNZA/P/JDV2TezGVoSbEYmqnl4yGrH
vmqVbWFjz8byAXnyeKzxbJ9mN5E0rbZlfoV0ON1kKLbPs3LcQwknus2yZThaHfrUoR9N3Lv1anHl
7aTRmfbtQFlztJEYWLFno2tJMBFX834RnYCxtfCS0Q57Fp23LwrjoRG6S9eSr1+XuX6C8ikhwHzU
lyAy2zxZL8/Wi3aD4NbkgUE9WGE3b+OciCbVhjEG1JAPqzwt7Ok719bcY5llyDTqCO8duu/dZMRT
hZDQRGFh94xDebE8ooJrN5QCPfuM9x9UaTuUUrjyU6XXBr1irb8Rs1lHN003G2Jb1CjQ/bDVEl2c
ZIVd+LHqTLjQbUrwgPYF7zdzHT1ho7bsRsylOFarul9CYdesjJo10Cs4sCc8tGbl0c7tC22rvNac
uEZkq65Ko+/2hmtPV25ZVVWQkvt1O5XV8KC5gxjIZiE6YMClgtArIOjPPjP7CmScE1MM/Ut0hTHu
UbybEbZ8o82p2WgbDeQ1pla7oeesu64zUFfiNwhx8Vw74B/qXdSeTBUkHLtRNTjdJ2hqm7YHTJEE
Bfd1qmU5duS6yxSZAHl5VbW1R3iGiV5Sqh3F2II6eWtpuuEBDYUxOx+UGHvxqMmZji80sxlKotBY
s/KMHdimN9HallOfKaZrRVt803LrRDhv9ULoH2uvme7V1C4la2bVGjsjZXUJcy2egFxsPwq1sQeq
SWepPSe5neYbY3HLOaDGZrrOdbDhoPLbN0ql12pwwhAfqiKhXIuTpG0CXJHJc2RXdEtoGUFfIXFQ
4naRypG7QnNVFI5tUqNdY4k6zoDJe2yn2jZdiKQNlTfOj12UuDR30OfxMU8LH1V165ivbWIZmyIu
41tcKe0tsQbelkygJnQSvVKUizXimk2PcpS4FSiCimWfslndOX1XPfsTso3AZZAjxGfOVlmor3cH
I8uiA23WEd09Lskfds/OG8TDZG90TR9IQtMrl498ybG12uYwo7hL0JHixnwYpVvdtR4RCDRcUZ8n
SZjJZEwpZzOdoGUNqFNKnL6D1P8hB391ITqwbz+7ED9+7Yf/ek67OK3S9zfi95/8h5nRxZdIcCDd
GFw9JlTgnzeiZ/xGtiY3HpcRicUwS38RhOI3BwIdjyPCUQQ6a5jcX25GFlYIERdEkdB6x/93rkSk
lO+vRC5kJBSQEK6r62uDxw+YaoyDvqgy9mBIn/GE7MlmJiY57GTOJf001rBud6OpP/SA6HNJ0AJF
5OmGL7bas3iwF2HRcXcdKUKPvsf/B1eD/5x6Q3GVUNwUmOnos21OdssJWlIsMdEAe+jRu5OjmI3R
EoKmKOBMzy7swKLqdCP9Od/YTTnt28g6Vl4+Ss7TNToLUeIHvWK/gXnvyFp3MjLr1DNNcRHJoNj5
Pix8eRDtkZOWyjXk18rGe5AO/TjUq6N9qnpFaKNWyHDRovbBxmx/5kfoEO6EK6+aWrtPoybrGWfh
4jswwOtFzVUw9ab4yHkrcQqJ+SlqZnM3dz1VNn5PSZ+/rH95gaseAMFJOdeyYue4tqyCRM3lY5zY
9o61vgkzSnQ2rmj1k6+nH+q8ttc7UV571rzzZDGEWivqTSxrKpP71Boec+CXu4hSpfsIzgPTvNNZ
OkLSkb+48LRl44+0aZCcYG2Nhkg5h9jQDb9zjnhrsEKr9vHla64bRJP5ccyJ2SIw8OxaxKDpY4L9
apHDxpiFVWxcDpvQspVFgW+8WOdB6whSQQ3MFeUsA0D0sPdVNXywegDDgFgwfatJg56LbDbLoOsr
m8/DHs9IQtAQiU8pXuzNyN+yzaPhOapmgVyq+zDns4UaQ1SvncrmI6o3lyBdhizAlm2s4+Mvsjh+
INfHpEfbrYtrLyvbm4IYTN7qokzcAF2scxuPvUPcnBZttIRLPuoi435u6wxVqMNkszRfAVwAuABG
ne1qmb9bVNYfJ78IgLzNEAn5dKY1AKmc7iADr7ToXjeHl7ivyYXhaD5guIjikxpEIe8nSPT2cxfH
/atQ7fgtBXW7dwjJOGVxaz4StJdt2FfHs933LRogWfKWKWIurkdDvNIgPt5ojQHCpMRXeMxXV6m6
D0smlgMsHVAH2utbDPx6v0F8T0lynIxPgBwkkcmo2DptRHkAhVtjuRcYb7IdSQXEShaVUq9JvNQC
exRw+7bXAL6CPOuI7eBT3toQmNu06qW4l/VSEAWWiHOzImXhpJPTKBvjTtn6J5j0T6Kjvlqw7Heu
KJu976QNEIGbtN2VZBK4ErHhfLQj7ymOmq/CwH0TZC4GwI4Wm71dSOndJoVFYoNPKDBhTQYaZM4O
/oU4cKmwuenb9ERipzqg5SxZzx2LioYx7pVxDUK1xFdeNHVxOEImlanWjA/dMLv8Sv0u08boDpNa
HWBKBN6Uptz00pl2pMRczZaZHPJ8ke29sRheieBbZ0Thds9QQIos3+L+Y8ieRG1fo7OPtu7q1EnK
SN+2zaACbIPaRm8c76PVlbONqfNUCVfbxwCDV7lXxEHkGNrOXl1B/uoPIhIIteRU5C8AJhgts1ad
CD8nCnIocSevTiNvNR3lhCzdJ3WZbwnTkoGjkP54MrfCrC3bY7Zal+pxpH/a6uHX9TK+VuR38g5k
y/LUrr4nG6Hu9SQG7RlBOLXdp1Hk8abEXUVYyJoXCIZO6ktzIqMBw+TkbGqSRtFG4ryyVw8W+Vn1
tV6YLbkM2FQZsxmixMa+mLdyR3qcVF17b/qd+UTaP2YFB0VyYuuJCudmwfp8MYT5qzdsyRjirclV
Jwx++II6+Vrk1GEnF1sZHQvdbtUVgGXIG3D7+RvZY6jBpOvu8NBgyEALP15NONas1bpGSAXzVuJU
+gaT2HiISLAIEWt157QYX7lYnB0h7nKPlBxXXBHVOOSGi1sOY/XwBf4fDx2u//5MDIW/kzjsYoI+
9uZquktX+11XedlV4eIMThaqBhv6PHQu2G21mvb01b5ndJU4oJ3DR+3nycFR1rQFQBYnZ8DRQv6A
hyBTGOcRJPk0rRbBySgeIoc0RbeP3StF/QFq5S79NqbzWMPJeBYuHs5eBZK+8U2jPbS+Tr5Thutt
IybzrsNDpdWTMYf2amFMVjNjKiYvzAuo+Xm1OpLIqx8x40c7NbanqSzbrVhIarHrbiKYuVFbauua
M4rBmIA5zJTd4v/u+UN5iO3urfVjnJe5+r0sLYA2CC1aOrhu9A7Au+vj/YiifIPb+EaiLR36yrwx
S4PEIDJI7xWK3l2n9TfxnD1AQWn3KslIHXeINycylm9jcRO7pO9NTo57dAJRFHBsvbOzl75D5+/H
eJHkOITdaj9F9z8DT/K+PrRjGjvHJRtmvKq9iOutwc3ZBUY6mfBEJD0B/FpoE8XWqbyFPOoI1fwj
Hnpfe1G9Mc2bFOvPsoGHMUIh84r1bMr1orC2Lh228x7V3qPtdk62WSR580GfF9aNJMqMxwqjTsAE
TpiI0PHdkTA52QGrTntr1IaWbAhcWj6azTh9LGsxHd0h009jWxFlP2u45CWqGITccy6PwskVR39R
8R7IZNjTsghWUHJiernmfJ4zL9swz2VHKfzRDKB9ygdvGdNjKUpMkKa9xTGkCCbw4rfWGEnPxaZ8
189eu2N91HdmNxDfVFYcr3mLgDjIZ6ixRMTxM0t4QzgO/URdA70CdmDiAe4WS4Jd2CP2upG2MG63
RZHX05inrhnLZDsYXaP3gTFjYCUEWYqd3XO3BR7O4wyqgUKJBfr1CMJWxcRp9pJK0GQeT0WSawet
bR0Gv0iMeSBMy7/VbYI5QzDpNiX5lCDsmrqWbpPQp7DJ2Yc+9YD++oaMruzeS7r2IfMz1Qe+MxMk
ueYHkwU77ToEV/tFT9CLtvmECFbg74Va6ubhI3lbPgUTvn4uM6+0IS2mGWl2au2c3r4yB+yeRMIO
4xxg1Tb5+TQiZ8GU+zjVFLt52sdbk3igG2t2VkpFc4neLellP1ipJT5i5sioIiKEJoxH00NpPVuV
5HEZRJh2w/DC4b0gJuidU+3rv1suXPPs2gLrKPNWSz2kmCdc4XmyVcNI9FQ32kY4DARFhpaTlLfE
9KJ9hQ4ct4OdXDe2ana+KoezGl374MCIwCsh5bjvi27EpQove2VVTrf1+dCOHumAclNU1vw2RV7y
6jNzf2ARd08R1dlOyK7snnvgLGcTxTD+16WwzdCY3ZehRMU7R/DITmxbbMCQpwY80aEzZnrRe0CU
TyaycoVLpen2Kd0f3CWGf11k8/wVdepaLJnqnzlP02OqNH07t5bzQp9mD7PRwTDttDZNLj4Mg9W1
7OAT4TdGvYafcRRuctwJWzTe/pU/4WOyJylPeHfUzQwt8tCDcJAvrKYws4lwr9neP2Nbn9rAqGsL
hrYeoKKwZWxbg9CvsgYjN6m12mrwmTuCidw3A0j4jFpnufGIEXtsFHqukPM8+4b3vn/yK1G8EIxR
xPDDWNlhk6JjSmf8ERMoYWw8ryfRxs69uQwqhHatD8YieAGieAN9zTvBB64z+xNtbNvRCMU1EDOf
F2W1U05jX2WFVh0mwSze+IV6gkkzd5rotkPTZrdpDBmT4WK+yVzXOHFIyA1fQL4srjQYWDj5zLyj
UFprm22OrWM7W3oJHCLnNqjLnu96Z2WnJmVGKUqBatIfii/UhdnYTopEbdOWzjw51OoNeCTxwqbw
p2tpGKQ7q86qd5el9j/7/y/2f0RjbNY/AcRvvv7efe7zd6v/Hz/0DzDc/g10HH+LhZhXgIbz7ylQ
g//zv/CKAIYj+0NJYNqrPOivzd/8Ddugse78a448ift/bv5oEX8Au38Kfnur+utvSiRSWSnT0lGi
rQqqtX3iPfhdmKMmUMjLs1lSZJlcL3lnUPkamIT6zNWZAFBrbspDihzxazJqXhtgiFZPdFQ4hzUJ
7rEovWgh/tU01kpw59boeuc8Zb5BCHMBHmf0BUIAw+y0HSaY8cUiiPqm89w220jDH3f+4KU3xuSZ
YW5T8RA0kiSZBo44tGfbvEEIRCIsq/FOSK+8y3NR3Q1KjQ9+5RgZuXhx/twRGkk2ReeNwYRh50Uw
Fj6PItGMoPVq/6FIvPKhM4ZnB4X/gRMY5FV34zsHV9gDFpruYYrNaGciHL5dyHzfasocjnnjL6Si
mBQlO/q0JfeMWyglXvFpTLPps+uWLanadURH9OLgQmqb/g7OIvkIlD7OoUC3tTFjaez8xNUfQSWT
B3tysq0UFlu8JoDZO4zqZ6/tP5RFOiDS0g0oNkuaTDFmszxVVGPitp1+zyeUQoHJabsn6ik9t2kF
WFs1dv9KfbUiYIHPkCjHrLzxlEx22pAsx65Ey0qYuhlvCum5IfVweMAziqJXeILG7iK+JaM329H6
iwU6sbnxcQHvharVeUpYWbE3pTeJXjr43Uo1PzJ4jiRN+/SAOrlx62Hd389GW127rVBnqovmPTSQ
+TmzzPqY+frwSMtHQSZbruVkADU00nUJdy15DOM1pQhi1+qutqmiorrXmPMeh9kaPpm+UXybjV48
GZLeOyefqtsStyTyUHfHUDm88F5xT7ZT5d9xn5YvZpfKne5RA10NAPiqypcrnHbaFr5zemtV39/q
Q1Ofs4k8fx8vZEs84BwjzdJ8/8vqD+3CttOhV7TFZHmeGG+2xFgm9+t+nJN32xL1HzGrl6KWO4/M
poDIsc/SkN4JohvVoWk3N1ans6FVoqTieqHIq49JrNI1f9pSYpCdm8Wy9kXceHshneJrRiDmnWgY
ldM8Xm5zki6Bre1I++LVa1ZIFPc6jjpF7hU4DiR7lTou51eSHOldIAC6jDIqqwr7JdVL8bGbsuns
+DnTsdWP16nb2KBCTSvvMWstnzBUAgVrF1TYTuMn7DX2rQdk3K3YsVxR5HTFk40VWc4vIDOuOgBn
fcWe7bodcYatiDRJq4DTvaoAqtMVs0ZZHx2MFcfmXgXSZlK10E5eoG5myfKZY6S5m1ckvFoxcTmW
9pYlXly7F8gco2sTuiuO3q2Ierli692Ksjsr3l5coHe+29PH/gLITys27zg5MD2rO9XXK3ZvO1F5
HBcJmVJewH1C9G25I+tI3GbIj/UQCGalAnIvfnb1CoLAdeqIoaxtI06StFk2S1m/FRdaAURyujYv
ZEN6IR6yGQ4ilj10RHahJoqVpTAvhAWJqpAX04XIaFZOw1jZje5CdMQN83W7K75zINTUXSgRyLuV
IelkEwNGxOrCnkwXKgWscuVVWKOa4WGgNVzuawCBtDoujdFrmDOAvKZmY0kjV49dNsXeF3zWUVJR
G1cIZX8oqRFs3a3XUJK+08ZxyN5mt2n0/Ip6o67j4oLt/c8c8Is5wMQ8+tM8w49zXaZV/I4T//4z
f4wB3+96VPEOED/U84rl/2MM0GnOXnsn/yK+/4gztOzfgP/XMcByLew0K23wBwFgid9Yfdz1+STU
aU1B/HfGgvcmBDw6wsaEQKCibjAR+D827UYjlS921KqbsXyL+2KTFL//bSr6F46glVJ/N3X88AI/
8AvdZBZlM/ECXoaiiNNu9D9jY0997ORvP3+pi7793WvhOMB2YJisoDbTzg9a61nvybdBP3pNJBii
dDSbGhoBGv58LIqt/UqgDF+jhJDAQVyJ79+zurBJPj4S5dDG5Vv9nQmNAVSE715FXSyu0JCNXyk8
xdR6Hjur16yTQIJ1KHo/izoC5MV8ciytjp7mdtjhfLCPPdDBXQYSTTcHcczVQBAAsQgeqcpDYEhH
YxdW0vSHjV2UbZI/tj7pfcSys4O6CBdrUu3+H3tnthy3kW3RX7k/AAWQifG15ipSJIukKMovCNqy
ME+JGV9/V4J2tCX3bYXvc3dHKDyRVYXK8Zy9194kLlvjpuzFRaFi/jRPObfxUHuqF0jwZOogCZLF
jUcDesdxg9sQuNvxF6My3Q3N1QKQEbf+LX5vW94TSFsvNyngOONpNI3EBhkGpCzg2NZlaTcR1Iei
uz3+d9VYWaY/WzUc37b+Mnj/RkH9/NbGrBo0nb5bON5/7M+Fw3I/BOTEEcoBRQQ5DVPrz4VD2B88
iQqf2f+Xu0PA3YFpjNMA96A24Pxr0XA+MCEsSbEdU5ONaOefLBrf9wxtzYjx33uWJIALPEzf3ySW
aml6+H3utRjyYtmWydRfFepWFylx0/7ylwfzbxYQ/cv+NanXFyPCk0sLpkKXj6uvNX/R7ETOZIMP
6Gw0YDMOE7uCbIko4uVdtMqSW3+JTA86/IDw/f/x0iyyOoYNCdKPfpPEyCzsI5Z9XUnaZaCMYA+2
3pv2Xg8OUfqT1pCbClUvDc2f2qn00vj9J/cE5hrtAsXdqMVP331yIZOoRGohr3mB2w3X+IAqGCXx
Ul8Io+DlpgJ3wn/+yIIx8vcXZaiQuYhKCozN9y+KZDDsozoQV4clC9URGQ50NBfqJjhdX2p4Ird2
ohHPPU7p9hgDu/jqautUbrg8h8YlRKP2IkTCraEThoCU2G9cDhAQoyg3rZtBN0d2yVJp805twdma
EIzKn/jevt929Kih7c7F2qGtblGS/GEr8EeyeiYvFoheMRxkfW6fWT8povrtZD2vFPkp+2lMIDf6
vz08N2B60B7ghYMfvjHXMLlhOcq6YseBOAlF/NiAnP9mplNzncGBPzo2vg6OBNwr5rj/mUf17xMT
zjHkK84aAePmx7kyBAFq+2yiLWm4GKL0hJm1/TYamp85b61/M1AwSTKzfO054ET7/UAB8daVptlb
Vyp906NRxxDihsTC6bF6Y6bM5trERsnsNNGJ1x4UBdiaGFPSLP6nNke+bilNm9VSezf/NmoF22/Q
UJ++9kiyGjqWYV7diq5AE5+UUDX/+STxWPaYl/zf+5ur0qpTgjzkIK6rA6icwVBBQZqqm94zq5tC
4dJFh1XdNE3CKAcxaN0VQ4DRC/0RtykrXaobwx2mx6hxtHKNlMzbLhuCvdVRX4hjtGO7ck6ZZY5f
TuMlQJGVH/7zh1iVHT8sLx7iYJvzn0NRyP9hiqRYant/DqxrGKYUXRBkqNM6bqauqL9oZwdYl5El
d+YBorUmJwNxOrhlpM+neoZAyn3Wxhm0jAuGESskWchX5s/Mz/9mFcQgj0/WhJf790OdMYl+cIE4
XckG4IGsj5nycP3FMkOLDqn62cjWO+h3s5hiHaOaPRe1KJ7jH4+RRYdtw8zm9roa1JwO51EYTPoP
SSehNzVKA5SOu8ENFqo9HlvIquM4B2S+ZdjNZDl3X2U1MNLhHWNVZhLASWHh1GNifUQtu4YLFA8E
EZaI6maGFEDYGcQJ6kLWHXLrnzkR+QQ/fiw+Cd8z1m5bYEv80de9wJHl8j1H14pRsg1q2gG71DPS
+0bmc3fC4ENTICWvGTmIY+Q0GYYijKlpRQl5HvxuE9MScgCRimGPNt07AIwEthe7LaGrcCNniY3N
CZedKbFcIPUejU+kQkQk95KhpzZjNMfOlowpnESmMJkZaTv29M1iwhOx/ZFKR2Xn2pddfOO3RXor
Cr+6G9LQa3Z+pUzioUgierXoL9xb1Zz/BvaRGEvMK9CB54XOy0w37uvsYHe7dHNc7pKO/fsCbKGg
Q4Rr/aFBf14ACsZsQuBoSxPcg7wLBdsz6pe+hL8B+NrznoKgiTX2NcrcjRJDg7XGiRTMGzeYOaZ3
wv8V46Xyt4gYuuxE+gD5uE3fkykiGlSd59C37FsREWpFmTOkYRgET7gxCN32qAmqK3VHy6YIhNFt
i5Eqi0kpieoaEiAeuu0UEHO881Ocg4hA2HYzxog397qrU80BLLl4jGgAI9TwkA3y7irHeWsp9SRb
+qY4B229EA81u0BLqkhE74ri7C6UmB/8NswJ00Sh5N3C/ct6dmYrpqi2Xcre9OoLHLN0/gjKtLk1
JjRdh4g7MGESdTLRPYuSmIZq0P2GSc6tNpHAA2UmqaLRXUR3oOrUQQUJiPSq/jLCN3q1Wlhl1M+m
HR5G8etMVODWSTAAesA8D4I0wl8KcshfK21dawh8+8pAmX6P+jAlUyKOyp3Z8/VsY1Jjj8SOwEW1
vGHLwCpMmt9hOU3w/gyDTiAhJnZjujj0kqh+Nhw/ydD1+m2GjKzMg+LZG8DWBQyAHCPqrvB0js2G
WqTnUwhHuR7qgrglRmIztrSwyM2g7mwQM7Yj9DCoXw1IOZK3m6UlTsdmLnw6P/rwswB9qLKMJ42k
oLoxwchJVnsDK64/AnRu87HGogkW+tNktHxjqwGsmGciRwaPVLcNJPCEqFZGJddki83UptwEtMby
6i8B6al4mwCQIvlIKzzs6Kx3Y0Byx6aMWr56DddWiR1de9rj3XaZXfstdMZxE6GCmPZdjic71eCK
CevtyygAQ7ULECq3B9xl2KxDnl1gl1ZxA6yUGepvwS7y6+fG4c1x46huONZRbEcvsgM8Xt0AahLP
jak5ODOQqduuG1ifWc5ClBrwzaKdZXX8k4gUFIyf2giMmJx/AHob/hxZcvabEuzUdA8k/4Uiv/Gu
p2IXbGmo+LdRg3818KrpEUUJm3pisKKuayRnOJjwDpuoB9jzhNe0RfGgH2WANu65Rb5OuL1+t6il
QCBJMNgPmv4rNnCB5odmPYtkuWure0ja6hRFA7CHpbPuBnLBbmYxYnqzSIYSAnF3n3DdkDpXkuxE
tucOW+Fu1qdHLujOm1XMfCimJK+UxUTbQbWdHlP9V4OaMfhFKadPM8OD7OfsooG2Dtc5uy0qjeYL
LjtOv1PSzo/rQWHJMG1epjR33+iVAEZs8dSrhjczkR301Za5JgFzHDpXjWHekU9nwLgKzTuyHrPq
lmHEd7emYJZVw8bTVsheQt4RLGAO4VVFt3717wHVYDfHFY3hOyT3/s1tF53lUmHGOTet0m5dfoaY
tmqcp9vGUDgR1wMOUb8BqbMpkUHr5Ufqow+t1hTUvDPbOB6MrEkhh7i9/XF0Zv82Lhz7Lfakyo9s
O7zBWkxYwn2jxCRUF1b4a24gxtqU6xSyQiedDsOk9DGInafbqfHq22P7NdeEF24QPoc7/jaILDZg
yFSsbZTS5TmLQddb2r7NMiDPLt/0XdnCqObjVDcApd1HNDroUZDM827pOpAIM7Ljdnp4rt5oM6LU
vslscuj26cBx1fZTmrb1GBnxqYhD7oCWSyNjg7LJl3uf/92ir2cAvxMFOgtb3zQkHpg0nwT3rjGh
ZQmdXZ7HufMWFyPPFBcFn39dBDJAk4/UoHgqeUbeg0szDMEQM6x29csXI35qVCscxzqr/gJ/ubpZ
eT4c9xskspJvNREwWXM2cp4DcMMbCt3hi0G87gNwPfdt9eZnprYZgzvABR45zHilCP3YrCPRnlKr
vRkTlgDH4oy+RzDD4gOaOmofgikUIz5Z/QWRtMDSJKqwORXKQujbLRN5BFxH2/3idhyKhI8IcSPG
qHiiBue8rTweYZCEsQUdzNY0+dbzSJOQxoaYLSDbYYogc06C+gvOTCZ6Y42kgkWMW3Yizshw2KMN
ZAt4wvrCC/4VyIQlmaIRV1RaE5m5GbnSPpPJZD3jt+Vrocc0PSzAAUBt69G5bpvzQr8Q1pghdXgz
n31x6uC2FD55q9iXd6rvucnop6YwUAS7dLTyZaf021nZcWhM7Le6R3OFJTgKbnMAuI/mMgOm9eQi
Dz3+OR9Rf8RylGRMLmH7rI5xqxy5iRnyPQMcCEichK4ky9RrTnNCBXDvBH3uPE5q1PzA0QZhYCi8
+ainGDX818FLOZlcW/PePmdNpaGGgT/ml4L2UrHP+1g0T5STR4ZImPGgaW1ad0m6rn2TSI1jFVks
8hxFIn0lt4GpappndbM+gPe1SF/cB025WRdWFXnsOOvYDaOJbW0CV3OavGT+VbENXdfxaSMAPaYU
Ao5D2djZR6/3GSK+2auT7SCTiiMYy38MiGIs/G+1R0rVtlCDRhSUATm7tfMWudRS1lHhThmTIhOh
dUcllInclNYdPggeAlKnpNq6ZWnhdXZKViJUcnibG0ERQjkpDAOs7dyqyK6oN4nCxqjsUcfFcBAi
n9ES1p0FcuXEkLOeQWLB9bNyMlC3Xtiww3gUlQ9VzaDp04rVnpbPPXTi5fqO2TANi/y0bmTRXldA
zF2YoyuiaIotcnK9fXcpT0l6I9NGb0DEAUeSEO56gASwqSKU1FDNfcIwy16/27TvmGYS463EMDpP
jwWBdChfuKrhHpk5+DkRn5uocRSLI84xY5faarI2irPQ8gS3NZlOXT+U8b3VpmZ1LllG70A18S4c
ov0gZCYVo93ESqqeO6fnEBIZWfCCt1bjMCf9eRGhPdi98J5IYyvuhXR+i43Q2GZB2qLmbcyNR1jf
DVSR9FsEBHjjgSbfSJcrNawIyQSe2B7TpGZH0jHT246SZ8AJZXZfgInwnAEf459yxoVwlD4l+Ln0
EdBGTdWhCZ0QG9R1+lHaLX07ds3izM1+OpVWXc7bvAZ4HILR/hZMOecFV2B+pYPBCEPe2iF7BQBs
Xhq9+F/SMKIQGeCivStIiecGgyH9vKI5SipF/bbJw9F4IumFr0cVNX8iyeQhrbgYKoAjxXl4zVLp
xb9Bx7wr9JFu5ahkEZTe1UrfNyNzRl+UMziDN6MMmKpB3ABbNRVvD1cDxSZRaSZHOPJOp3UzCWPW
7cVJqgwWRMCSlAU1DUa9h1sGyaKhr13/68UwMqOyvsCDqVnyOta0yp288IZ6mjp5MSj7JMBcjOTU
uosmB7AIyWtfxULSjysz+8wdjO9V6yVQ16Vsbn0RsVotbiKeB155u66bQZqxONJ0koi74OGIXJ83
V+JHoWhz7EKMBM8o1oHa5iR7Vh3rnmqYQl3O4ElCI7sYlXMgXZj3vSwVOxB3u/gEjDj53R5cs71x
6p4Z1xnQfh2wDLfG+wkDpkqvAwqLrPTtMyxK0ztzYZvw4HO/QX/aq2OF//BAdpsAWNB2zpuZwSCA
tVfd8IlZlajz8Eg8SCLUmkLBTaJw2Vhc3GlkgJvubiG//ExXnPmwaDjq+5EZ8d43N8LISJWsMAGN
FmS4u3MnDrxy/Byrfvo0xe5yG+OD/1T3EbhOZgirM7cdsmJy0ZN06ham2M52bTxoehcGziUo/b1U
cjqJyDF+62vpfEUkvfyec6r8VuVTy3F7REDOuUrcWHVr3hJvUh3JKRhfbd6u2vXwUVB2NGXa7CGC
NheHGKY7GvvEEaRu8pkecfREdiDxKH2Rz7usdXRbypnvAlmHn2LDy34j+5vf5JDN13JSLgO8DqXB
jTUnPNba4jZU6UYFg/tff9i7ufknHR6AIdo9/H8bpu9+H//n8rtqf5//2uH548f+6PB48kNgClcz
tND8vuvA/ujwEILn8E98XaEzadr8pctjfZAU5j2f+vLKjqSl+6c3zP8Q8OtMk39DMdSk5PcPFGNS
fl9ER7dG75bKLnJ4n66R9WOFUDSc+GXvAMziZseZR0nEMZzLsps4HJybyVTN8BQ5bXipzCTuz0NS
dte4JlflCAlRB0wTdYLwPgsSttleAulnFIqaQijnEDu5BkNrHr2sBCQVNCmsc2O8I5MrljuMKeHz
JDAUueXwllszzIa8eB6a0HnqcCZfWxU8V3WU4n+pM5vJpbOxqQ5zj5RAgHsOhMjZU996bN1KYhro
zNcgQ7YGqSwRj2U5ZpdWDd2+KrCquDU/iBPa2OOUm+4KbqzakWk9hguOnaI1Agh9imBQaCMsiFh7
FKSTlBhMe8rIJR+sbr+MbbBdbNJS1geVLSRNKC/+le8/2RqGDn8drQHxTKYW/0hnL8DZU/TnJUvt
rSd7frB1ELnvBGqWdOMWhAx/HtIFQEqZ++Yr2W/LR7ceAgD3cJ+Jnl1OXILUeTB6Xt3yue2XKaja
NumC7ZhUskfIEyhcdQlYrM3YyuWkUr8vdqKOjC99T2ye36WFDk2T1q3y28A84gTKX+Ys94jJiHrr
VVEi4fg1mfw2nFfTvc/5+RupmVRRZBNeiCGIvxp5O93V9AiO6/tr9btiZCvcQfx5FjlHts0K3/Zc
rxwP2IzKY8/ZBs46WOgE+f2+JaVqXy5DH2+8LhG3kW/1kMv7DgjRrStCtpcwtwheRJekJG4SDqhH
Tt0wgFKab9Rdquyy2NV5UDbFuC4d+kOXROIVkLHvHqx69s0jQ0XzlgvGgl9nl7Rv2x2vnmyDtnWS
PREGzlMFoP1FGTJ/ims1vzZ13N762O+f0wWrTCyFcndIdeSldProhqix+HM613KTB7NzY9R82b6b
UjfMOgdHT8WHTFEW751FtOXRocu5QYGsLUeBbpim9fJlKcf5SGZAwKYg5LfRlSTbEINeVIB0lgn4
gEiT7BCkZhffZXnF7+LCUB/cyqVUtbXlwDe8GVTlpeSJZO1jSNYEYREkccsqI+unM8OPhVsk0xb6
in+08OWzn8WSKEI/Oxb+ZABSIh8v301dUvhHTNftU1fZr0QI9LeFY36GYzeTZEFjAnVzvxjLfsjy
j9SzKDa1luseQOCH9F1EvcWeRFA5mYSgknpf3S9LXj207lJcW0Pi55nn4gG2snXpaW9SbGvAhwFB
OS3Eo+w5JSyX2G4IQs7EKLdj7shPE2yIjYNDcMJm4zJRpxETUgvCphQwnbaYvLND2Q0TcVqdDn0J
02Xbj61xbGoJGQa55z2y0+wGKZvz0DmR2FPsBp9mei1VZUquYUotIrBv86BJ+t04md4rIMvkY2hZ
ZJWpNGXTqM4KUttuqUmCK2Ht4rKwqjhF4SFdAnP4mbelCZj0RqogExDp0qDrMIn+oO4b7wmGl6R8
Z+XyaXIwuCxpQyFV1uqymHX1YrjOfBQNycR78uY4H1PphCaAddGCM53DfRBxCV27Lx2Y1iwUFiHS
o7kbXDJ6xrCurvG0tJ8DPr882+EypWc8kl67c5cIbnqYxlvqmGj7MhA7Hd4SB8++Scl6u8RexQmh
rBVEIBE/u15kIofNVbYV5A7cDNxsgIUr7LPQ5Fzk+PR7t5wlJgLOonKLv/Wt4ma9V8ksiJduvDvc
qcZzRgojch8B8TAYp1TyEnlHkdlf1IPys+zilRyzQWovV+GiFdy1EHS+rCtLk3Uhx/4iu+QVM5Tc
dgsqgp5FNW36p2lhjSLGi0OvYbKsDqIaWDVmdhhVueURPII6oxkUNtNhFI+Wo18Ifvy0I6KYd5IP
8L9Hcxy4nI9GUN6x288U0ADl7apq6fZtXy4fgZc77zzI/8rofnpccnUD+T8clyoFX2ZLIHuelG/f
H5nWH/3zyOR8sDUQxvZJ80WerkURfxyZfPuDFJZLZrBlA5pZrfZ/pgO7H9h86KHB2ZWCH+On/jwz
yQ/8p9TkBCI46MrOP0oHhtz7XZeNMxPdNUmbDeEBrUNa0d+3xUEYNgVamJSEA137sbAUeruljbiK
i0GhEIYhAQbLN73YPYdi5jbHIhb4JEQx6LZihApzYNHHMFo5VdQg3q6sUVG64dJCT43acZEgwkDJ
b5O8R52HSG773Nk91e1ZwPXMmSMcxXQDaMSqwkKq73Bo/v1bkFjVFwqNwNvMhfrmkLZcj8aSABIr
FvYbMSJcoIPCKLdVSV1m01fCr48CAY4iHsLQPyKhrG4zVNUPounAVzJ1xGZkrQJe2EIdXa+lRWJN
76k0uh5FzaCePHUfiTKrLuAQK//iBh4tCHjXz7kOswQVRx0b7xlVs9qmAjfnE0X8rNfX5XeQphAR
OFNd9+PsC7hS1wOqyuhPcojlp5U6W0pd7JYmxVi3oFIcCbp0m7UTkLq62k1DnmoM/Za2PSL6b7+S
DcITWFVFiS60y1Bz9Capq9/2xJVz7azNET9HBiBvwFkhq6Pup9B90i0B3VHsJem57OgTn9rOeE0/
k6SdpiafPcgd+j39aEqqWklxU8ZefCcJYLz1h5B6zphMH9MwGc6yCrJzmXj8jEc4SLJ5pwEWZDe5
9FQF/+T9C+VOB8k10nVB0etvGFfR9MBX2ravFO8p1o+ryGbKBEVus6WsfDUKwUeoVlFBPQBgxJ4M
7nLr5D3PZUx1LHJMBAtBLLNtOFvP8CLUKzS/h1OdFTG6c7e15QHBF4eFAY4YVG6+N3MogxfkiI/d
0jpYwUCRUoSk+sxxJ71CJeC8s9ZOkPqgJ7IZgFMMWptqDwM9wxUfHuY64jeBZuVP0rt4b7Gubaw1
3Bg0LUjIbmA0UOvjmw1kRy2Lw5Y8o8Kjw5B7HlXjOgIETPCbbnMOgqnnjaQEenZAp9TUNNV4bJiE
Hlg+Whr4gAXKfmrLdJ4pN13KVJcWMpBjxX5giNKdZ1reVnXA0cRDWn42CIOhp0dK5XRIlp7iUaGL
uZI9kMbFWDBiQovMk2myecly0VXBQY+TOZhIntVfkS8hXhdODwrbavlla32VkCvauLreOQ/0VWqb
YpGqKQutQzgxKCnNGt5d6cm+doNCLR0Zpe5yjSKaH6aIqVAsAl4tQVWU512bEubacuioaQJSzX0G
zFq5zEuX5/neytPFHDfB60H+LFqktWWSWEnzZS1xNSA44h0NQqqzY0U7gV6QsanbFOJbilgWBLBu
3q2VdTz3lMhiB+fl2kTwTKQMSasLx9qwwnygE4wrU/efqWPwfELdqRsElbV3rqUtTHleK1xEjAW3
S6NDfLq1d13VCGY2ueHTb++9NpZIawdor4ZqZ9bTaIHqlNfeyXWUeTBzomsITTJ2khQPtSHqis8r
gQqMh6Wl0LMPmBThhqMNb2hBw/dYCPJwHud2qj9Gaa9BRADmJbS6x0wX2+hz0/Mh74jfY7sFFfiM
40TaIUQ0tQSlo9TFEyzgAyN05j8ScdZ8yWDcngLCeY5hF4tnTzLm3SwfQ0J08Rk/tWQ32CQtQWOW
Cx94yjSH1wgEXxSxL9ZzaKJouESVBxxUlgVFTmwgEMq1pKS3NeZ40OXoXPck2kSwNFvhzJji4M0A
n+F1gI9saTiZI9jS7VTqphi08+fUmUdqSKqgRo3LhfFitSCJ10itkRu5u1nLaQm+1+eisHg/aVHT
NhgCPXI8CzznxU4Vv15EYfsVMBolwdhhdAe8BEkU8EkTukg3dk0joLe0o2sd88hS+CEEjLxLqnb8
ib+fvqturzpc3fmcpl72hhG62nVoHOR6lLNY31aZFfcVPR6DWbcPG83OlLpf+b6kpS2E4N27yAw+
herPqd82YN8HugCYzAzrwXaZXaSTBil3Ax6vJGZ+nXHF4NsvYE0m0pkbR8WHdWWtqthyjyPykBcr
kSUItyias88ONrFkm9t6lbJ0voUdU6LEB0pBt2+KqxX3ghir8msZT/BM61pvBo2pN+dQ1yLXHu+4
6H4hHhRmsM8VGF5CHJcWaTdzPJ9YfiRhbFbUc4TYRBVsOTq8S3BTlG2H1MUjDp1HkgT5dUmxF5nk
GtI77IzoZe1mk49V8BWVGsue9VRBK+Yk5myWmGpjoG1It7JR7teqLF5oDKlLEE49FfDZH0EQuFI9
07c6V4HeiFq3zJ8RDdU37DH+AxYhM2TuDvKgGq4zDS3+O8fUHG8iGrYDzJJPidc49PPK8JcG1psB
FRanMrHjqvMQo6fMgU1fWIUBIrWbz23c19RyA1WED2ZsV9sg6D6XuM/qum0OBsWTB9zKm7TwHkOB
POzz7MJIYJ+oCixJllUVrKro7KXtcjeTZi92NVC5nXDFUgJo4La3cRs73daVKE6W1UAYSOwaBp+d
yUNWiiGASUHiWo/ODtN6lm3xFdGkoAoTz4fZhchyguuWqG3U9jitBMiKm07ay70/dd6F9Du2uWTC
ITgZNRer0fpkW0P10TDd8j5ZMv/iiZDmrEUUHLbvah/5xGdszHoSsMtgLimc7x+BkZnQCgxnesvt
KiXhrfhkp3jWb/Omta9NFpd7Sv2jv7UXFRx86Cff2lkFv8aQljBpgcReGGT7xvGSnc9F9TAbKQ6/
ARv5jKBvX+BYikER4ibsZZt+9FWMyIfn5X5NO788LD1OypmIL1R+46eAaNJDlnjq6IXjLwQXoNhJ
vV+jZpofY2cu6Z3hhZKZRzmvc9QVlkPM8afEMT0V0290U5+ReoYbC0feRz+Jl2uxzOTOeX1xgLJs
H8MAAzu1EnsfNe1zE/TkUSuXk9G+LWAudUvIEpXR0yGLqd5HnBsuPQ3nC0A94+QEVXvOgt6+reRi
4vgCoUskFBdDl2rQ1DT+3gjgMaesWBtGSPaAxXXnceo0lsy6ZxOACWQPJRlchnvOlZyvUQUOCNzQ
SRitOuK94swKsXg3EY15cjCpA2OajS8tbrddSnLDxwWsS58UYgdWznyE8uLfIknrPoFJN27nos6b
jeF7/NxIW+/XbsgDziVCLJduKptjmnTVa8rxHdx7j5GD8S2yZ6FC/+SN0rgz3YZUS8rAu8y3DxAD
5kNaZcV5ND3vzciK18nQJRLLy8mdVMDCDY9hg8oLYskMFeFokgG5dfys2bL4A3RwcjaiKO7OQ+l8
reMIWFQHM9yqTR26V1rnOVXyLVQm8emkvU2v6Oz3nK4VJ8HELJG7mBlSBtt9pl1q3bHyK6BCFehg
qqneyWwneSxQVe1aMUM1GXNrvI17w7M2tew1M6Z1MZE2u84xH4cxy6195ORq5izeUKp4TEKL5riV
FnZ+8pZ2iL6y+EeHOBUNMAroXABwS1LtyMlWNFNleOzc2GBhUokLc6MfX4ysFcjAXBRclJ2seKfq
jhtI3Ow9V1Ufk5Z5kchufIHxk58XdyYyTpE0vYC4pTZj8repl9BlzM1PYzT5DHFZVLZxSWA/D4KF
tEiC39DpR1qYdEf5qP1sxEGP2tf/6GZlu2XzCp8KWE8wsGBrbHruLniLG/SAn1u37k2aXtT8LkZj
LaI/sWoFGJElPUW8hppZEXFxC+/DLgCAWQPN2ky0DP0vIQmqiJzSdERBZoyzCf7MsdQijx6qkMVB
7GMb5iZqDRNuELbZXn7xY9ABBwGYwoWirgNmqZE5xU0DrbM5ZJVJ3IW5gvoHsMpq7/ScQcFIc14r
R8gK4Fxs9qakIcb2Ymrh+qqJ4iwKRANawwNsN85nf7nxP7xLj//KZ/1eoLpenbXwFs+DzpD5W85P
HxNzUXdJiqAroGdfVNTaPy82OYKvNvLO5oBCjdNIVTo55dVRByn+5zewBkT/SxK9vgMf3SV3eIJG
eBc/WOQJ6rSqRXTRyUH3qKWFZCvu+sAKxZ1ltHHEYTOsj4lM4uimq8OlpB7VhndR2dGgNGl42hUM
qn/+WHQr1qFTRF0DaMT3FYVS9iFlRjs6vfsJJnb//ZRUnEnXji61ck4+fbFwODKG6GcpRT/IxNdn
wssDMPTx0vBwfpCJl6ht+xKl78mZEcydUquZAU+1jV+kfCHxDDRjkdgtnjMvNM6WPn6Xdg7CYrCb
Wtzb7kyxbWOCxY1Pnb5B101Upt9WSdpY6nb+P/4SNczQAUmOnBB3/w/PawggwEjDz09lONCgCeYJ
sjWRJbqj7gROs0UpUe7dqW3eCthEj01HraKJucsn1aQei7L5iRfF0jWf74eVyxnIlqQieZK23A/v
yHAaY0FlEdN9ofm0WUX2q0yspcTTUnnW199Vk4krh861lh+UI1yRowWOHMV9W+s7GE/2Pz8q+e/e
mIuslSQ8SugrbOKv3ipvMGtVqCY+1W7ECTWiGJv3xJiMyps4Fcm2fKrjnEY9Ak9WjAmZZnYh12V4
7O0hQKg6oFA2TcriG3s9FwNZJewU5OM+sheO70mEk1pjuzjD61pPGZjMbANdOUdTxCVgoCgMfn2/
lCbFSNDWmqQCQxaZVJggqaQDNj3oc9zb6uQg5YLa8cbxSAP6yfekjb0/fk+Ex+Myo25gu8GPvrbY
gmwDWMc4ypg0R4A0C6E0fq+vOqv+ioU/uAXaNBhPpVgonkxFzNuak355mgKXpxVJ1M5AvYiyRfTJ
X/Kw+HPyckJS1vKQFITYbEaVUqXpxz5KTlVEBQxFJ+KsPUYdnc5X8OqOAPIAE2EeGCFcCN7Nsv+t
RP+sEg0zlWnwf1ei77P8jZLd9zXo9x/6owYd2B+oGGM0opsf6MY928SfxkxT81tcyJ60N7Uzkn/1
Zw2a0EdTrwDUrAVV43/Vn10SnRxWV5u6tuP5/6Rnz7X4+zFs4RVHN49jkndALfRHW5YaMhxDrtVc
UIxBLrDzQ8dZ5SAJ5bk6cRkTQhNEBiI60BbOniCp3vjEDTb9mnuuYDGayPHi4lQUQRKi2YKr8dxD
FCUoKkjSh84t1S+0grwvzuKWl9iK8ptuTMUuMNiZUbomxYVMd9RaWTDsuiEtb9O6IY6kjGuC7GdC
gI/FbB2jUQcxL7GosTGPKvgyJLP0T74JJ5LpNgOcGifum7NwPA7uAEtT3drbSxfywzaIaj95Gzoj
foWF3hanSlVZdKhbguJvOWHGXXQgPsu0dS+SeBQuZZyBxrs8tl3fO6DKXeo7Gkt83HhqlUdnak7t
8IR8VappX5ClYhS0d23HRwwmQqISd1nPdfjOFwuW+U2I8RrmejIXPWe10AnMEczp4Flbsgot87dx
zNtxgXOeOBzIORw6HFvLtAqzbdGrBauC23PZ2JS+MLCjdIFNiSz2l8a2dtBB7GWbuYhboRdGtYih
cPhpXy3pV25FM0lc247YHof+fJXYaPLsITqKbArVHRIB42yiIn0wUz/cLIEh8ZnbALfauDzHhjEc
I6cWT0DqAL7J1iTJBJj11cpH1FxBPb95NazMkZowwvA5pjfOJRwaT3arUIAcq9YuztQh+2NWDrDP
m7Ii2m/I+7OPNsnr4+xQFGW1oxoe3VPWJEwqzqedC7liZ3eOhEsXVad2CcKrQhD6OSyNDutPmPub
xRjq+zx1P2VVEV0lt8KHEWzkNa+z4UtMi3oXcQ67qDqeroyHitJNlbygOwgfclHNnzN0J2I79j1h
GVy4UXwm3l0QZOFLjNbxhLDLuDc4O3UbbpCQIj0lb0M3zI9GaiTLzvJUNr9QViI9KczdT41rlU+U
FzNrw2YVcf9NwbpvqaN407biNHouFW0mZJ9tAVqx7M7jtKjjmGfRCxk68iZYPN3+gfv2zHmzxZxS
KzAuPUCXb9Zog9MDt045gfJOuUcyiBgcFdCDgkt+VqPznDYeWW29LTe2nLxbixp5BMtmyUt64P1w
TzMCNdk0VScM4T1yh5nvus9bdY1zt3xR7VQeh9Crfx1F/Nlq1LDFA+Jf+KaJlaslAVZt7X9caLNc
Q1LbLqU9qecIucFrT1mt0C1b8VuK6+rGWEqu+U0jvQvBG8HBTuvfh6AJT5ZD0zcmXpBv0Eufgszv
X003zT8TLpt8lmOXQOZv/Oxzgx5tNxLAgr+wU0cObWIfeOP/snce3XEb6xb9RfBCDtPO3SSbmRI1
waIScioUUAX8+rfRsteVaV/5eX4njiI7oQtV5ztnH7nLWp+WUbD+eHDKPSfQ6baOau+kdB9hZqGR
rl3xs8athf8Bt/ac0x3im9ldHef6hN6ixbqhK4CrmJ1C6oWafIw0+o1rdNO2UUO7VjGOBd4XuQrA
p60Tw6SooFc4lqJ640ye/eIGhnMrDfGczeIxb43gq/Ya0HRmtBCB0Pugy9ntnD8F5DqvKuTsa1PC
uPXzHt93lhwjtw9uJiU6vhpD/ziXIc1kwmy++APo+lbNzZ0TR/NnzKOiW1k0MkJtpFUnyRP3OUld
b+13zKpXquqmDT2yyQ2p8OFVegCTGlQ1RmjmGuHCmtfYQE/Y65O33sFpWSqcrf3YXePDVgt8T2/g
sDofbXZOIFADDsSaXOK1rXESuoWvyChI2+AbB97ibCGS7ygYMjj6mmFzXzAU4+ApLXZsi2o40oy8
MFcpuVgRWiDRbRN9eWjUsq8pEuU8jjIOPxeqYnc3ZIuqe8m3gFacHlyDjEaD2PA2MO67Im/HHnGS
y1DyEqBMrDpmohamMCmVi/61aMcTh6xzgOIyrYAyooA6aAQIL+kRkxYiSTsxqMSJ3Zz7jAZ1UNPN
Wpr6S8c978FS/nRMjLhf80s5B+dxj9WqjfaoFvrakIvJJ2yh6DTC+94Y7tes7exrkmS9XE9dNeHf
oeOJHTpfcqO4odgmvIkog7imtcjPV/n8JTXtjnHGklPU+rkxxSMsIHMdAlVd15Q0ojv46S4DBE8g
bo7uO0s0YAvtlCAFlqgDAZJzWYzJzh2yeCNqYX3IOs/d55zZd3zfv+RzHT50dq/WKZWGT0mA9cNK
RXtShIS2gmbh8sZrQE95fT3eNLWZHAyl6Z3zK1/uXcTQe67calOb+LozdtZfO40qgOPOKtn2uOFL
QpL2xDOcNrZqGfJ6rdfCsvSquyo2vF1pE/2xQGutzd7UGxCt2TUp/mCF8b7Zy0EPdKZp+WoLkW7K
kFaFMSg+yd76nHcthUbcHq9HVSXDyu9VSnKmq1Z13xQbNsq4Zh3df7dgm20HSNWPuel724s83yQA
OF2E8A2xkPgxG63+7JuB3KvI6XgWmbgdaea1tvkcCSBs5EIJSKTGUaGeZi5CV60+CwjmnzqcQTss
TsXXKgxAV840DLHsfUrD8psosv7oGNzuTWieG5T+gFt3EK0mKAKHMZNQgNm0bxid01EhM+t6bo38
S5SHHmtnauwxsRnYjuLyPiexhhSZZ7tW5t1xYEOyHboyOjjE93aBZudlqMbbU/MyXmVVw1S11Chr
0oIybSLQrXULFN0J+vqL9BSWZheVfUis9TCl/gE0DJEe72Z2VXuo3QroKkSGXWN5XzqzvR8GmgVr
wHBw1+kBESZgfodcLPy+VZpS5pQVMzuMEn5lYTZnCpzvA7PfR31HVLsaVmZVkAtI64fQkHjgmjnZ
1aINV5iVqKfManvlgh7r5zLZxW5541SGQQ+IVvvSH6IDdRboiU51j5XpDv0t3WGnI9TXYBrwywlP
52BtIAeW+x4SG926wNpcMNUrLx2sfU3zDItw4NwaEgGctT14kq6dHeY8Rvv3rG9d7GOWm/KKQMcA
uj6DuDmiZnI/cIZ7ZVvRl6yakPUMLr+mNw6+HmuAB2PIzXhOV6M3WGszaoejrkR0AL5mEIWYw1Ml
p/sy8z5RUvZ8OSD87yz1D2cpHMoQMP77UWr9VmbfG/GuIOPHT/1+lrIs9zd8OQxufJtq9dDjF/5x
lgJy4+JApjUKgyaaHEedP/BYNngsMrkhTo8osi+nnD/OU/ZvnsMvhGcQUhbMzPHfnKesd8cpnNQw
Zywf/ouDgsOA6c/im8Rf2mKS02cgwwhuKmZT1zh5AA82UCOXnTedci7AYmsicb3imRyfC7cHZ9tH
dffhp3fvbwTSxWH+s0CxPBtKl3F9Q21AKPWXZ/sTC8dFFikiWHFnUIy4W4qZG/QQNH661hBhIyan
7vAajC0iE75dZIsuF6gN8dwH7jqMgvprJKV5y+9IByIypfWMpy609pPvxd+syaDY8tfP+KKY/iR9
XZ4x7BzsVZEXmKH9Tj10s4C6G2qpzo72kmTj67l8xhMSOjsZTHRfjBNBdKDeMSeAADo0LcQmkwSC
s9ZGjOS5OaD1hIMMYt+9zBDFJV6UkWAShcTbpMnTOzxCp6qPgArgjI9e+rS7YsbI1JzRsX+TiRQ7
+q9f1V8/hsB1qL6G6ca18ReZOJiMhAxi2Z9pE4sYoeLlprlk8Zy0NS4PpUX02MZW+fHXD/vOWrZo
mVS1LLom1yJ/WZ7WT58+7UqJ2/ZJfb5E/C3Q0mRbxToL4/Tl14/0Tom/PBKLvbnY7EAvhe+usxbu
9Eyra3MOW5ME+0WKjGU4MQZp0y2uUbQvx5xCDOyOp6p/umiWi+Lni4ZXiXri2e4ytGV1ePfwQbAI
7HWVnYOlML7KB+8N1zNyqDdX/ZZxDpMuoKspx61OwV0omuCbJBp8VNHkXmsO8ebaUQzMwFnU1TNm
LtvZpCF8a7IJ7cY05ipYM0R0xcFz/Hn4JwX6rx8UBB6WjQUeiGDvsqb9/EGZ/uDVkKONG2uIq7dM
yB5/m1HI2mWoONXJSVEf+jkJo/Zaz12Kj9vVhEWtMfguA+JU2HGSgOaWfPyWCSf4OnptGpx+/RGj
Vbx/l1GkuYggT7C28u1cxOGfLiefpJcpUunc5Aj1tD1vgMPNey21QwPciDGYeR2VIbRhkCNI02BN
R/e+h3O5p+HDhofdVQ9t6VUoxaVKPqi8ao5TL+H6Usv1TFwp3IC+o36ryZnP002ZI5zkfX1WrdHf
IokTSEysiBKJOUYAhUdagfeU5YOdJ3fJVNOiVg5Bd5Zx9yTtynAoowWiRye4zdrgDjNTBRXm19iO
GJKZg3tKkbmv50QTkVB4CSinLafsiG9oqnC1URtgKc5U1G5+wVsgHwfTCJjPLiSTuO8GXNO2/dSl
GPz2cQAQF/hEEX8GEyMWilBnfBoARmzwJdjHoqnbo9VF5dcMyAbfe6cqHjN8FMFq7NzkJDijryfe
hz1zrui2UxVYYU6IO8vS1rgtvYBdPDYoKl7xqsUkTBz8WW10i/stocjFauSBW41Nq7NJZCWUQflR
V2Z6ZYuoffQc6e2HKDfsXe9X81voN9gzTRL1O+Q/tC+tzTdozOp7D1PEWzPSwuZeU3ia7LSke81R
SpHkGYeQA2DMVl461aHmjwI4cUXDG12NAaJRzmkIAwCxN5AGNJnJMl470qirvfALJP5hMu8VM6NN
1lMKAfbchYDIkDXq99oJoNQWmP/je0QyScpkyih6Fl/TOGUO/torQwcVZ0/BUt58sacqlw5TUzkM
rXmWhawKfYqybt6P0SDjY3VxauZ22TyanNiPVA4xoRz4DGIgFWak+biIh8MYjrkfyrJQ3ZaahsTE
1c658zbF3hY0h2IKVIoloozktd9LhytK0a7EmWvgXrjzjTSPb8dlmJOsO86LXHBO0Ve7usxEtKJR
3I3irR4zf23EYOsogo3N2l03/WKLZR6MwUtRJlxt+5hdwc6rl2BqyPwdTp4NVQDOyxJ9H/sp6e96
+v+qbZNk4XeDfrfM3JiNLfeZGw7h2YPFH59qJ5BUkTOA6Lt5OvRIzCLdtkkaVNu4H5mKAgepsx3D
uWpiDt9XLfmgZWoUEDMo9yKDQUVTlmt/MNqKIY5DR/kyV6hMA73NNHre8rr+QAwoqo6OgDaPbin9
h3nJudO6Q739VarSPqjxZqIAAMUcW7QxmTmnPGFasxtangEFxXRGbUNLz/TuEIhRNxXlEvGWbXor
NgQphpOAclhukthJhg3mf9xQWUCKY1XPuUNesnAif0OFSVkhzFRpd7RwER6SLCj8tV0UnYMcycF5
HuICwLESbXSXx4rwlJN1WJ0qssbGlQnchrBPnCDkpVHQbq0ppXk9zSxMhwVcHcq5+XMrK8qQJ4cu
4ailVbb0ylDQ/EnU+GeNVcb3iJnvXGczRtnRNZwnPK72cPbbaGo21BHKG1rcuSUlFBrwA9Rw8G7F
GaBj2AQ0VZ2Aw2Aw65U3Z1eWTOSTSxnWm6cXoSC0uHh3Q60XMoxP5zMuEMwPGzp6CvQLFW8vNsxS
kVunNSYfH3vUnc+tSJ3DGCjMeGHBvBj9GNbazisbLKkX7/askfbuGZZZTz+yt8o3UGskzCTY1HaV
ZwehbWgOdZD09u3FXFqb6OHrOs8XJE/Zpz3MCJdgvNkR/CYfUfPEGnDF1hV3MHylIRwJ7JAKwZ/o
oG6OkkI2+y6nxqJ4sMM6ArXn5mq4Ab60bD4XngIN3z4d56rioQlYMCPXNnG2vVngvVoBBLDOivWJ
57Wk2F2v5lUMncdblcKKIWNdjHx12jLByVyLgK88rAbQAfw/1lRbkoLvLHcSdJ626DXHVC2zxQqP
AiB3c+jAcy85yy0BJiQz/h2li1fEAqKBl7NPlnjhYiICJ3SmLFyFKaHl9YWd8WNGrRnYPThSk2xO
2ObmV01bF/ljyN1i39emdb6wXFxm+N0qddPMPjVMTIYr3OEJDiwRUAo/B5Ozb23eVhSIbvpSILzc
MZw2mwMm2bH4oPwq6Q8oMdX3aabnbNtnHXZmzgEktTO8gf2uJRb4wTDjaoeCmHSrwGWZmwT+VYoz
+quoKnJv49nCXuq9PZfbUWrjx8xxBmxLu+ZrMtNcHx1dTIXdN8LEWJ9Di0tqq5YVe5t7Bu+oHmfU
CZSJ7soSg03talTKkTutQ0lLILr8E/Gf6MmY2Kaf5kgK6ysdQrh5KsZm4zFTNr9KV1a6dPElfnJs
+VgUtbeRv5ubcZQ3egrKx3zsO4jn/cGt9OgdZuXz4RSm1c/7FpZNc1P72kW6M+mHJWRfjVfJpNp0
HXp9leKWavuvqLgsIyyd/Qh8B5WN6fUYdtwFpu6xTDor+4ilwwmx+rIDm55b6WCcAHKEXzYNjCI5
GXGrPqeJaYzrMuj94pjRInyPbhbPezF0fUZV6GL2zmyZO3eallnvXPltyWSohW9441qpq9G2ctVv
8arxqamwzhhjzUG1mOz7cmtp/MebsbRDsZ/pLOGpuhoD8xRPZr+OWxoEP4DJwZqbYoPk65CB/KJ6
tL9DDbdYYO02ynchnDS10sMrhBUVWitsyMEzlE5M7cpLpHvDECkcHzpKcwQ3d67oLS0ifJocHBg2
Y34CDxQwQHHubG2WpE90E/G6tDaSm0IYQAuqPmZVYTc2yJuyjHn+ImKw1qdhkS6pOPNIGQzf+4kJ
KGZoMO03l13p/5SUf1BSFs8Tp6D/LqXcplnzp1TUjx/4XUUJzd889vDmcmTzlgwTJ6b/pKL4/qI5
42haRBST6NMfKor1Gzkle+km5SALt5QTwB8qSvgbGSYTI4TD6sJ57F9Npa13ByI34IhBXp1dLYc5
zMPvfFWgN5Ix5Uh0HDUdPBs7n4uHtGzjEzUl45opDMFFh91ry/hrZykdn0Kigq8Re9pnryau5DJs
+WA6df8h0SQkf3on/0ZWeXcQWp6dbfLyeYK2w4HznT0nIqQaW4rbVj66zZvH13nhBNbXtacRUjp2
rfuoNcd13zYkzX/92Jy4/nwMo4DVIWLv4goA5u5fUms/H8PYDBPYGrLuyG7vYwXOCXf6kEU3RUSW
cUPfUHBNVS2dT85E/ZN2o+zZIrX0Sc/1/DW49ES1IIhOSZn028Ifyr28NEqJrvHvUV/oz9AYSI/w
SOS1xUK8c83WXc1igOakq8hag6WsblMqQGlnsEbE0xDP4kqhRmyGYWYyEg60Fa0c6WvcOL79mhCJ
QHplGIcZBwjbUpVFsG94IKFa4+9dmrQMubRqJV0UpWsapbGcL7VbhhAGe5fgaWBaCids7tghBH5b
nwUr4tZIFx+kWGq8JkxC64JDIpMXyUBoRm7rVsmytwc1Cy5x6QOrL9VgRk9LmKfyeOMvzWFsn4Ll
rk86dmVeysX4AHCJOsW0UwxH9zpiFmS4NjcLVMnuYTEf30Pxy6wNTZ7mawlBHZdhYLLBwcS/VQO1
I7vR0eG0yvgqPVDJlRBFvpSizfj/n6yhSbe1DNRwhBhL8RSRPvmgM+Zba8tRPaMh3zJ3hCnQuWo6
t2m783xSCVs3mZ2rWgvs90mS2YqbGNNcAiL0ubXgAw/eaNsGPD0MpcrzPgb5FG5Tz6/vilqwvUwA
IAG1w07lXjrjAGZZOzPPgTBKss4TUZI94Rxq5lJ73BVmtovkOG74pkZHf6mlm+1pBI+wlNXNS21d
6MkAUptsD/NSaheVLfV2mWjmncQYOa+CnN6KNccgTSPeUo4HQcC6io2Qw1poxS9OvnhbVaqYKwVe
+s2Fdgatc6nay+qg+ob/qmhW9txB5PSyulpFFuG61XRp6/ODpbmP795jmhi5cwanOjCgyuPKV490
9mW6XQFUbpjxE9RLGIfGtcVkXRZf65yhJ+01It/bJuVY3B0razUChCMa3Nbcqm/6LhLYRjJ6Ew9R
jTPrtu9FfJqH2TmWppOPH326DHF4eXbzNhuOHNj3DIyYA6sz5BfA2Hm54YDUpRBAGzfbykHUxpY6
gQlriwWzqGdoRdPiCPj5kZ75aTr82HAa3FJJqtQCKKIYAH1+IpZGs0th1IARiLLB/UpUYR6APaTc
CmR9LVKVtThqnOYNCg2gIJyAnHo0m1vSYMUD9qRlMSQ1smLaXt/m8xCc7QG6H500EY8mltfGAcyj
33y2FMmAPl4ce27/QWZ+Th9MNvLs2YfMB6AztJc3qsXg7jWviromNlLeiAE+VXyRERcGbTC51cNn
k42+eQNbyDPPUazYQrd227wRNYq8DWkX0t7LUh7xyskbkATYyvyCkDDkeNaZPWPagOhF45ly5gKh
ILZjKGvcCazpzYP/Y7bLJtzkb0US0Ya3KicrcfNVY81q/FjTuZr1QDy8+m2YJFuUScz9VSNm/9z1
Fs8Y53Rj0JqJk3hFnUy776gmuiWZOGrCapDyVr2Va8z7Ce7UpuGLlcVheQsyrKvWpF4bbwOkajxq
et9wAYwyra4rxoY5S+KsuHYpNTqSpgrHs9tRxoP9lZa4DVJs8AmXugJ6kYkiWnMcXmpNQ38yYQVO
oVilXaBeGbg359SfIpiiPl2UMUOOY2JrynhU33zuLfkMYsQ/QvfLvQXVoO4Hv3TKjYGBYtyHBJLc
FfSviohKE8Fc8PJ4Z2F0umF3TjMhINT6Oi0VKR7CPz6n4MH7QhE1M+zRsdJdo4otZipjXpeWp6/d
Mm84pYwp/aaQGVeywx6vUT68baiFdeUYpTxGCDZ0A/UxqX7uMxwinGjauBFT6pXVVYG99r2eElTi
wjR1TRI/1Z6BycTqN/qgYVnHGVovfYR4w+i1rugo/N/G8f/XNEGg7qctx1+aJv62oh5Vmx/6ffMI
ashm++HgSoR6TWqd/c8fm0fnN3roqKBhn7jM5pYamj/sjBFBfA/IkGmyZ7LxHf5n80jaHq8zEXY4
+D/S9v8CQ8Qe8f0OiYd3EP19h2dh0mP3Z6E6HEn1UOJoHcKQcinoO024FkuibK6n7jpTzlYTNptq
GuRxlJBAM4c2WbtLKo05wnB2GqAVkSCz5gWxFW8FzKO7dMm0iSXd1tRk1VZ4OY9dLJ9iwk7hehq6
N9NpC5FtRCaSZzxj9YvNBuiurRam5Ag09asX16RyU+4Y7gQe/IeOohckrNPiLFvh5yfE7DfGt0IH
+rlwmkp/i9iNBvkp6111TptgKyoEn0TnV5RUt/BzxriGjukmMl8lxuCeB2lbFuyPxngyXI+A2ZzW
47YNCRcHnaCfq8o6dwO+UJ8tobk/FWlIJXMZ2le9HEPeFr6TB0urBCcm+GkskrSfmbbTbGOIQd6O
cjZ3FffFZ7ea66uEu87KC2cXB5NbfBTo9VvPit2NEfgewW5HvVyYuMTireTo9sSGm7Zq7/A3mQFr
eQrpVo/Gq+xLkhM9PpnU7FP8ADgrVpx8u+Cl7TOKPQNfcxCfxczUTOcxqZQ4WsL/wexK+7a7HFwN
j+yx6EL3bWjdJV8PRPnVTdyQ+jPsQlo5y7sM1AmZakmrRhdR7JJUSQhYkbBsFzqxdEomhmKJT/eO
g8QQyB5dyIEQUm1Db0RjC9OIEYQhOiRbVQNf/8E/vfxjCSl75pTu42Dqhgt6Mq34GWq/CzJsNeFu
eEyov56s4pfcDcmHegtWWaIbLtDXBNU10QTaw6bgdnkZGlJLQfZLhEvM5wIttq2Fs1wtFXMqaIZl
EBMRDV7Cpa0mA7hHkhOcx3U/Q3fFK7iaKvAEdgISaZ27My/o4qEC2kX2QhYzgWEjXPihCqNXsqWS
g3e3GmOwBGpBMiTxiA7sTeCyNiEGdXcTMkm2z/G4hJR7GZvJUbYjygdTVvn1AqDFWMK//44lbTrk
zzLPkc/wfowIMNBYeDw3XDY72l9ePCzqRXKyUU3WQi3HqXlh811i1Fovg9wZlwjc18FYuwajFRBh
tnkXZqN/fXlEPxiIEcDtdY5kyrg2OwrRqJZHA31RokCmdFwPKcVV9oheIyz3zcQjS0zyQn01Rfva
gY+hYNiDoAjJ3nPvLyHvwunwQhPlEf029gdC8p29oCASp+RlAfYGWowR9IO7OCtfLs8yLOchOZST
m9Vr6lp4sl7rc5VRMmWdI1FyKCqLHltv7y/boqIau/lRqgV23ZTLR0peZXlPclSfs5yixRZHrn+C
K9afo2kJO/wgEhgLCrxoLlhROuH2gSpZoS6sa7cyrWm35LK+z/NCKch9Y7mmLOYiK/iDYbVvhhFK
ZWBVmmbCttCkDwqpmO7ZM9ZbXz0wNdN3IxL9q8OV5tBfOYCtLdOaDXPkMpSUIaW3rcdxx7ONjlZk
mxTHUNUJ+APRB4s3K77KIyClfJh+ykghsABeT5KUvujbV+kOfUzZpK2xCEbOPldhtZuh3K3NMVli
k7L/khsOddwlN52XMir1Y+jjhA5swYVtCyV4MbwB177pGry6qgDhNjceKTvJvtnZeFG9KLhZMs4H
zWzzoBhjf+naHEHdqhvkUvibjFls0O/HJMnp40CTY2ui0/hFBAEryNBxjAjsSt0qy3O3mKhtDqDS
USsgp/QxVsJtj3AYcT2XYZqu6SxM7hc06UM5AhniaMHOaRUUqf0MczvYMZCYvrlB5ZxiIbNDPobW
V+Z880uY0ESzw4ieX3fCz745mNSeBs+bADSh0U05Q7UmM54RacULFJZ+U8M/avAjwlTAEknEFi7H
taVrxX/T9c4Mq2lbA2n6RjC74BuA2/wq9BQ71DEPJsrn59h5xTzb482nPGGNkcE6DrMobipEkI1H
vgddXkuE3Syeg2sv6c7CpxId607qbucQbN9Kg7c/EYoPz6UyHshr23pLhMgR6yIcewv4Mav5/ew6
6ZGW870cfb2biSVv+q5ob9RQgxQzhviuHgWryRTgWDPa4cGq649Oohh/yqifKaQcMue6LWrTfo5b
p3nhhC4eS+Xepd7YkTpku6iSHhAfyvJjTRMzQ2HQOrcdvTQHWp3bLdFj8yOzA33lxuHTnNj+h4Fx
xb7Bxiv2nqqbiO9Hy6FvFJzmC0cddBvBbGntu75PGtyTbeptSzM1r4FR4XyPO2ne92nTbLUdmNsy
F9YKbJTQHJ8kcWSUhdrcMMdUn+JWV+Xacgcv35nQ5qvD1IFpXhuWW8LK6Zp1qE35BPgmfM3syOy5
FTrm7ZC7A/AFoz3SJ8BVDVTkk+b2foX1fjhL2/ykRNjdtP08yRWCWOuTUYjlNcMiynTdyH6cInro
JrDd94Xly++cx8WnCWh296alWY73GY2chBTFXBwTONXrthMfKcmI72HkxpvCL0BgMKy7HqUFD4s2
z5Gc7GngaHYrhPS3ve0kE4Hi6lspFfT3Ocu3sTfZ90SXx9cw8+NNgiB9F7WRd6sHhUm0qNOqW5lE
s86BERc3EDDsepMyZr/nzO9tAndQTAVKhhKur09tX9WfskG6a69pn2OmvqfCFC+SW+KW4C9+n9x8
tezkmKu8vzYmz/2oVOJUfOfo4LDi3trGRppe9Ymb3DphM9wMgTigjUuiZTaAYRP7BZPrlhmCSqXL
K6SR3U4h6G+S1h4o35sMkDxcKtArrysVNgdIuB/inLFJwjh1JezGhcctC3xLZbnhcMl1YLcupnc/
4k4R0XWSuJ2/orfdtXYRpiH4AHbr3IeJ68PDEPKxwanAjb4eG14PNeDFrAlrS+y7gikmlNln3+ys
q5p8BX5nTca5njxEmqp6BFs71kDm8nJn11a20VD9+21rLidx6XvdaurT9K7S0BAL3DhPJrjNq6l3
FpmNHxzJWtywAo2QCfBLb2QV3TvSHPeYlDBLSdttr6iC7gj0U1K+nupebYemBvOWqgY6H2f3+yzz
zY2I/SMqD37uIpmewQnFPjS+4SUd0o9IM/GalBJpE3wXyfPYRgylei254/bOyW8rfdBmgj8qSsMd
MBk+BzQaBWSkMmldDoPBh1VQpGjDfiWLdas9gr4kCJurMqVFpguqct8qvMttxAsfsfw/xnkT7PDY
xfmW26E6hGCsNthvycnQPWFybCU76NegQPPU3cxM2q8adyJKYabTcKWXlnTSlhSm8zP6JrjUqAes
N1/zjm718NKyfilcT5fu9TYIILkIxv7lsrVql472cmlrny/F7eXS4Z4tbe45I+01k/vhRrWWvYnB
ASzExHFTLE3wpPnGM3pp6zxzfytuZF06KTB0MHd3OcN0uDhe8zBUOvEfSoI7oA+MSKyg77EtAAr/
ubBsM9lFWLH5ApnsBQvfKmBq6UfQqPq6Lvp+S0VMpNd5H8b3PduAG7TllpV3chLwoSPJnNnJ2WO5
0WsyWM3DzPiclswk3XXFMF17veeduzrtSM12nbEZGm84OU0przSp3z1jLX1nebJ/SlV16hgOtuGs
N3RXdtQ2N/0XBEVzT0mdOFmjF9PVEr6wUVO7oGf6FQj3Ph8n5mbeSMvDDu05KU+k0JS1y6IZx7Jy
wR7h2ambfFXZ/vwwOGb7WRcV8GSWvJKuAjg41CvBia6deL4uBmFUX6ZR93dGNM23RjqLbJu0mTd8
DmX71A5TXQQIXQPWnn1lsLgx9PL3XeoED41VfmhhwKRXddkF8bVTm284V9obTYEwhcdcC0ci5igq
cz4ViNZ5Gjzg9wJBkgEjiYRaiaKO7xq8RLsFpoitY+216sO8UExcR4RJcJfYbXfH3e8ofxBPfjrJ
/83ggtHNzz65S9Fj6ETE/HzXcsmu/flgnERqmOxkIYMLARTc4STqZan9NE+w1SJh/VM+3ns/x4lM
go/hYswLTJetwrtJCfXuOEXNvjnUWKuvZcrWvWdhfisMXJkbuxm+pKXpuudkDAfnKAQ8A0RREiYV
law5dohLNNjvaopXLkN/yGZAjgSm7pcxBUI0Fg0bQBdfK9u2yme+m2CF5EDvyvnR9hcAXaehIWSY
hF5lS71E441KPvYMxfrdLC2AI+vaJ4b5aeY8UUBD0hzskhhYWOYknEXwvVhPVeBQTlRO/Vcumfp7
SJ/0o4OJf5G/ev78pVXShOikwdBqistZO00OWJYR39N0MfSwWDk47MME3tzEHxQoiS24IJFa+Bx6
K4RytpyFLySlX3/oi9rxkzmSDx22oItSE3outI/3IeWCHTKBLTwD3rScl+GyLCZgCybc8dcP9H4s
dnmgxRjEdAoawvurKxSc4Dow94dLbQniBFYlWXd8Pnz3FubUwjdMiMz7DGcoe/q3jw6qkd5LesqI
tFL48+druzUmKzAn4m0ib+0nX6lwg5NpYv9YikNDStVf+TLgEPCj8eHXD24tDtM/v8morozVItta
/LbvX7vCBhE3sSCrSPUu/gKVwJkLig6CXd5zbHatBU82LmVBNNSzRzVFPXDwq5OgPCSutp4uT+h/
c/F/mos71Cz/9Nn9Rd5cMOuHN9h6aSa+/WlA/uMn/9A4zd98FHnWSSZ6rGq/65sBYYEFI/pHVuDn
4bj3m2OSzEaNw8DoXkbqvw/HXfs3psVEC5ZzrYdV+V8hQ99/n8Mg4BdxmYdIm9SGvlvEXYxRSRcy
hClqL107M810tp+8/PSm/M2d4v3CfXmQCKe955GJwJb852+TbEajpTIG9nVBhk0H/bxJgzFYw8OW
218/1GJu/vmrszwU/E1qMVmeTO99gWxTgUjKE1DjmCQpsS6pYLNtB4EVnXBVossdKksYez17Lr3c
U/MPD/+XtxP9Gh2bgnQ8D39TmlvOnISZ6hL8UU92FXwI2fr++hW+v+1CksUqwKGZomWfFMa7TAMj
7GkA/NctLNAn7TkvzJ+b9cBSsjLn7tuvH8wJ36UNWOnxCFPm6gJ/CVn+37nhiUJzWoJPfnCV052o
rbDadRMRUC+8uDqVo/uM1kHQjrImCSbbaYhOsbElcV4B+ROUWMRg+xAKo1Wah8VxUJRaACYnwwvl
ueQA3PdRXiN7WC2c2DRi2xzZRzuvnM92rvbJ2MvvtbvM8IQ07Zepj1pY0hHEZuaXzjnthmjjpIWz
GViwXyg8F9eZnyjacOyAnKBLV9CTD4DqQzYFDU5J4dzHSePderIuHnzwSiykAlJ0IpMzhTYWQO4o
ZnA2dCvP5DQwYvU+4mu+GbCxQTKovrtB+UD2/Ys/h/dSwF/lfFCdOBl9SggU8hBsyQ2P31kxitwU
7dztwYNla8FAzutz9U2kUXcM8vS2nXxjk0X4p127GraqUf5Za6dYR4Yfn+zEecEJHp9yZrL0NAY4
Vsfxm+Mb0ZOuOXRMVp6f56hLnqRP79kQYu2LxgRkQYIEquLxMGdlvM1Nnd5AAVjDOIJOHk7qyktM
LNRKGJJqAzUl0VES8oeYQuXIUxdAgElDj+NqmKExM9A3r+rWiq0dXgHhP7t1YHxIi5H+usbi94Ra
20+NVYxXtLgPB9Px/o+9c2tOG8ni+FdJzTuU7petmq1awAbHdhxnchnnRUVsRgjdACFAfPr9tSRi
JNu5dR5UW9tPU4NzkJruc/2f/wEBQRxP/9zKnF968Wp9nUaKeQZcjB79ncsRiVeLtysKKyRTE/UM
bgaN+b2R8hEOI2dE3LIf9sAx5nd5QIDqD5VCveodbP99MF8dzqASVAcebJij+QqoP6yfAAoOvbV3
Rfvv+hYKifXbeJ1deYzlu1sdHOCvuR5OVr25eg0czprECWdhdaBbEfjxfsygibt5uDaLASV//5w8
3n5iQHF4q1j+YtyDJv2aYaPp2xyKMS3Li2vSu0syW8tIOV/vYD1OLfqLgFnA8gPWIBivXSO/DLxd
SPcTaYrAzs49jwrMwNvYpDlV//MiD2kstsxPxK2vjdhbjZjrd7sswg/MQvMHvS1zs4w42V5CC0FA
MIeHZZv7u9uet1PHmh4oE1VZRpMi3hgXJINXl0UK+Hig+GZ6Q9OEw7BBclEOM1F95Ra4QjHNeqnC
jLdeckU7aw/PwdLG+h5iOCuinA3NJtWHEP50yv4rvo3Gdjpd3F5PH6aQapx7EBLS9O54dzC4J7i2
vjv2PW93uV8sFkNSubuhBS3XONsqgAjDuDfQDIXQycv3w9gM3YFOAeX1QZurV3tKfefewqJ7KU0X
wzgMkpFlz6e6p39y1UNx5tMn9i7YF8pE2+qfbX5XGJX8v2AOo/hss9N6AJWdkTK90gvXhMK9zcjb
bWmrdVTgEYfFdS9bLW8XKy8inXl4CHyH+vCcsbrE6P72gjYHJr/2lNt9wZiGfepPFgyIGqTucjc+
hIgF6bP6sFZ7dox62vVG5K9SgJCpPs22Eeij+ZIc1f58tfT19yZj3EjxhesEXPM2e5v3lvoUve1c
QCmkjwEBRUMmw2pntL3xC5nG8vDGi0Kq+7q3LD6kqhNdoZAOF+oe2oGlZt6tU8BBmuv0BjuHvlSg
atooU+ZEA8l4jgEYxFuAAUB2qHREsZq8yWLnItpqHwRT8oABZsnQd9avjbVDvwmI25EX9pxr3wtn
3h7+0cMqO7NzCLdzxVh+WeT69mZpZLE7gNmM+QGbwroJisX+iubE6MKKNQZTMcoUrvzD7u+Ushcz
4QRQVHEXkO1FFhcImoT94h9aQqJP6m6lvPeoo93qh4U10iMgXipZCqaQmRGkcdF8c8ZQlYx7Yu0f
YqZX3jByEkqvLBmGwBw+mnMzmRRukEZDSjw52c29QYkJ7RE5jHvODzaDEvRgByRsedgS+ju9CcNj
QAXRw055198MBDPZiFktiwtn4djvoemg9dcMaGLXjGJob4tgQjOEdqZa7nySB0w0TPe5OTE3pnlj
BWo4mfd8/7NjnsV+UIyjYs72b+f7D8D0oPakf/CcTYre6w4t06ZCche8Waj9RS7uzKK69WlThMbn
/daav6Fqd/iUJfqIQRg7eBaX6/WbXF1uzkP6ys7JSy8mRgjLQGRxyDCe/5BHAQJLafXcgt72Avu4
u9jSfE5KBESIdblR40KL6J7M8sqv+L+T/x0nnwTGN7GvdA9t1sH95lX6zyvSP3n8JZieuvrVvz96
+hYzlRjDjD9NZ6bw1B69fbtPkQDXUMHfbkJhdSYnUdoCnCcok+Bowud7hMI6RKBQKjmWiBX46CfQ
DCWY9NQ9BqRriiwKSRQBkhBvfgr3BCbGfKNir0zCfTqM/X8iv3ezL7yLhWhd2iWTOFBeZ3Dsul7+
txoymFL/nvvqPg3scctFY6XOO2sgc5uPkJqWtXQcX4E2qVDeeMbfBTW/DFqGJGYqmrYcKJtVPnKX
fjIwIu96yZSlMSxDydlOuzO2GgNDRskSzLhCGw0ElecbEq9LmxaIuZiqbW4H6nIhqAgFye29saeR
P4WCJZkz/OTzItPOxH8WhsFYouJDdkjHQQwkq3dWmJALpKDrMHzWFTT8CahPBWTiAKJvXR8pIS11
evKxcEJg6SqcPhjXmAnQQKUvfbxa5rwdbg1q+wMHQqHA6V2b5sIBt6pnZ1l4RSXxliJnDlrEH2g9
d3NruXeqzuQhn8ktGU8QL7jlFmwdlg3LpUu6mLEtaTRiUuGQ7pZ3+54HLw980jSEnTHX8XMOsHgc
RPlbP7MvF2ry5eAzJXIRDlfWLhpbMMEMdhv4eaGPvo/3hsJYLIqqhbK7Twx/5Ft5dkXW3WRI23K4
tDK+jGFIoX7jxwt/WMYR/zPKpX4REeCDlA3gYshn6+LdDN7oTXa8cOLTtylTxN6nv/ZH3xb0anYC
ubpP82QjnoA5mcmputEMYs4GUr98pPJ5vyUhmvJa+cPszz90tw8fJFynpFHLBeIpYqBG/XHPdaE3
AK6vC5UkVvWFJ1v00iZ8+/2q3fz23zTeYPoQ4/jV6rexBxpJhB/bhZaMx10w1L5J4Rlkl1XtAkmJ
1i4wQcUWirf6HE3OtndoF3QyQ9VD3e//5c/Sr8fz6Vl4cRd0tW+AlTMcVUDpWIT3rV3QASW5lIiq
s4C27tYuCDYC6V1w+7rIaptk7crFW57ugqpafYvclWOTIqt3qVu7ANkIv9yPqIWXjwLXXnFsS4NS
slrNTQCoSY2HFhGVvLhYnbsQgNQUbrHcLmh9m3SXDfKnXs1dcFxOAgUYQwMuJRauWreOAlpBbTu0
L5iIl8+CGA2K/teOaqFlIuj4clx4cchyVrvUuV0g3elImwg4U2mPArvFVC+xWrsA6rhvMdldo6DX
uVNg0FMnexdQi1B0oBLAPYvVMpH8+gC0a4x1126BrojYS04XmAxnw+6Jwshz7+9YfUFiQodirQsq
FdwhF0GlnVDaLjh9Wiax/3btLrZdBJo1Ic+mXlqrzKpi1qVdUAxZhWjBE2YYhk2La6XwuPAND8HU
+lRkHNi7K63Tpdentle5bb/uJxpKn85ZERXUMQFvefr+mEXK9BatjEe72TWFCDxJ+cHI6WWzSOkV
4jPKYM97y47e55DomItaYWAwuuUcwBn2pGHnZ50DIiemS8KoVvuBIsNzehZsIivSWBDn1Wehe7ug
Q3cuaRwMm9/a0vGByGOVq7kLnBD8ZTJ3oIeOn3frLNhMCZbchDJx6dAWRYm4XC3boCpmH5oPkUzo
2k0AJyCtFDnoEB5A+Fj7R623B99h62VLW/dCJWKY6ieRsgkOszuO+ZEnuQPb7ju6Q8Lbfoyqu3UD
4L14Mo3hZ7Whzgl3dFRBfQaeZFBssm2OziwYWuvK1bWbQNgs6gRyrjJOoEXjIoyoz7rKrtaHihDA
0lEbdu5GMHRJtH5K7YLBDGgH4CKeUvVTtyyjCt2sRR8r7LCde39KMqK1Vfb9yRq7lHfqG//US7RJ
JoJe4j6I1TmrAFBXOl4yyI2gFCmyPXsIxFUANW3S0lxtQueOgqaYhvRV0PqExbjCdv1Tt20jTiSl
SLiSOxcuYs01WX2IJgAoDURdsBo1nGNCCMF2ZIGcL1fnfn1Qqo5suKxj9DQGPFhMWSlXSxE6NP2D
1ATbWp+O7u0CKI429PdnXQOQuoqNY2Abz+cPXR3XgAyySn6iXN3LovIDyV4FHR51uAwZqVgX2lo3
QlWsvoqHRJqtUr1dSp3oJPsljaJKkpj3A/aBpFNVgAkQt0SETtXv37nXJ/3vyr4+mtDBCgga75dU
ASZC8E50tZSgupojaw51pQ//FHed/GC1mmfBVXEaIKmjF6D6uHLFunQVXPlis9En3uIdIQssFwq2
cSFEPUFkjQQbnViduxCCUv03WAVeHh/gBf8Q0AFtIaLpg3kB5SoVUJeOwtFx//XcgU5qhJ8aep7W
GaCmQssVkAOl9hw6l05/jizzpz0DcoOofyqLj6mR05vgsD1ilCLzGsuL0L1ASaPKLOsZGKJ+BhJS
P6aQWjECky5VZnEoqIyuXQFRZJdOH4pBnhYYnmNmqHUVRAYZdAs7VKfsu6QCKHXJBgkGPW5M2AB1
81g4PL0ElttnvgmcsRCAlatzNhEQrRiCI5czAWqhOwBrsC3VahlFDXZdKFqJySvL06FTQLnPkH5/
6igqo/Rsp86Ptm9B+f4iJq1Ti51zCkhnVUZKwhzafdoGyaWrALTFamlC/HCCCBu84jGz2DWFSPXX
kbUHAFNFEGA4x8xYK1LEN8B35JjgHZSrc1kDqLbE1Cw5hUCpnWCYLOrzqXSbHDLwNE05RhLdU4tY
NVm1IMoqOh7QV0hmSy3YAA4cEJmWVWcVupc7YUaa7FkQ9VVSBBjIplGwLfxDlWDqCNGu4tMumQYw
krIOEm9PiIBl4E3L1ToDoBBpI4EhQalvSud2AfikdP5Mc/omJRPc5ErptW0DsQIHjemAosgoVud2
QacgJFtaEhllVaNByqrdhFZG2easEEYw67z+vHO7gCv/hEzip+NGGHEdfE73iDjgLU9dZgG9EXhN
zEd1FjoXOGEh5V1mDZcZriORJShXexdMAEo0uhE7VHrjJ2zDD6jQr/1Aw3kQPZSdQMEse65h6KU/
OPbAPP287n+5ePjzD9Ho0/hD0cdYffdjo9C/G1i1sjvl5MNjt0r5PfU/r1/w6Vc3vuv4Vsf/OQlm
6+n6fg6zo+iOqh/zzTSmn+g/0fTLNJ6eNuigj/lNHp/kzz8az3niIX1HcBa25IqoU1ouczzSpCm4
zG7KCw6nSTbNjo8ofsaqoiwr+ZuzbE/axn5lm2lqTdfTh8aAlwobJv3UaZLM7jfBfb453ZIKeiUr
fDSLprtpk3anaoORlvxjHb+S237OrgcPzVNYuQuyzz+epWu/2aRco19lJU/Y8SA4/S2ZMioqZLKC
Lx6m88YBrOE40nKjKEjSoHkjKzy0tOjkIZi2tEgVBEtLTnfNY1HVomXFXj7VTVV7gLRgBOT3YXE8
BqXaq1AEsqKv0jzInmxzVZCTlX09DZJZ45mrpKa8XIahTJOHU9E0jIlgUF50lk3v53k222waZ7qG
7EjLD+7ngT9tNhxXRWB50diCLN00TnZdRZCXnUEhmwXLZUM31f2Av0N6mq/bokX5Q1p0mmxaOqRu
XJOV/Gb2ZT1teU9UXkXbtLzo7bRpt+oeXHnB32HTk7S4gq3v9WydzRqaqs7Z/Y6Hv57tg/uGGUO4
SAD8DuF3UDIfJZXxQRVJSYtO15v5q+GUCWlB05oxjU6k8X7PF4ymYfvuV00YsuJfGk0oeVZuwgiP
pBnV1HBx6Sdez/w2p0NZR5IV/HaWJFkRbadJ0/nTKrC/rPh38/Rh9uoie2Lbqp4iWfF/pfkLB7Hu
aP49X/D0INa1XFnx79n9WZbNGi4FDDuiDVVe9r4ZVdbcD7JyP2ym8+PTCZ1CPVZ0DcuK/Thbx1i2
o6BScgWqlZbMuKOgdbzr9KKs6E/TbB4k/qZ5NesSp7TwWbZ59ewwrCpPLi0/yO5TKB8bnlsN6ZeW
XaTwsPiNX7PCQX1b8nOZpq8EKk/zT0d6mOf+WTO5Jv7iPppN1//+LwAAAP//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4A89947A-15FB-44D3-AFBA-5E9651FBB535}">
          <cx:dataId val="0"/>
          <cx:layoutPr>
            <cx:geography cultureLanguage="en-US" cultureRegion="IN" attribution="Powered by Bing">
              <cx:geoCache provider="{E9337A44-BEBE-4D9F-B70C-5C5E7DAFC167}">
                <cx:binary>7H1pb9xGs+5fMfz5Uul9eXFygJCc0b5Ylrd8ISayTDZ3srn/+lu0Fo+Yia2D6FxggDsJLEicHhb7
6ap6qrq65r9uh//cpneb+s2Qpbn9z+3w+9uoacr//PabvY3uso09yMxtXdjiW3NwW2S/Fd++mdu7
377Wm97k4W8EYfbbbbSpm7vh7X//F3xaeFecFbebxhT5u/auHq/vbJs29ifXdl56s/mamdw3tqnN
bYN/f3ucpiYvjH375i5vTDPejOXd72+fvevtm9+Wn/W3+75JQbSm/QpjGTrAhGFFBdP3r7dv0iIP
Hy47Sh9gpgTlij9dv7/3xSaD8S+R6Ls8m69f6ztr4ZG+/9we+Ux+uHD29s1t0ebNPG8hTOHvbz/k
prn7+uZ9s2nu4OGNLbz7N3jF/BAf3n9/6t+ez/x//9fiDzAPi79sgbOctF9d+hs267SozdfN60FD
1AHXnGNG0f0LL6AhB0xJyoh6eAN9vPc9NC8QaDcyTwMXwKz3E5jj/KvZ5K8IDNUHGmvNFFf3wMDE
P9MZcUAUllpTcn+dPwfmBQLtBuZp4AKY44u91JiLom6iN/4mKZpXRIfJA8YERQrTJ4u1jQ5G6IAJ
wIYAht9fz9F5qVS7IXo+eoHThb+XOJ0ba+f/y9I8TtW/dzyUHEiClHzyK3qhRPpAcEEQIw9KJB7v
fW/dXijUbpSeDV6AdA7OZA/dz6exAK4QPk7SvweIkQPQDkEEfvD86jlAGMmD2TsxjtAuPXqBQLvB
eRq4AObTl70Exr9LN/2mvns9ZMD/INAcQegPTrZt4SQHA6cEo1jdA7PwPy+RaDc0P0YusPFXe4nN
+6L93/BA7IBRgRmXwAHml1xqDjogFDGNBXtcFfdG7aXy7Ebn+egFQu/31PcUefOq5A3oAaKUYy3Z
TvKGETgexjERdAHO+a9F2Y3L08AFJOc3e6k0s/Ms2vo1uYA6oEICm2ZAzuYXea4wGiIdKanEj5Rt
YdBeItE/QPP0LEtsLvcSm5u7PIco++41vQ0/UIxojdRDtLMAR4kDyijQBKBz318Qpm5nCF4k0m50
toYu4LnZz4jn8K6oQ/OKwQ6waMEUUeBLniZ/mwooCsEQo2DrfoSq2+C8QKDd0DwNXABz+Mee6s2w
sY/r9t9zZ4qBgVHFFN4Ni9YHlFKipQTFml/Arbdhubn7hTi7QXkYtoDk5vNeQvJpYyMIaJoif5yb
f4/LnBvAmHKp/oGZEQQxDWjUoyda2LKXybQbnO2xC4Q+7afSnG5y+6paoyChyUAlpNxpzDTQBIWw
Qo9xD/Dqba35tTy7kXkct0DldD8TAedmpgCvm1KbXbyGRLR+8CKgFtteRrMDrCELDTm154i8SJbd
oGwNXeByvp++/490Y5PN4/z8e1smYNLBt0tEHtIvEK5sg4I5OSBSKyYwpNa29eTXkuyG5HHcAo8/
TvfSv1xHsHf05timm/zr4/z8e1QYPhBEEc0fUi+zZ99GReIDjoFJQ4h57/lh72Abm5dKtRuh56MX
OF0f7yVOH5pN9DhH/x4fyJ1RQiUkzyBtOb8W0QzGAKBUhBCxSDj/So7diNyPWiDxYT8Df6+ALc7N
1+IV0VCQY1acQ5b/Ho2FY8GIH3AmYXd6oSYvEWU3ID9GLkDx9jPi9wpw97eNuW2b18MFrBiXHHNI
lO3ERcLmDYWwE5NFJuaF0vwTNFuPskRnP1XmCvIxdky7Tf6aUT8UbSgtxCMbQ2ihNlIeKKrUzKPv
ncwivHypVLthej56gdPVH3vpZI6/bqJXtGuMQaSikYTKmicAtlkAxgx2NzWVCi0U6JeC7MbkYdgC
jGN/L8H4dGebNx8NZMpeVWuoglwZgdgfPyRdFtsyCh0ITCXV6CFps/A5LxZrN0SL4QuoPn3cS6ju
t5y8TV1AYdorBjeUHmhENSOPCTTAYluBACulIakJdO1ewRZk7eVy7QZrOX6B1ntvL9H6o05eO2XD
AAfwQ/QfigTmnRuqMeePpVILc/cSiXYj9GPkAps/rvcSm/ONtZvbqLV3TWNfkcmRA9iYgQ0A+VAk
uKQKEO4gDjuiapFMe7E8u+FZDF9gdL6fLOHjXZ3BJvArosMOkOQE/lvYNyDYAkpvtFAPRWwLvXmB
JLtxeRq4QOTjfvJrb5Oab0X9ujxBHhDOgF5jvTP4AZcDREESiR/Z3eOCuC/ieJlMu+HZHrtAyNtP
nTmF7FZ7m4yPc/QKKRyoOyOSKMF/bJ494wYcym8l1AvgB5O30J2XSLQbnR8jF9icftlLn3Nc9K/I
2aBgEEkmuGS7K2s0PZizCQKjh+sLzvYraXZjcj9qgcfxfurKxV3/5vxuMLevGIpSKEYjENZgJu6t
2cLTYCQOMAI3A2T6UUfv7djLpNmNyvbYBTYX53upK+ebenzdrQKIRzUYMtjMfB7bSHEgEcSoEP7s
3CJ4iSS7UfkxcoHJ+X4mCs7NbWTCzWsWCEA8A1xZQ5JgZ+JGcUh8Ig3VA7vjzpdI9A/YPD3LEpv9
3LaZLcDJXW3vXtHzz4fVwFBpTnfXCUrIqsGBAjiPdw+eZn+3aL+WaTc+28+zQOjiZC8t2lnRGvvK
J6PQgVaAjYA95/vXc9OmMaQLMOyuqR971tu7ny8SaTc+W0MX8JztJxn4ozZT8ao5NXYATgXmHj/4
lUX+8/vW57wvDeduvlOFBR94gUC7oXkauADmjz/3Um+gDOKvTbZ5NC2vENDAbpqA1DQhC0SgtFYx
yM0Q9BDpAFPYVpcXSPIPiDw+whKR/TzhOdvmo01WQsHga56zYfRAKA6m7HEXdEGd51qOuZIAPNI9
tV5UP71YrN0gLYYvoLo42kvlOYKzUMY8LuN/rzvfczFwGApRiCa3swCQc57TBHNhwX24ubBmvxZk
NyqP4xZwHO0nS/tk7G2RW/O6FFpA0pJT8eDjwWhtAwMdBSSUPnPY/nwKSLeN2otE2o3N1tAFPJ/2
E57zjcnvXk9ZGIc6TvA0fKuAdhsaoQ8IhoNrkMa5Z28L/vxLcXbD8jBsAcn5ai8N2MXdX/XrFnLO
xTaQTJ6L0p7cyDYqcFgAOPV8UuCh+naRz3yJRLuB+TFygc3FnmLzvaHA/8JuNLgSCtUaHEL/768F
T5PQJEVxqoR4QHCR2bxvCvASuf4Bp8VzLdHy9lKTLpMUim5elUgDTopC94eHqrVlXZSGnQNIdSL0
eDAXXNO263mJRLsR+jFygc3lfhZHX9x1m9fsZTOX3cK5GvA8PyrStm0cxgIKokCF5MMpwwVb+7U8
u3F5HLdA5eLjfmpMZF5xZwCyaQxYMpyE3o2JgrAUgdWjcMbg+wvCn2fa8gtpdiNy+X3UAo/L/Qxm
/hdq1MBCYaI0HIe+9zRQubmtJxJq2IAGcKgtvL++wOQlEu3G5cfIBTYf/9hPXanvwlc9OggVaeDh
oRWauJ/5RViDvx8dBKIG9eoLPfmlJLsRuXwYt8Djcj/rm+ZsxpeiTh7n5t+H/nODGqoJm/Njj/bp
ma5wOIqDECRwHqKZJSt7gUS7kfnxLAtsLr7sha7c/rS73r2Nv8fn2Tv/h60FwedDYRmUA9Af/mMb
H4hr4DAnHO143OdcRJuLpn//LNZukBbDnz3J/6OOgv/cbfCpJaO/aTar770ctxoO/vzq98eFDpOL
oQ++eade3c/d8dff30IzRwVpyqcekfOHPPPqTz3m/jbmbmOb3986ih1ION429xQg0PhBQjTaQ8H2
fEUdoPnYm6BQ2K4RHLF6+yafQxdoM4kPJAeiAcwbWkbBAWvA2s7Nd35/S+XBfN53HqaVnuuzn3po
XhXpCEb8aToefn+Tt9lVYfLGwgfP1ra8f9/8fBzO3H/veyQgA0XEvNUE128313CUHN6O/09LIEs8
RYNzHNBp8GmVphseB0HotgaR0o2mjnTuaMfJs63T9V4SEnwmojo7n0TABg/jPFkFyHRfZYuzyykY
8j81isfCDXUSGhdGZf5QBM06y6f8z4wH9BiKXshlbXrRuHFX0/MJp2rykjgLs5XVqTg0Qr2XdZJe
10PbXaJukxV17UY2Sj42Haq/FInpHG/q0nw6TFAJ3QHSJhtcY51xch0aksAfdE4HlzYyTFalqJK/
IiehoUvrLIzdkdTBqiCjOU6GarBukOr2PByHgK5bFEzM5zU0kVilBTSU9GqqY+zGKqaHlY6myB2i
IDqjsezUio7SSNfJU0G9xEmK29KW5ZeiQdNFa0fktTS1p6G2/a3KuvwLawxPvU6F46npk+rdWMbh
hkSEuCYmhZtV7bprs9ITLUHeYFR/MfGhuOJ0LLTbq6Gq3THr5WE6mORC0Wx4x1I6rcux8UdbHEvZ
t6FbJa3X5W3tCjYe9sTIK1xZTdyYZreDTbFLh0xdCY7L46CJm/d07C00VbV2xfqRHgVTiVM3d5L8
hDeh9ONxak/V0JvgeLK4OummNEpcFHIduoZX8kyhjORe7YzpR5qV7fuWJbUbt7if3Dbp8Gcjk+Bz
45TDcdnzapXn2jnrJxK7TW6EW0wj8/ohmM6mELef0mQsK4/rrD7rg7o6jZTqvulaT7Ebjo2T+DZl
0WXH8nRVVjqP/bzXVe5iLLvz1Blq7GrRJptqjNNVaIeKH4YmKzKXxL39M47TNPX6oKpKN6loeJUr
neMjUBdzHZUJ/UTCzLzTE4e7USTr97gk8bqtInaKSdwhN2qL6MihTWjdsSh90nTVUT/i7jqMstQT
WTx8cfKwPqEo03d93ct6LVAWMhfTXplVX1X6Wsdi6j3bhIXzOQ6puIqYyRO3U4GTu9pOyS0rC6rd
NiLJKkRT5mveYK/KcH4DOCYfemyjKznE9tziMTqRNen0Chd9dRYFOfMdMYaZD8u1uFG0Qpdh3RTW
dyq4jouQnVcda4sVZBrKiziX0D3X7TPQ8s9DjmMWu2kIrTxhegbYlC5PdGcQ/ChyHDaNO+hujMW1
LfSA0rMcoSFvXGKdZjrK+rZ3g25CwfXYd3Q8iXgUH1W9uMIqTvySycmj1ITuyGr9fkhBe1Z2aNMv
QaBHF6dBl/qyZdp6SUkKL88sf9+2vC3d0eDGa9hYeVFu0AUrs+Gs4SI6ZFXMXVvY1EuSMVzpoEtW
irawFEFfrgM7IOmarks/DEFPszPRNii+ksZOqfZZObXoPZtsn9WpK0XOLwiunKO+rT+yNOrfOYnS
iT/UtD+mdXfShbk4L8qyPsyahPjpkE6HZZuN76pCkeM2Tiu3UDw8VqNN3/U1ra/TPh48lsRmHVCd
rmQJQAJXdrPAGhdX0UUWg35kTeSixpx18UnZG/gk6lSHrQyqlTbkiwgi7vLYOYlj4rZVgVyssIWP
cXpvqCz7GDHKjgNbFx6GaVnD8XZ7aRD7otsy9PuJ6lXRd855POHgKJyt9diiTzluSjcIAwB5/Frb
7rSZYA6DBp3GhjSjh3WC1shGHwYa5W4aFx+VHOVxpspbDoitBkOu0VhrP2jSjyGtL0Ufx1dNlX9m
AR9cMp5KM6J1hor3naGZmw2y8Xo0Zi7qk84nedolbjuU6khGOPFGkadu29lKulMkziuD7UlN7WkT
B+F61Ko7JLRjPrZjUrmMSORLnUQndSiZgccrpy/RYO25Hnq2Fj12CSyjUwFon6GwJi5y2vwaDVVx
6PDcOWTjBKtpLKaLsQ7iANYP7lxlePmuGkd9Tac6iXxo95y+S5yhvxS6/iqLCJ0kJsSnU6arlWN7
lXklH/BsZisncxUsvxuJ6tCHM6KFXw2crCZjMz8U4XiRDlPgjh2uP0xJ2HoOZ/aCaPOO104FKpFE
Xt119iKrk8yrszR736VB8I6TgLmsrWOXF2j0KcCkA9T7CaHRJh2CTWRR9Y6Usr8igx5OTW3ptTA6
f9/2ReY1VJxYmeXe0MLSiR30iduocrkD/0TxEHhQ1VD4JJG3/dDZa+Vo6U3tMK7pOOl128v0m7BB
fjH1K9tO7VnfMJq6dWvZBdgY5yxujCRuFWXVNU+j1K9knpxSWVCPB6Q81IONblmagm7pwlpPJu01
LML0QhcovYp5wF2RC7kyYrI+nGm6kswyvyFxfZxNlF6lUIDpO+1YXvIe/8m7Wqwq7CTvM50QlzeS
fGoKVq1tTxIMKyNKUhd4gfAwk/l6NKR2XNhwO8RlbU6dTugTbvvxKFdmOBYNuMghmcSxk8Lmjr/d
KvsZwbotyrE2YfTQp/zp1/++KTL4/3vv7B9/nNuc//gN6t7u+6P/9F3QNGouLbXLN808+emzfnTp
nrnpU8vuBdu976j+D1T4pxdfxpMJFQQ46j/z5OeNfn+Q5YeBD2RZiwM+l9NwDC3UYTN6bsXxwJah
DPoAQZ9OjQiHtCfw5R9seW7wiYSGy9DdgyOgxI9sGbbwNFS/UQnDFAS+FP+P2LKE+2+xZQZnhIHC
Cwr19JgrhinEBttsmWlVWjFIcjZBYiOcDo0FVhL4BUFuNtpzp2F6VWYybcCf87hyFaPTF4ekAnvE
4CPblc5ZAEx/NYLhWIdjVXiymOx5EeZHUU3bE1X10mepFqcQlDrvq9yWcIg8dE4bo7Bbsky871Q5
fIiVbnK3LWIHVnkF1NHGlSesHV34PLwmVWWATXQBPYwrDeoOY9yIh0eJic4FzeoTMnv5qAre9VN1
OdjChwMCyGVZiY8qW1IXcjuJJ1NxglngB22i/SisvrYc934bl9bLujoGapyP50Edhqu+Qf7QodvI
EcatUuusgjjG6xFN0yEvqtDNQ3Lo5Dz/pMcuXtkyMf6UAsUe6ss6GdnKCZNmU5OGrlOZKbCvZX1E
MwH3z7AF7leBfQC6djTa1lzLMCr8DOPpqEyI9vpiDNy+LLujsIkv61Ejr7LJtMrAmbgt0cJlqKSr
CHEKtt3hwHjawe2K1IJdl+cR1gEwtOxao6xfNYE81Fl7VLI+gcCA5O6oi9pjNEQ+CdChY2Ls8Wj8
yJtu9LpmfogyafympYGfjm0I/MMRq1S1f2VW+3QYspMyx+YUjNHoUTKsikmuHZOWaz5Vud8mwgEi
LaVbcXGkA30C7gl5KoHoy0yB83GkpgA62vKVLUrl0nYY1oSF2nW6bDwmRRTfyLicji1WnQ8hANjF
AfM18LLRBxLE/Fxz4XIVHg6tYG4F322w0jj+sxxKdlo56njMg8yDM1eV39q6d2kaHka0la6uyspP
U2eVxNVNYcVHNUxnMemlG3aCrR2gYyuMpuhQltlm4vGfcdWww7gIaq+P+3yFNFCXiug7Njmx33Sa
+7AmblI7uKKHJaHq8J0u4mLdhsnokTAAJhc2EB7hyWM2BbbT8OOKxPjPkU3YS2p7OjjJXxAwDKsh
UuUqNvF4xPMw86YpV66TwloweVz5MizZUTSxdsWicfBQCn9LcP3ZsU3mJ3IIfJHbzrPFWB1iBQgC
4Qb2EGc1sLX4Q01EeJ6jKFtT9RdEb+hkCCVEJaVwblKGM+u1ImK+TI25zrpEebkVyI2TaDwsja5v
UD4oHzreJ9eTVMy3djqH76xI18CE+xUJIrGekjbzoTJXrvIBh25DHHRlRD2t0JRkK2xV5LUciGbU
0NgtZCyOMYSsnglVd0RIeNzwjpxaB7W+Q6LyQ8spzKIKqE9YLD0R6t7nfVa5iBfGszxGH8aAIbdx
sADNraZ1E5XS0+2E3XpK8veJQ8eroGzRCW5szyGIEpHxeieJVqJUvT80mfDaFEJ9OtpkDaK2Z9LJ
KbzROYOv4EgPi0RcOCz5y3Qi8uJcpcddJSGLoDrHlxPMZzlZDowvjV1D0bchiJQ/9AU/KbsJGIpo
3iNljtu8EydqksZlNb8WQVytekQhXNFD5U59KnzGBog5Kg0NPtJrMw5XAW6v0hYCERQbfDga5y5j
07hO6+m0buSZ6eH9VuaHvRhHN2d5vpahU3tZbUt/DDrrRtC7w8XMbKoi7N1QTe9tQYYj2SWhmybS
gcC7bTw4FDKuiCmIX+cVLKlQ1Ocjkes2Ixtd0RJIZEy9bo5bAhKFXib1qh0dF4GqHQ6suuts2rty
GoMLXkMqAaUYnwQqTdZxSroVhL0QUzZJ6fc6U0cRRZdFSv4Uwp7FIYuPLR8+qt5KVxrReOlIxXGL
TH6jdfcpDereL0t5J6K+97rAAN0O0xuC21PJmvqiVOTEFHUGVLJIz1Mp3BzVVylEi35AI+VBPPyt
rlvkG80Cl09tcchYa/yAj/Gq6pv0bEz7+pANtQJaFeijNM5dS6M/9aj0zchGiKBzYMcihvQFGat1
o9LOHxTcMZ+mGwg4zZVNxFmMwQkNTjC4Sa9Bn3GYruuWcxdl/H2ZZJEvmsqcjpU9DmsI0buOOm7Y
tMRNI3AvQDbFlzQZPvdB2x5BSPK1aCE3FYVptG5J0x8O+eCswzzgnsw6fdmk3RUKZeRWjM2C9+dl
ZQOv4aT0suC6iKdi1QuzHirTu2DQ0mMcOZ9aXcZu5QxfqSkJ2MK2PVbdVIOtMfVqDAJxBPbXnEQd
6w9DB6xcrxzutbWCOCAl9NBMlK9D2dM1SUvqDazEh6GMP/Wd4ceTo27Gxp7aBDI5pRN+o04pT9I8
DdaOTCeXlQKveSHVCrMMnagSEbeA9IA7gVVd16Iu/F6NE83/SoXNmw/MNIFNYM06kAs5GnrHsNIb
mkoV/ccm6DIJqlgJG6duBasvU5cBr3VfuhJyC7OSFXHGLT2qSGE67MlSkOADbfucisQdx9qqcMVt
AdY7casJAtTEzUnArynLpIAsXDdASg+Ctc5K7cWFUpK7eZwaJ4IEUllPdQ2Hm4AzPiR+/z+93v7+
osedn+9paCjK/Bm7fmw194NXz6cG4RPuc9BwOupAz0dANeQrZxINBPmeVsO5XOh4Cx08IJNMNDAh
ILwPOWgo16UMqj+YhG9ugQ7gHAj3Qw6awyWO4BtdoCvrfV77f8KqgYM/I9UgDnSq5gyiLWgkCgUn
cKNtUq1kN2ZZi9hdhKYy/pZmU0CR3/fEqYBWNTEZP8YpxORrO9I084Dkcn47BGmZQ0YLyCVZlw7L
AkjpKaeAJQqBchCBNibR8KFGmROPXg2aNQnXBEMIieOOdhXrPFBu0CXfxK0ll1jKUtZuiEqn/xA1
bVCv0rgNG+WzEXIx4H1axNUhtaGpuDuYmOvaS/vBUcE672JbGm+0YFIdqD56CpMeVvx2hh4DbNsh
B4Q1cAoBQ2oeCw6No5ezA7wLF42d+F1p+06nbgYmLU3cGjb6knMNaVi45YBNnn2rBDDMm7ljKIhG
oraG58lxHw4ffi4S+ZtIUBCEIT6Db7mCtr3Ql/85YDImQ1bYOvyKU8ST85KZMDkBtlVZczgHAECc
M2kiHLtJVKrWTeKhTKQbo7JINsVgx6pyZcud+CRFnUXRagrCqYV4YAAoVk0zRdPHqBaBM6zElFTi
YpoSDG/LNLO8gtyzbaV2f/5QEK1uTzNURM9rcC4a5Bi+xkMvIrsgSgbjJGl+h3pnFO95bpziOkuD
Yrr6+Y0WISTcCNqEMQYJFtjNU3C/55M3plmlJzEEX+c24ZiuyjRIgJoRBO0wBypjdtnbgtPIHQVP
ncYrcSi768TwPP72c0lgf2nxyPA9ZfDNChDKQlCr529X2NY7TMMR6SEWXzuranHByzGGJG+dOVDk
chJaMUHY8PM7zgvjx2YTFMaAuYCwWUONDITjYJKe35GYPE1Kw8lXIL3WsDsypjKKjoF4wloIi2p+
7HQUbatXP78x/vuzaojW0XwKHqYeDiA8v3NcFDjpO5J9hf0Dnskjo4P8Q0oaUGYP9oiCsLwc9BSg
7KwwdS7QindRMn2MrSwhGM5SsBwBMMwg0+/iWEARkBd1OUnPki6s1XjU9oxl9dHPhf7bkoQclQLD
C6eREZx7nQ36Nj4ODh1ZpJLepm1VF6NfjaUDqdNOTcHY/wKZv98LFj4kXiCDAicCIbh/fi9ap7bW
cWJvB6RbNbmxTFV3HRDHwJL4+WP9bRFwBe1voE0hrAQEiZ6F9YD0siIDQfltPjY1TG7t6CT+1uHR
4Z+LIhMF9YOsK5rgF/fFf39GDQ8Iu5xwXHhulbS4ceBgNJQQnP81cQeTydOSmxaSk6qMauRhmhKb
HoGaJHIzRmk4QCq3rmsNbNEZSHdjsqmvczeCKLj5K4TdEr2muYB0N89GZpX/i1lSyyULAkpIZgHw
eu4duFyyPOzLOmvr4q9IGQKqGKuxma4g/VQDPtOIwrE71BbyURcODQysD5szBs4gh0AHjKVOWDje
ApZZDLncufAD3B9LJuC6mBXxt3sDzIISrAvk9UPx2cLWTwDxdyYTAL2Db2gEdPK6EeCGc4o7QCTK
gtlEOzaK4IZkHFL1LojKZvgyjTOFcCvIdsNckDimYOTRZEQVQ7ai4rBiq6g3w1UpWJzdib7FkJyh
wF+nK1jQmn/OYRts+lhPQMx7F5exzlsX5y3+nEDeI85XrYBdl49TQ2V309WV6K5tDH/p3SiPQSfc
KBIFYEaiAfbZ3IxGBrIKMS0dMCqBgs+gboHiOIJdhSiHHR/X9jHkyVyBDYRBrhHSZuKQd0PUvGt6
mYEzG6shBhNsaxaH4yoONdzaMb2Gt0+0n+/mhGMpLqhOTPWlgn2E7ihgXWXOU5Yr2H3FdshPo8oZ
25N2aAdYS4MKZl02ncHjqepsBM4SBc3sMysVEDAipaoaS7yC5WWSHD08AI+bCB41hxJEEfsIBQ5M
KEc5LD87hLPBTDOJnGwFIY6AH0aWYxZ7kGeL68fPgHSOU6+oCbiJPFhyRQ8b5NHEYQ5aaka49VBG
YIhHWsAzhfezypKkh5njCra76qO+b6LkJE/r1kk9HOn5jtSRwNrGMhAwLeUoK3g8MF3zcikgSRl/
o0mRw6KJA0iwXOcNxDdyHVPokSXckscEdKrLtYZVE5Ia9n89OiD4QCh+xYFcN2GTKHrisMGMt1U2
dDCHxdDFcH/InygcvFcpHLCN/Um2Ku2PA5F3ifHCCXrlKz/GA4VrowC2CA8R61IM5xUNujxcFU49
4y5JB1ZgVU+0g4cpSDCv35pWDH4LYQeVdifadgw+pRhh06GB9CcUvsWAfAMpArcmRQMijfD08Me+
jWdZmI7gZIknpAQVHFWVwEqhExw1OeqghRGIF2dGzbwt6FBiLiwknvln0zL4xdNQUwBixUzPc1x1
GcxgO/QtTOek5LzmUqCA7ChuBgbzEyIxL9GZWnc3pcrh3wpSWqDAMm7ANgB1nIBlsN6Ano/1OM3G
I0qAiMUVrWeVZnr+0Bp6/AMSsE3Uwo+mxLS7kSYhMAtRIUs7HnUDsnF23kEGDD6wqm0N8k3AxeZV
TSE8bvwy0RPmR4NK+VD7MbrRETe68zH0sZ8tU5RG8QRb4s6aJzos6bqBrTOGfFjbKWy7daicrvg4
DrD8lVVkTlRmfTrm4Pr6QlxASXQHtQURatIKeZAdouaywJEJLGxTtjPCuelGBOlv0OXOOTYWpf+X
vTPZrlPJ1vW73D5jUAbQuB1WoaVatuWyw3C1qQMIICie/n4hOU9ayznke077tHY6ZQuIYsacfzGj
WJNF9VDgu6UeBmu+rtIh5B1TC+j+e+9HRRvQBc6RfIxMSwQ27+KmT315xwW38RLthF34c30gEBNu
DqOXlVDRWTe1MRw9efuik9QVY34COZyCDFizIsyK79scWH5ugu3KN8clnFORJypf8jy7qdp8csK7
cYkHs3iK0oSUcJzXvjtWoAz8yZ6WgTWUekVfZdft1m78rHf1pBxUIR6hcuglo7RvKuZDJottOVN/
N8zCJeSWsp+YJeng+MsPLaoRflfc2yYKgizGrFy76NJRH+2xm/mblDA9PxtVauJSZWvEJfFYmoww
96eM8NT5C8Tz9ZhbRAfNKLIXHHccWFC6V0hULpn9fg2uozVjpUc1WobsGmnRxKN9p154f8Ilx5Fe
O6jCfZMGHTsv8mtzyI7j1LMcFxEUrcWhrFbiwxrlln+/QDd3qE3WJvBPXT8CzR6iVrUq2RrXZCu2
NVfr9ybqqUZ+1SFEfTM4c9t7bXxRKaJqfMjycvYs+PptUyB2kZft+3SW6cG3p7R/l/YLH1+0HP7r
Qa9zyBuH5WwxSm2Th2zsctpIp09RMZkR/LWsm2I2P1v91mPhbsViEmfRWibcD1bEoeVYrErv4IUq
BmAn681s9qcFFzHu/CgNQieZcyfs7tyCsLtH5aFGC7DQWcUXS861emc3S/0Yu25csoZUX/RXQna6
OopWT933ruGMuVZZY/m3KW/qwRl1Rf+lIOZuxyqUbf3DL+tNvW1a0XBPM1zsfL/FFiD7bNVje915
wdzJJCohC7pdj65gmI7zHET6TvV5urSJaOzGufFqjtVDGo3gRT1zpAjyS9QjmMmlVigMsqXSJknd
1LzWiR+ugPJJhzpo/ByDSPrvRD2ufgYu5VeLlcS1u6Zt0sV8P5KsNc3GyzHnJKt34VbP27aPi3qz
weXdbW6vFzbHlIixup1p89sddRxm3j4gQdses9LNWw4+MYZXw7pOUCX+6Dq7FcFruyYiG6FjrNYN
yx26O1ftsqDOTnQDHPdIK+btOo2RtFw4s5O7x7RbHDDlEVSu2OWpF1gPXdU2/vtp6FXZXthdiFDp
AJ+9LI/LuHjjLeSCtN76lj9sH6Cq/DoJlBDQ/iHqkTapRxGq7iJagmxbEluDtu3jZaurCwDbcjlu
rR81bRJXrefmu1BtQx99c5oykj9ytwNr21diXPufcRl407Sbwq4NE9cbgtG+GFPZBxFUkh2gnksb
CzA+dkKrqi606Ehr8595JL0R1LWNqslt904wrps4CG/0rOxOuXxM+fAr+7bXOhXO2zlr2hZ1ENgg
x1LXIO4K3s9r0HX+vktnlWryKTsjR1l1GJCNoU9gw6hlNbmmtFRJBqW8RZtjJSaQsLn7yKSPigOc
7ZD7wkS4JrBNhllYa+qkxxKsOavNh3VzdL31mUVKGuS95ugJ8qbklBllkLnbxRqG/M7jFLQm+xMg
zMSUsHQ23nb1dVPHF1PfFOJTIAc8vfCkVljFgLYjWEM39QFhMhgGMvuoshilC7rhkgXPNrmbtYvX
uSOWlRGiwvk6teZ05gwH3rcP2pFi8060Y61JiSSsMzGlmRqbDyUvicCbgqBRJiA2tcsZPePCIjWZ
13hkgDoZmpMTpnfhTVWWhzx7CjeI23faD3p+1qbxwi+zQX3ZS0PQKt5/iEsTJys/rPkr0GIxbyTT
bnDUVxRyJl9FA0W0ccdJiW/z3Mv2KNwylDdZi3rNOY5dZ3Ip2YUmZcnj0YwRNwqJ0flnshDYxPu5
dvRUJ5yH4AZJ2KULYxvbKmD4ieGrSZGe4B4xNOaU+nWC+U7LOFaoO4hoIp7N2zseijZr10FfxC3E
TEPRUU8WA0uYKc0bTIOVs3z+NRJbzxZKps7byEhDmfMb22YUjQ93J9cIlZCFdKjYFTZ5wNugWdLg
U60csKfnaeTAdJwPlH/T+Bj16cIXe6V0mKNp0KGj7mRW6Tl/2ObSTuPPugqDsjrlncia+RLvj9CP
W8hFh3nibJ0BnyBFdJFfdrY0SYU9lgUp+IxslEMxEj2LpQGvc5ZdMdsqHPd+5ZKloD412bxuO6WC
k91lg44etjEHZL8RaWjzPuvmm33gecrmUzVaRA0t6pst0je9AbxgMfkLqfZNoubUlMZF75gF5qVT
0bsXvRvW5NnZ8+maa42ccDeh9mJDeV5HFig8ZfLNUZj1mNZlSWZtMwLlP+mGWmfd8f+bv01WoraH
uY5Cjksn573cXZ6HJjWsxJSZZN7rzNs+b48K/oSXRWXEpKqBwNfceIunsy86mrNCnQInrEJ2dc9a
qHfFSk5QHn2F7K/b1dKN5W0zO5ke91k9RM50xS9oPJJaSHzmFo1xw7PkpvgEu9OFwWAck1rHuqXk
y8K4UF+1moyybKimDhUEtaXv3fizM1YySQOXddbYrikCyy6gYrOdxUzI4MeklxSezPO4Btt67c0u
9RPeonXRF4vr9dVXnTsLg4Iw1mQ+Q2Zrco2hjRRfWywomtfDr4o42mRMYrBkmU31JbPe408ZNQs0
kWVZy3dPT/32YFvatnde3uWUIzpX2WCdItF506PYam+ydtbsMP5WHpuiOxSRycLU4pgiP4yVSeQz
9KD6MR1SQ5OPDYBuC7tmbZDdSgeSHCUO2u0Do24i7ub01LyXfdjJeTD1A8tJBDweaC/dTKjsiMni
1IXBMuYHGS4s/RPCwpxSpULL9v1560ldm9SqtppYNglKlXroIfH1YBaGRG3hJVbqrWZJhnY0y3vb
XxbZMyCbqbiDGDGM2M1OaLY41XLW3QpR+SSv61xmF2kul+kNWpptuIymxalP0eBSU3CwWT75gbeM
mtAp6qrl18TwmMSqspcmE3WlSxTfzc9V41JlqFou+1I7BCkS/kmgVZ+Jzoc406YKfC4sapTNvHS7
LfOa7dhla9ElYwS7deVr5LLrniLJZvXPuZRMaeFM5tUnuXASIjiY0nE8WIv0q9uwAxzhL24rK2qF
S2OtjUyjle+Waigg7ISF0BRmIPdk9dVrF1Ohr8+RI14Gk+g2TmVW5euo0X/AjOguHdMrInaNdeAM
MoyWNprTuJ6/Lelo6kydW3Ue7C3ks3WcDJPie//yyHNUDZiKuxMCjBI+VjwSp5fI4dpJGdmjGL8F
YjbszfPSqCPLYJWvf92fjwpNNyyMZRBGUFNnICW0erdp0IlvhZ+a+NQK39MkhQRrYtfrz3pCA3/H
qulbC/DqmaYonviTlRpsB8q0rrxvi9dMFDJT3risxGD0c7YhBgiHs3ATLUFjkn4wAKLouo/qXTe6
1N2gEIbZiCl5Tex5jsy/uA+pMlMiyBBytbgJRT/zp9df/4+hMjYvElu0b5Tj3Av/clYWlTZjNofB
17FwFt6DA8qUhRyulFCvP+qPNYf7Ei9KgDYPXDU6h45JowpXkkB9jXPk1+spXaNy/uBsodkiIs3m
vy65cwrF9OekkZDL3YOA1X94VlQ/eFEGV/C183MTo8aFzfYwFUT2t5kbmzMrjcn3SSZW/vyzRjWs
7ol2TXD5+refD7PpRR0YdB6aNHDQgLwc5lmOi57jzPsCJkHpuOY5KFUkQ1POv/6k81FGf2XztdgO
eBrg2Bl4XZEYRp6DFmqSbVjdjl1tDqiipFI76dw1WePrD3xpDIKgobOZaX4W0f2ELX6+gsYy2ggm
q/qiJDxRflBeasIcQXFlXvFm1IuT0G9yzWP0vUHOyfj6C/h/DC7OKJd7DdC+ofjEn/RycKkS89rp
Qvmlz+01kwe4rK06gHrkcXnxnLZolZvUGCu9id+/QHErGA3k1QgMJvnl/Dw4TYn8G7wqsFZ2cevH
HtXCVkeSI2Go5jYa9pE3WtGcFE41Eq3DOTCHpV6nVrf7PLXZ+An94gz+OoYT4JEzq2UuSN+A6A4R
ybw7XhZQy9G2byvL5FaDHkzaZSk3pIoZit4c56IryG3CwTNHPJaCjtcKnwH6gdSeqFlVrkmaymh8
yvhcxyTLadmURBJ7yGbGP8pKdBdXrl6QKV3nsgKWfX34/1hwoe/6Nv2JcZl5fy7ticoit+xt/dzm
PYLRU9aNpgSKt9FkAL8g69cfaXbL7yHXhFpuToajidAChEZx8DvhBee0jv0QzZ/jTBiMcSpiUd0i
B3Yr684ebN4gQRs7UUQtTmqSQqtuzNu8/hrnX+6hgESWhaKYz4Z4PztEpeglXowx/1y1wJ9XRaPG
5r1bza66cYeR6xZf4/fPFznS5ABpLfcOmgtw/eBskdP+OSvybhi+6L4rtw9BGZplUZaIz+Vfvsv0
x/t9fPntUWhuaxUhzJtHY4+X45vN2HZqqd33chjtCFWvI8bsmAGjUukW5czpkEB4N/wnBLBhXS40
evlAKhwg/eqAdYFgKHkMf9/NXk0e6my+SdSLjAolDwkC3/O2zA2stVgGBohG0bIJdSQMTFw1sCOP
2nI8Ps6qAs6iLLMMU+ToxsRrCgIceZeWRRytj7K1MSz9t8abMYgp4Wz2KXc8/EkEB0E2xo2YlvdT
U5qTOW2hKqrEmlsq59cf5Z2tZzOnBC+B4AIjPHH0bD3PbQem6vjpY+S3T8+akJDeVbo3qf5EqCcE
PXPvNSIdRkEiYWNx//qT0pNBCKzZZnADPzR4JrVgR6RzmyEFUbCqcrK2m4GtKmCwuqaaL1ZvomA6
VDKlPC42gpo+/iL+YIsMiWTVpcve2SJ742e6bcyEo9/lKdYTEx8+QxPaAQEd91aAcBr60SFrQcGo
CfztflSFAZZ/UWjsSNZuCefBuZemoBxesjrNDATy+pBGL7cLbep9VAO2i2CJ9ido/c+WcM8X6Mju
0u+19sJPpZKBe3ShR0+iijofjD8fj5m/xNdrVNQpvrNUnhq3qj/orLB1IqNJQppmCFetNRoSkY/9
+5T6dXiol0HnuzzS7qmIyzcNVNt33flDlwhl5esOLkfc6yBtr3O7GG45kfKNaj3X1d4aSu8jUt9O
XyHFxJXW1TG6a1DD6oO1WSPFQb3kmP5i9eBzKlVHv7a823BVej92a3+AE68/5EgTrurahSUouxE4
r61mKLzRqb+gAwiu1yWzimTaetvZe50KH13O569d3jpBkiqRA2Fkw3DhllI+zqE3fSg8L0cHZVu+
3Fvgdp+rKR5+1Fan3gl/GEiL0ulU4hA6QhOs3Q4HsVh2yxwXVjL5jUaY2B7GOdYANnlZfpzo6ARq
jhlgP86qfdzKCUjMd6wctM/yd7aw3/jjan9z0Th+ccLNf59j4dvli2iuq3AoDn6xFnQA+v+PnywI
0i+jTiNTgQ/6Qzw2BUPcVr5qfvRSUs95aPGXY+M56MFef9CTLuHfp9PTk2g6ahqQP93te15bLW5T
uRq5yg9nbllKnksUTZDVOsV+yevwrXRRlRZDanWJXQdxt/d0hzAa3afYL/WIGgoNm7hHxRlfSasP
33MM4QUEbhs/NA1nujvKpkvc0fHf2LqU/zSTF91IUMs3qGrdj3FJ+ZY4rWN3u6zK7r0mZnqtsBGA
GhUUlTPH4E0qXn+ULTr6sp/U0ckC+6u9jN5uo676b6UITyPyNPqkaRjvuJ3t5XnSAr2FfZDJH+yV
5SF2U/Thom7Hki1ji/evj//LYPr8sBCRokmxyJ/Ps0Fc2aTVKpY/hB026LMW+9GRYNtJ01S32vcm
au+sbd5Az4bVX3LhMxEeDzdpAGkQC8DjjD5PCRwrHBYf5e0PfzKrLC+8/MJry/q0bMtX6cT1Z8+K
l/3kZpAevbLEyZdrIPevD0FgBvTFEgyNWNPoQbhAmmP87EBxqrSBPsjDH9kEcQCcpqpkiYIw3g+w
JONe+w3C9WZcpqSwuga2p21OLbjVre6EHpMa6fv95mT+ydtWgDOVxl+aAjx9pyrrtlhleLN664X0
Gu8RDLS+by1WZyIgxtbdNi7QLmWLhjrs4vAtaaNuj7Nf/LOKsrjzwq7AjA/kWWRtd98EYz3u23SY
vq11Pr23A7d6Y8mIA0Isznz0UGxP2PGL7HGu47zc5b3NB+SLEyd6zKAAwrIvIUI4E9/5gRXdFPnq
f3RAtdME0gGn6euDa8bufGx90AXu5KCa5S7Cl4sZ3z/0mh2mP/rCD+6s3is/dIW3rvuql/adM1NL
/OWJzkvhK6uK3vlGdYseyUOC559Vj47t1qrh6PxZdqV/BWyGmTTFNHANUFkeISJGIn2QqR+dZ9cf
imwZb4oitt9YOvaOr3/9nyvc9PFHloU4Spi7es72sufCtVXLXP2MBBVoEs9x+Q0dwQovxTWkZO3h
j22Y0kshrW84uGZsUUJ3zf9gSPDpkZhxxVbsU32+nAW0OEMzbGH9M23EOu3FkK8PYpvy+qaoxXi0
Nx0/9kpOx1Xk6aGL0+VzHindnfJhcx7/Mib/YUlg0AO9ZHEijDvXhG7NNOt2qcqfWWiLd71whrdu
beFnATq85oiZ7qa6H686XzaX9eI5t6MMOROw/y0PRZhHSF7lrG8Ka/L+QZvdB0nUF9W7199S/BkU
KBIIvtyjHaKhPpdxqhkNf5QxSdkCNQTi0qZfWrXlet83a5D0tluBTTVtikk2AOXdl7kIGK+soJnC
HMc7qGq8F6oV4SeMz9qA9pAf0hry20oUw6n3vOVOTHl2mQUhzQzaMHbnZFgdNwebtpspUU7U7qJm
C7oLiwV9LKvRuo2Fo/kLc2jdPE3jikNb7sug6I7ZTN61a52iumkg6KkFvEbjtulriRhoLmHfoas/
BBpQgSxyeDe6i7zMm9pTiQoROhFDIPp2Arz2wYsLCVmOxHOBi4YRHEVdZ5i7wu527uJhSNqiEyii
I7d1LpEV4WWxReZ+HFVbfJrkPP7jFy7ehkGX6d8gS+ePYysUKDgDtjiaaYrKswWtm3TFNe5PP0G9
++w9p1uAedL112QabH3nCl3BKQ2biPaRCtp/8s0Oq2TDRT1fYKgePgRxnd3Y4Vy9dxWunN3EKXBU
JXYye8swe/k9dO/zNvxfn8Xj2v38v//nRRuq330WzJPr/rb9/mj381/3wf3bafHr3/yyWuCaoK70
6M7DjJumOsT8Xw7m0ONyRzTQlOCOQCUieNK/+v0E9HYirTA7GBDgqUvQL6+FT1tBl5VD4UqOa1Pm
/Xe8Fi/LJ7In0MqYi44904qIXOLskIsgd7eCThWnKCJQNXkeJSXM1V+i+Ms1DxXAxbB8I3kK148w
EmdrPp1073ptlp4mahEn0XYcJdGStl/kqJeHBjj5st76Su3bbew+/zYfD88H9u9+CTNfv53jzw9H
xsyVGQwbidvZJ+Zs/sWje8cpQ/ZRHUM1zHu9ODw3sKu3peO2X7O46WBDZOHth20tfi7WKOVBKOHt
4ZO3ZJ3K4mLUYPleb/VXE2qt+wFpjLUra9xlI2qkw5Bl2+00hOnbRtTz/n/wEeBvuCyAw1hIZyNo
41fxmnGLT/22uIfFb7djYzX+ZRHO6/ves/UudarQO1jNqrEmLt3nGdn2Pmizlfcr4uVBSHd5aIco
QmqyoQygc9FRR1V9SROX6hjp2Xlsimk8rnIjX7caWVy8/g0vUbTneQBu4v4SmCHQ+rOEYiAjn9Zw
jk+F183IC7c6QQqyXoTQs68/6eUx/etJ0F78LxwpsXE3/Q4bBtoZsK3zJI1H+wSEyOTBo16p0evf
2AH24Nefd7aJnpY3+U5kCk4W2Xkl4jqDlI1V8zz47jdElAFzUBZzWcRrhe1/GD+T6wMgYROh6jgb
v1gRLurZik7KnYuLiFHrOOlO1RA9vv6gpxZf/858n8YvAFEhMJm48EdQKDP8YzNr8OQiC7vcwsHF
b8uaWVcmbm3wBiROLjhG27F6u+oguulqUe390knf5pPcrpsg6N+oFc4zEToYks4xWAsSn+2U1V16
hT10vShYm+91FkoEvpvt4+ws500lfsZDcKK7B6i/4jS4Yvg4i604vf6R3lMx+uIraQcOaBxwEyVG
OEDXl6skddN6yje1nObSc3BRtfMlvo/h0upVdWyrwU2E1/6z1MraB1WtoI7C8lQ3xtPqdOOxQs1x
R9cCAP9RevteSPuj4yLeDeLV/xLOTfMx6MVBObP7zkFBSrcUtDQ7XEw4ce0qPuZbIeHP8aTlmXT3
MivWiyo7OiXSCcJZdRJjENxnE1iWLtr2mtMlPzVd6h68TBQnS8brrg0K5Lhco34xeG30qNKgvCyt
stlLOgqNSZ+l33MOnl0zVNklPY70fVdTMaHGC/0b5JGgEakIDp12/Z3wu2knJtHWQExZe6pUS3e1
Qe7qnoY8slmte0CM9ce6rgNmunw80KHBuwhSvxzwa+coHSskbBYwz5sAv/IjWs7mI50Zqn86JycX
q+x4XXexyinYQExg3mW+fAojWe3DxkUoEsf1ZbmWy83Wx+Iepj/aj1Eh48RDUXk/jbL/hps0+Gr3
OA6WmBIxrX5alRXd0nDN2vtZkR2sUF01jeCthdMfKje+XLSFdjft0oSccUY9oegGY2EAR1R+Y8Zz
39Zlt6MGtAwtOyRO430OcjEn/pLbl1nVNDe4Itb3Vl2NLj+ll5szWWTPKzzbweZ8Qb49exduG0eX
0+Z7X1UqhoeScZKXI2KQXQ+581j5sP8dK0Lj1pvIob+2uHiOVe5awHcLfuHWleq9pKHFrqXyYmqW
MhmWNqOl2HTMc++NmzbTgdimL0fEPglZ+RihIHZ/eIo5V8Lp3qyqvkXQn4MSA0TqrJ72U2o00s04
7ZRtX9HBLMMx5/tJGS/ZO1lmt2kmvuSo9E5oQuy3qbNhbVDiI+7zr24j5X5WQ7mzShF/GIM0OnpK
OTfhMs1XEuFw0upt2TU2vfSmsrcS+u6kCFWsnBA1zTsHLmwHGbdcW1GG7hb/w27FI/nZ6vKVl1nS
I95j3FOV17YJ8ifN4tL0POEYoq9AFglKhLko9hhSXPRFg3UdbG17M1r0xFBLsH4t58F+w1VdYZQA
sUR0eHLL7n5rbWbIGZz+ekXweYm6pD45XmGfwpbtIix6alR0tHDpvHBwZyoX2ApMnWOe7ha7lN+V
9rNPZepMP9COr588rearhuZzl5WOMcPQUOJG2VZ30Y9VSpMjW19ODvvLWqsumep1BVK2y3BwLmUR
h1u/d3rRHBo7a3C8b8t7X9vyCC2RX9pV1h38uvV35TqlSexNSBOhnG6KBbWltJsRnz5/LOVEN4BC
LP1V3NnVXrTTemEJQOt+sKtjWur1Hz2qub0Diq73aUdSgDrCTlTr0nDNbaJ9kXFyOFsa4S6cuoOt
ZxpTjbm6CsXoHma1Vrhl7PV6G+3h4xbP/r3LRr1bC7uf9lU6winYKE9/OiUNBuLa3k5rWarvebhk
CI+L8EMOdnQjkS8/Wjb5Rd12+T1+EbITTcrXtjOFWhaXvB3qb4pQEI/DYovqbZ35/Sc8QtW+srcZ
7Sd5oRV060VdOd7l7PfVscvi6QPO1/qyL4LhB9oam8YDPrFH8ZF9R/oF1phebbHPe61ed4eXJb0K
B8XJNaMg2NFjqNqXKKEPsdJ8OSqhe9PiZR9Mnnvox809+HTxud+QOQ5J5W/8Gzeuh4+ZEMbS7/Em
QOb2hdYjn2QJ06nDC7dsN1ZlcPAwN9w7BIbdZuSl3ehuJ7sUNb6yKb0iVwl2eGJAs6JaXWlu4kMR
ma//kAPrD4VWxPXW7a/Qu+o6IbdxLxy76S9wEAfXVKbW25UH5DCcnLxbCiWzD9Y8+DJj4c+SFOLi
rR0iik9pKvZW2W6/V2HufLKjgO4CtJyAp2kvhhLVNB1fbO86WJAJ9wQFR03encbfcuzyfrkE1BY7
XZf5sfVSnAJyenRSC23TOBZJUM3BISzsB5XKWOPmzfSF6vSaXzD8YfVd+VGf36ih6TWrOUAvvchp
TcZG2Vho6FhyE6dN0BFZ14EWQJHr53fLjHt4e+aF/rdgfS5Yv//egfj3gtU1oon/yir/KFfPmvr+
u2h9+ne/SlYhaA4A520STdJ1OP9/laymOwDVB3fdcqdX8Nw34LfuANSinvDQiJjOtb/KVYdbWj3X
FJkAHvTKh4P+V9exX8Xba+1pPe9FMWeeiHYJoIiOW0CCeNJeJm01kQcHexX8xOhlRBlu5xu5xLMw
NKA9ZPXVt1QwHGVPj1paRLlLkC87q01tLJrKCLnp5VKFV+xV4MQqtiQdO+OmHm7roOmsNeHoDbpv
QYUEHzefEDVdXDKAW+dnuLTr9LbOl7D+GkUBnCOwOGJKsjHDb8L7DLyK3wWquc8de5wlktZAcR60
c0AS4YRrzytnTYMyyG08fFzWoFv+zW9T+h8q3jNWHw6brt5xQC0imL4/pF6hQx0H/Rv9RJ6BbPg0
Nn7tn2pfDyo8bUOGtxCRb8fN8LWdFm56fP3xzsuC2xcGTghhgICwmSle5uUcbaUXDcIWxY/SqYzm
cGw94+OOY/o3lNgB5gzNvsrHDP2M5VtbJx/Q6xoRkeNvYvauOGckXUxakEC8TTRT7vnZ6y/5skQE
dEEyRd3GRQFGE/eH8XzJC/okKc/6ISylbXdP9MrC/lhH/ujZTx5X8aUKELX8ha8+mxvzXB+hAaAe
8DEQ/9nYdNPahq3lRT/wPdWDAArp6uFT7qeuzJK5LKbiXqakYZis8tZ1/6YCjF9uHx4PqQCihNiB
TIg99HJqskAXlr3k3g+6y4Q9zRlnBD9f2UjWeNluRVjfFRaE4q1X9ev0DsEi3bwSGkLXDMrrE/Dn
myDhEr4IwGUQqJ5XsyRbSNBXW/3wxcyWO66O2JzqGKh5GvxDEaW++KImhqBPBmyT4gtdL7WKD5RC
djf/ZVZeltasBuB8c/7SDcCoCM8L+BHYuFwRSHxP400G6qLtO2Dag5XSsG29WCO1sERe/37nLJLx
TCh/dgkbFWbjuTz9rc92RgdjyqnR+saljGFjnVAjmg3RLG0+tLtpLv3N3xXNsNL2bYFaYyCCws6n
d00nEPBLC3cmzsS8UbghMYS4bxtdyOHb669p4um/i2Q/pEC2DQKASJ8YDgH9csFMcxqRk2/Lt0WN
ikVgYylifuxlxgGFkdLT1rsOPsFsmnFuzX+KLpv+Mj9/DBaaYkPDocACDPUJbS9fI+rdYVwH0X6T
dWA8JCXRi0SG7Bbh/rWHb7D6OmSTqr7+kvWprlHGl2eVRsxDX1LvKfI/yV1ksdX62l+qjsaorw+X
6Ud5Nl4MEp6QEOQWEcw5Trd4s+xiuXnfBjyg6IGx3Hb19NBvY9HJ3dzT5rHeQdE/WYvXvkG6E1Xb
ar1DP59eogepS1qFbRtJOBY+iZRNgqiiFZwCLHBvRRNnG735PDTj6APoZOPIK3uLjbOiKlJjcfjL
B72kJIlUCO/ojwE+jVwpYLG+HHlWpuy11N2XMGiDkgyWhJKlmKaTaSqDqPfJTb8+R8968vkZ0nbC
SeekhttdZlrP9nSQxcT9tz3kn0dxhFskI8hRDV/K3j1bFhXa+ibN2+5Lp9hF/cEbqsi/dZ3cw8sx
TEaW9uyAaihv15AW2mru8x0BfxZvs55miifV+CiVlDUh0Y4KYRKE5dkrVk2BmZ528Iy189nS1qkS
n+0G2mWUl3VtDq2C0WeCWhkbSRcGCCwqUbNAPJHFl3QDTYbNznAddMHgDUcRYktyd9WSUd/ByJnH
x1Fm7PtRuxhFZ0vywJsXljS5wdgFDY1gBiHh0WKtHP3O98DJb5SqUpXUWM7cZmdlKAFAuDlcP8tI
pv4HbWsjSA9hAjHYYv0iRXl9bZxHTUYf8gIFPiSGgNg4WxpeusrMibv6y0YHRGqQBba8M/7Asq0v
vamfCRSvP/E8GsHF+2i9OLe5BIE+rmdPHBRdqOfGmz9722QW44wqifDnDjiM+qPQfSC+YALfWISz
O41DdgtBikjkL7vcpLMvdjndceDEOSvoKIDC/bxjCZ0Bpt6KRfOhgekdMUm3NC/62fa5cTvn1SCd
g0pppf6AmM9o5LocIJ7mAaOr2wTLxFxrWjxm/XWdRuLdAqAarXSfcJCrj5FlF7s+2BaUlQtKfbok
+SkSEx8LptnsaO/021bnZBeXqeFV2fm4BL17dPFhtyZepbDz/AW7P49rNPaKwK3NV/O1yF7OwOeK
zuNy7ofwvZ6ksTcFCovotas3s259kizaazqzqemXKjb6zWx8ymyxAfw/9s5sOW4ky7ZfhDLMwysQ
A4OzGCJT1AuMlJSYAYcDjunr73KF6nZK2a206uc2S0uaJJIRQDh8OGfvtfWQdlQ52+k5XWgtY1Xs
iw0BMTw9BA77st8G3HR9PQntVvLWiqcuBVbJgLVWmsgvMrC0Qeb3Y8n+ZWajf0aUB0cTn4L3f6Nn
psvcgBZp7edwzB2erVFk+g2MhqPRCpfnmHwc7fRLMa3ziDNX6ilFCirEb0ZusY23qEDxV5g+oDXV
UQmHoZi/1zYuhAKEMtpBnjv6EuHw+8OhokTpHAQiBWdIVtYLLvcfLu2XXabWtNJwsy0eFRqEfxNN
oMuxglp167OT0U2uMPFrOsqGdbn7MlJathFrjF2/vQQYNZjcGqPTrkhkedrovjW+hQw4cgw1P7NL
1c6aOaBI3l47E0bEP0FhRQwxKAhagA1/F19hQX+aaQ0trZ4FwRCa/IkzlsXdIfAAG+Q4BloH7NW4
7WG0RLbGVFzuj54Kq7ff34RfntHvWlub9QuJswXs+detrjVvrr/6vfERfE3H7HDZ3trQeqYq4WRJ
0f2fpoVfliP9krRnQE6zLJlIxn9ZjrQ71/XFEnwclMUIGddxZECx9nN/3FK4nbdPZwPPT+zXjsar
1BMKubeGSY+7hHmgHh8DfwjT8pCOLrilkQdyepKkArECNAYPPvUUFqofH1vWzy23EuaONi3wFOmP
I6N0zK03gJ/yJVrLaHoyO/BsxdGrKtYmXOP6nPr7u40d4uc5kYvXiwCThGVhMPrbiYrt4GBk5rJ+
zPPVr9N4VJWDSWE20/LetzdXrvs+lz7AYmRV/0UtMGvlLAhk/wYs6MHpZF/Mojav4Hu6/u5/oha4
E/3ObffPpAJTWtGubSWm93IZ1T+QChbDI/7i8BOjwFwsNavjb+AEMmcoitPyHUsAN7v0f0ISzH5n
Fy/KrbMUoez4K4wAruBc/RZDkGFsy839BT2wooepjOe/MwdYMQL11fsrbUAAPMuHD/8rwIAa59lM
qnoerPLqP0ALLJYTSvduc7qJIb1ZEHbzD3jrRnBqbesKEZxUlBZouVpvqfpsT+trRB81e2lWkJPh
EiLiPaUtRtyTX7p5Ru9h4TgFeoRgEY1bHELgS3FmuD669DyVW7meZhy1eXGci4bVJqmoYjPBorxV
0MQM5XvDCYzFbKTJ7LBtse6VYNcVxePqhIv/gDUs4Mt4+UujKFBExRAZXV5u6wa3f99UH9nTdemD
ILGvrMUwgiBZS69SAcTZ0mrgPLiTXhdNDzbUdJs5HovK25KuvgkW1csjL3uAJjCL4LFMjXKuD0Hl
GLY4VUrnWzz4pQMlJ+6jSNckAjl65BzRm0yN7cZ1sd3S5sJ/azV3zNp97t3A+5JBfWsV8M2JUyjn
Mkz35I3MA1SjwnJ470xZ+i2tE4gPmlZZvhb9ztQ0qHDXjhgK2k92Zre8XlPWUfSssrDv6VYGWvFv
h3jMfYQFfq5/Ce9f94AJr9F7ejcfuPpE5CAC/AMeCn3HnHqE6Rt3Qz4a57YJ9JTvIuMMgUzPY8cA
2Fr2G8cxkg3fJy6Xmo/exu3rSy2VZC0ZNNeuzi0OmQDT9cdj4fCzvT+Ax+j73LogEDAkKEPyURht
Febut77nQNMfZFGw00rm0IJAlRRh7uGt3jpX9eplpJdSAAsFTLt1x5yenbXchWWg33LBJy22s8/I
4hUc/ql/x/uvBxi6f/3Je6vB39VRo2/NNOGVQys2Ai3gPUxU/rnGH9cjaRn07xTckP4l3iI6/1x5
bho5iTtHFIBiQYmee/Fj9KTbEPErg9LQF5cC5OBLrxg1iNUue9zI2zRn1AbzUd05ZiGN849bbVy+
/d83+fJ9VAps3Mm2aHgDII3y6b0qfFHIY9E6KxdN/2vhRTLbwQ5x5gCeESzlXT6obptGhhonbyWz
E6LmlZgOq8qn1X8AiN9xlwAo1nyLLaixyYQyB30e+ryr3vRmDfIjntEgM/v36HIHMcBoYtaPa8rt
gjNaIgBOzNYVgBZtRjEvH+1lePhpVXN/fBcrJwjGABm9TBZ/zRmn2cV/krs5oSzJ2vVmkD9vEI/V
iJw+d/TtvQykTa2Kd8lF6t9iEY3C6yAMIOgqHsZcv/XLDTW2eeMPXe10brDHr9RW5Wkjc20Rx+y7
JnQ/FxqqcBuVcGPPEFj5fIspsPt3y8+InooHjx0rFy/p3voPA7Vs/QvtSX9xpyzkS92a+nFAHalv
U6v8LJ+fVZ2BtD20AN2NMwY7K3OQdqyBNUIl+D5WinKIxuD445ZHBKVxMUsB+GmGu7J0vHgpCtzm
x8nqN998ZudWkgAA5A3fY4JPMOXFvTLvODKNyDDGU03BgJINH1OuTkGX6cdZQQXi7ypc82V4wP9v
L+u1Ew2YfK5GtzObJqkjt26gXA2Y7k9oHHEuxeg3B76wafTq+6ZX/F8nk/mfPXO2KBX11PLr+6ka
U4oCsyx5dSvPuunFb9OFU0BKzgwjY46YysvD4vSg3wgEyGEO/JtktxhtGg0ncvLktryaKD6Zb7K6
6zDl/ygnl2OdS1zNOU4V8QUKI1DcK1Hm3I6j8/2ZIZ9JIwKHdK7S7QUmVDePCKjmfPavxsulL1E2
cIvoyW8VV1Thr/TgzpoWs9woXX37rEXoUUO9Sg/xS/00xDXKHbAUXFna4AUmJCOWDHC+vy+oPpLq
UG++/zly7QpRAyWL1W/uHGFJvsNf0W/1h8mDgXL+UWQBnVZLgDZtL1P7lKU9ZtUYWoEuvaUcy6ka
9p5bUaJE/MXRt2k4O7XJSKgZ59Cm8vXzNAIxoAifVeHIVOn46cqaN6zMNOWBs56+ebAzdKkAclZF
Lb6s8fd6N3KtucrXme1ZalzP6SBlcR85wOfzuFMsd3fEuDn++AGUQLOm+yUtjTUncUl49bCjdIEe
MIZ+Efqf3cyxOJL/G5RouBtX5aMo4YaS/6eHm7QlvWAyM3TpqBw7KtH06jHPXs+b16TBh2pTs3GW
bKapKmwCgchn5lvGl0HiE3egRDulh5HAed4fOF7qKlVdsF9lZx013Sw++9Ga99a7u9R+fe/7vVjT
g2t3w2j8ORcWIUh7VjSnhgNZU/82krC2AklthtyP8aOZ9WWWJSDwnXx5mgP2Nv1X0tBQNr4O0CSl
eZSVmpooMextqF6gjtluR4f7OxButKwOIwjmpUhZilHelJGdTPylEUxxMNOZWnY/ruTyWWoDHbcH
05tG7KTfp5u6nvT8F4FT4wu7f/3woo/X39F+r96npa3/DpOOwXes2aq/MXWoTjR7Tu66t4ELTvAo
Z4szpvfbuFrEZvCg6qcSFST/8mPIwrFiJkI2pf/pUoLX06lBnMmySieILVua4aPKg2zu4tlsKdgT
poVp4qQtGfxQZmy6HDjQJ+KLy7ZsPPWbyfh2TfoP99Qt9TuHZMyP/nghT0YsaT1DxThfTmxtUdJZ
RjgvlPuhukxY1aXQ2KOPZTQYda+LkANGKtfdkRnZd1AMe18ZZ1V4WCXicaaLN10XNhJQmeQEFxjn
YKr128KPxhsCE846AitG6Ydc2LrNSJLgosdkkG7IumIvH9oGsRXRbozeyw2hDqwnvSrEQcL0PlhG
eZPbTg2v//fHq18O9NRymB8YwXjwkY//raycj/QQqFfb57zrfN51kAH6OaP1YJrtDVc/QZCQNGRg
Knr93n//8vrg+pcugH55WJS+p02W/52jQC2dMQ8BparL1FhqCkMfgxjjSfr9S/1SQOdpAmhg8lqU
rPi/r4/1f2mLzCHQ9pSt5L/HiAkqs0t6kbruQxDRs2JG9nP9oaoCr+u5gyTER/Zjcvz9e/m5hOCZ
0EL5z+PiaYczzu2f30s6ORgXefTOpEAxjRUe5G3CdIYQoe3WsXX+p/v89xcExU7hAHKGTXEx+qW+
WYEdtuqGyMR+aVkosooV/xSsgHwoa35/sn9/gb+YfPQVagE6ehyU5hbtqF9ecEE/k7Vj7T/9mDHm
HH+wJo07q+cdFncIp0Mp0k1+ULOzlrtGtXo+dyRTgzFs2LD+oSpn/TzSeUccpeCG0BoFIUOJ7pdC
I1FNxhysTv9UXx4qeI36GV9UlTKvF+FU8BHkrlp5MiOHxYGthZHrN1IKp1dbMuFyTA8eCCnPjBem
ljVhqu/5dp6P1LovVofzZDJf+lniMs3+/rb++jHywbkmZmQ6JpYFt+CXu8q624/2Ykz3+UCODmjg
7xshMXit+oD2Tbn/mTKYBojvegBHvqd4+/53Q9BfnplgYTdCOqe6/7HsLVnel7FJKK6HpG4osv+o
tAaCGvhTSGWRiZtH9W8GI2dOqURPRXl/WZbYJOtPI6hAk+9bchu55N/f0J/nH+qzOOIYqFqUQqeY
P//8IM7rthRy86oroLGy0nEuTeB89olm/MdH8O8vxUeH289Hzc0h89eWUgNxmcguP7u6bEUmD/wi
48juG778/qp+SDH+a2L1qBXyUtCZQAIyhfwNlWOa9GUIRhiOcsM9P+xtj8w09uCma6vuz2Fr6aEn
3YAketBJoRunRTxb2Wg1N6zWSHAypKIC2uSt7VJ7MB9BqGZod1f2Bl53nxILbOHUTG1aTq9DD0su
28vSdtt+39Rqs8fE7EzIfdpqRKkNcJvVOf5jdOnnVT6HEechbRurX+6qLJ8iJDNq8gs8mSjbZgc7
gh8Uza42SsFH8WODEhj8WB5Xl20FO/SQxcL/Po1djhrVbDJ1zwCUmLo5GuptwDzB1jCuOjvknNDa
im9gi+Wr4N4Zar2ZMy4zoKA5ytNuClLBirgaxgaDRgusvi12vgjg/mLvupQ8epZNFIuXjcz3HRSd
tZn7u/WhXsSDHtnbCbZo5dt7gVzVODcVp4rp2qRbUWRJvTQD5ynq+XVZPztseyPn3l/HyBWn0jcN
XQwYJkmddb2cwyK8acSm5aR5UXalAhPQZYhLUG9dmhiKPCmziXsH9ZD9GPWRCOZ91vNw9x+9NZq2
7iP9Bt3RYg9o2v49ase58z8WgmpztkOEhJzgkMvessqksdh0/rly9BzCa89HRffZ8pZ1DO8pm6Xi
Ayy0srL3ZUsqGCdh8hKXMSFsnF76vgWth79sXuxNrsByqUxMCVszXPWQMtd0vq2iAVB0TDt6LjhN
R6GkL1rk5nB0caHO76QYV2u+SxFG49BrgraRn1oqL4YC2eHrltuPuainH575t2HDvA1XIK99W7GL
/r7PovCt94lrO+pF5zI06u+7wTaoK45sJBAUJP5OmMcbgsmGrAt4GzY4nHgGqBN9ZBLvwrMgQbo+
NIWXeaQ/ZfPZWwsP/m4xp0fQOs5VYTrbqZHLdEUlo3sKpG8nS+Tl9wH+RrIB3Ul+TBnUV27mobnl
6cvfSynqT5lZgNaLLKTEYe2MRw67lJTsFqaxMD93FY8jeDP/1p8LsQvcPOfTNQ15KIHo7cuuUA9b
WY/mnrV73IerSWZqNfjNl1yos2254ka6RnbTTMO49wZguWhfsqupU4QrRnP4IUCRSV9fFF+LoSdM
MEffuZJYtvPSqL8ON7s5rGlLF7gVHnjZKlxbtNYtgFF+5SnkPPYul04dgWRgY4YpcawA6+Fnikrv
kJcE8gqX2jwZz0jq8Vx22fO8bOFbTTCjFiI3H2c8GHvTHs1rCDk5AVGGAVmRMt1BYg34NpRB+oHi
YYFeaXSirxatHs4zlrCeJrvMi4NYW2OPHWd8GiaXggNTwW5YFyiPA2rj2Gtm4saCiPC3T8VkR+sJ
BYL6MpBaZ+07JUaOOUWTr/HkeOG3cPSCZmekBhJ/CIfezrXG8sMyOZXmq3Y33jBafZKGefdmloO4
XQLXvBl8S4/QFJspZ5Bpvl6kWu7wVE4n8LrGdVE5ub0Lmf2+WvOM9XTbQB9ybBbG6yz6+VsPu1GH
dW5vw1B2NooCIrqibRsYuXkt6hjFlAQgu83Vcg0gkyBD0xLF/WoFTMQcqZIJNI6DANisxbVcenmw
hbJvvJqEeiq9L968fgE3nd5DzlDxNKhxR2nRLOJsaaYAlW8Hrj0Y23uRu/J1FQt7MpP2NqHjqkID
QSxnkSGqxVXsvtGZJhzSrttjR6EAnXczfoBcXH3AOD1WSTWO2XOfr/0nuYiGxF5CCLCOSTLOSt4f
HdeQmhsP3pKTubiEMxSHIYeEvk3lW9mILabJ07yQ8AfxR0wWeY1ueBK2DNFHm6ici9Z9G0J/uS2p
90+xoODKi6YjPnbijddMZbc+qUxFXFtV9CYNNjU7EJfsV7xy6AFX+ATg2b0P4rHYgqvR6vJHdDpo
O+ZcPtuIt49QcKxjKSb/DQTZ88w5+Xnrmy089gIXbdk32beVG3LMoXKpPdvA9TzKyEuJSOrp2BIp
GZsAUk9+VCHfZx9qxVkwRM9RO0bvziKcj6VMu/dpm7ZvigG+m4LOvnMRFhxNVopdv/Tjmf0lmcJz
O90acqg+b2bXHp3aSlFmUU6+z1fTZS1bmJGIIcRZMnqVfxXQmEnE0JbHylPyGW2Xw/uf7GvLbJ1D
6TvDK3W5/jFqc3llrXV0bhpiC7OB2MMFUKw+BjfFfeua47VU7vzYDqn8KPHbfXGqicnB7tfp3l0b
Hh5qWg+WM6qbRQbzqZgXp6NuE7bHVAN0OR6jsKTsEZFBhyw7TXP5YbPD/DmkdPLab+H4kQU/A4sv
g7vNMkY0TGTj1VHqEaFYWw7g0ajehWAjMDqgRTtsmdE9VpTgH+GRij5BGWIeJCbnVzEqF2G6t223
MnLVDUIlMuqMpvuYOVvUMGc3yx5IR3hl0fNLJrG5D+GUOVTmpfHVSG00aLer525FlKzNwl53FyhK
2uFt5TlTMO7NTlZgKepIpLezIbJHqiw16ZNr+1KP8o2fySj0FtbL0LCDKVVQ3mMfQn7p4Uy7jjph
f8bQg1sFNqN5h9RHPRf2NPXH3K5J9olAsd+4aSfDA3aBNrpu8lDs6OO64ODod+/CaGvw9m8jmvjG
ISa7M+j336xAXbjXvjmP8rYHm1MfrAVD2KnFo/3gLK7xIWijQiREuEAqzyMhn8qsmJo9Ld81v2mK
qit2BkwjRIhpahmI+MkOfVrDVqr8qLce5i7ql67uKu5aN0M+rjiTS6I4AnYuideodLqjWlIOiaMs
yBrB1uEaM2v/Frleau1mULjVzchBfHwhBWQLweAbEtqQtnpkLbIiTQwOrj17Mdvy4+asKRGL69KT
CnRtM9mZp9ClI3DsSWWQu3waPHWOyO4tUeBkdYQ930gz0CSGGy3nAiiKH9u5W3/oVsvYjjMHTU1f
723zFsAE3iBbUse/C2qmU/I1esh5VLauS4KZEh+Q8PVokAZRPgCe9qPN4fa35tLsqNM0lVZpCdtr
HsbRLcORkA/MFzYF9qHjeQi3occrv9rN3rVUnd8SRVb6cdNS5tUokx5ubbPS+AkUEOgW5ke3z2gU
3lUFZdJduRTLlZO5VriDjZgHlMRKaZ2qTArakcoL1tie6X5jpBnvDS9agqQpU9wpgVs5lOKo2b0A
HJdfSb0td44Uq33suhQwV4aLTNkJW7jc6BJ680jRwGrl/tNquF3AxkyFawEDnMYG39CZRrEUX5iE
+tDf56IWsZf11hLtqwZKZr4X9tJ53p1FzrkiFrpt0quyD923bJo+b1uePWe5+JxFJK0A8Z2b84y2
A4B/CgSBxcNkkvDhQYXBdlOvdn0vnQLHYy6jRPRiIyoSmaaAseM1Z9mSvyqlD7oghMAay2lsvoxZ
uh2IqaJzlS3pHR3GkCylZZj73cZi4z5GQ+6cAwREktAbaj2MBwZMjB5u/mp1ovogCLkO9wN8rduh
a7uz6ocx2yuS+jRthKwT3MlLdAIf3u/stq8PVZ9657YyrX005h2BHp5xZ1eLe2MLmpZdNtC8jjgW
7Ww7nd5aFagjLmq7js2ARXhnRhOGQmH53T36wRnpopzxYQ2zuSREbWBf84dJxBEIKdwDCCLVaQD2
vexXitznLZXF1xSkfn8s6a/tJA/lTBxThTtU2Sz+hV/VZAqyv+AtpE+sOsWBuDric1uRv5RFZn2m
8rYcEO1Ex86MmkMggvLRKE2ZTI2ffzLb5rkuUYJlHNwOgZ2Wr91sj11MyG/36pipvFa2Q4pqKpcy
TAqKo9epsLnozKTCXSxTwmHXeSg5llxPs1V8qXIn+FylGVFKljPfwq8nM4HU8JNDyfiF4juGMea0
BXxWafZ3Pvkj7FuZHPUgdL+4lT4Mr22jV+3FHt67KTSKfe0XNEIpJnf+iWDvokuwXi3g+euto1gY
zORkwwg0v8OQS++uFoP9nuf5CMC55j3EJeFvYVLxe8ms8hkT+Sq8E3A+OyARJp0w4Ros39eN6MY/
BKe2PKmE45ifWXhnCcEtnKcrY6z83ShK44ooN/tZ6wYO1jZVEJBWQzx43lK+KyLTWR44eR46laKG
6lLPuaV1J2/Eiuc5lhlbmttlUOK9sqHJJgNlxikupnr5Mo4rzwoPJec0Jahifp3oWk0xHblpT0aS
c02ROkMyRe4Hm/nAm75BuZzSA+mr4427cn6LDbYj465Oe8PbG32D5heQjfeCua1+DcS0JNXgDLva
NHrzXs2Bdaa7FkaogtjDxf445/VxZlN1zezXzvulz3MyapeIrafcBqPD+TZb4N9TrcRbG9MTe1xa
OAxQpDCIEjdv8tKtwJNPPq2UpkrKik0aoHKOsTjb1r6w2VM7bbp9agfVVg+QUuZhx6kirZjSIr/b
RCItldVYEPFbtu6DT9x5GFdWXzhvNbJRo00mI1zK9EDDrFrMuyrv/C5KOG2TgQu2Lm8wugYsuN66
y+lfaZ4/am533bXTmjYVxL7UdkzQ3RzAxCN8P5SJ8YLMO1LEBIu++JRlldtlO/D9kjYKbhynlfG0
9B1koIy9WntSuTKaP4d+WCZvD727aNq919NrO6emTe/lKBBKje1Orq5hlo+lEhWfg2sgl1IlSmZ6
ABMydy7/W2NEgcl9HMp23UUiX2Aw0mXKz5dirSF0w2GsI10ata10ETcRlCROwugFdB+E53AD1OWm
5uIf0VVvPG+9NUTFqxJzrpl5IYUu0qWrtJx9lgim4/FF5RQUwtuRDeVyb5aRubqJygbVVxBvIflM
dCu8sivfHUiGExni9ajW9sZRXN4WFx0qiyFB9OI06dkZPVGQ8YFQtXCuTaX6tUOHVIzscTg7ZP1B
iLBkPjbGblcRhnJnI+Zi6y4iZkxST9lEhe6xGIMGFABV2IlKapEgqVL17O6zdnGLei9mFDcRtYO2
C283tn7hPsW0SDoIAPdIkOHm9pG7D9bNcY/0/ZoXIkHrZwN1DUHeHeazGKzNsu1RmzRfzRYfJl0a
M5fVvvOHKN9hlQRSH292T/Nx8xVuZVT211GRTY8e6tgr6sDFLf5fJ8HLqO5Ka12bveZnnMYJ96aD
Y+yM+XkOTj1buCB2WrG6Mebwqj3K0UTFuIQCoBUS6uqr2EwgQKnUgbI+66jajc62Pg2FMS9sEIx6
zw6UE2JaCs87ErFAonzahMu7saXLKmIrm3vrKayKytvNRYux2KSBHQ/lxNGg3YhFi01ZWjmWawRS
Vyr3qulrZpCWbSTsqO0WWz0Rdfi0ptQ4NMoKEefYxDsnqel23d5dzeHKAm70im/UtYgvTO2sSygo
Fh4n1GAd7pvQJxjeNj01fkL6ALYTDSuxQAmajh4GprJsdEUUt+4zTt5N7Pbsw+8WGm5LPDtVsA8q
v742sqFDyq5gwwlSgESDdMNeFZjk1otoSRljfsS3wAeDHdiInSXsr3pR92WiKJi9bwgWGBtp9EEZ
Zsd1buLgEwD+uPJh79woDaM9/Mj5m4F4ieJhKbJbg2l4+Mzhcs4/BGUj9a7LAQrBDsa/lhC4i3em
SAB1Dniop2520jtkktnXTFrc+XDeFuRqKfEl1UYKUywKc34mb0c9zrLOuQRsbHSHg6ZjNg0azAqV
Fz1ZlA+DXVTCg7AoWhS7GW3MH7Pj4iP0qsG9at2yTPpZeuc+zbrDaLfmJ18OVhwF6BBzWW8o9Idt
jbEcrfd4Ku1iZ6thwtRVtwjko2KKplNGeDfTfLshB81SkvfCOaq1NILTcEIkzArH1INIH5sOxkIi
CxwA8ux8UqowowhIPXKyoWdTADDgzlFC3Wa2NYU7+CaCOD0EHh/nJRhRHY8tV4kaIPjsyjzM4oYN
+AOJ5ux4BxDEhLsZ6wqpo0oj5ChVX+Q7FvQS5RXlksetoQIQb74AXVBNCOx2jtkU+w0CIBUKDzkd
spFG7CZH/DkPebu302HBLeytrwGzxXSzjK0Uu7qfwqfBk6Pi5Tyv50BQUAVq7O7OqVP7JiTDOEAm
BB0rllYa3YD8tSEFFtX1YgigXg0MAjRg9huuGNXSZyClI8EIXsokgDm47tS8AqKoZTime5UXYc38
K536prTs1YMBNnsvBtGUyz2Vq4pIDbdr1rgWjfVaRCgeYpAxEk5ENJga9b1yKIhsXA19anoY960y
/whjUM4J6ya7Ovbnu9yRfajvm/8wOzNlaMfu0vuwbpxPPSqLLAbl+eoMTfdJjsAN8qKl9khkE0Kp
bGLI1/I1A+absbdayP1g53EnFfaegbrL5zZTxkmWPNQ7WVTBw6jG7nr0erweMgCTJqmOGKkZvlAx
LgKGQea/C3tzgAOZw9MkV/tETuZoJyU5LHq3ZjZIZ1pKPMEwhFeDQ+bljsQvNk4NfKAj4NypfsIt
W+wkxa2dZKi7Se94as/2xbpp1y5HGzhbn/J0XT4RDGrFYlAm1kmv2jdhnf6JrNjc4aAfn0O2+0dA
x9Z7hwL9k8mPeLGxcOOQ/H/CcxPeLTT5j2IaeepC9YZAeXwUylxTCNGdafEcbI9RZlTsaCy3ObIe
QIhW4eDs4ITfUEUzbufeln+UFDt24cJBpe+KdouX3OpeyFhzz2VOLH3iUtU/CdFatMJQWlaO82VV
VP/lHoCL28t3FqiqmXb0wNM1+MSJtmvEk3SHzvUexjLvmeWBJmltkuzxPyMSWNay6ek10HDsHlwo
H8hP8LBr8ZTTgVYF6UA2RLmdEHKv43NaLLP3xWtJ7rkqu7AZ3SR1pTkau3DyXNhzPNioWehpaelL
ZBW+uUN4Z21sG0NzJRGq8qW5nNS6UMWMfXvxDq7bzuFnv21HJpVeVPVSM49pLvOOfR46Bfi+fpYh
aHHRWCFHZhuPqmrFC81Dg4zd9ZCC5qL7ZvbGGgw7GpoI9faDmNcKiOxGgDdqIZGlWkTOGNRJ3lmZ
bWb/YXLCkSNM4Sy+lC86X2Qi53LzQs59WIaKpbwvgYKCAiZ6EDLY3hSOGvp3VW2TtUL5yUSxJnPn
siWLN5EzM5CRyqk4SqhY6ytx/cyM6mOeLVPQ/6GMbLM9smrDin9DCx/4wETGgQPzTbmCvfYBdgDw
nA7/0J772SBC8w8DNfxL9ph0pUnn/qWN25qcOcpFRF/MEhfJj6637UMpR9flNBlqzzmc2iYxG1fa
QRyQmYxShXQ6VuHRaZfgufze6Pr9+/q5u8zb0vkj2FVhydE8pFf0czO08FasSVkRfK06oRstzUX4
0VRRzUA0Otpl/9Co/Lknr1/RBygJaBvvMC1fjRj4qyaDomE4mvglvjWXV4RgrAUYjtdKWvNDkLsK
EdxkLmAi8qKkWXn5KP6P5vBP+EGcVnz8/zPP4eO35W34K//BufzED5JD5PwLzQ5uUBLs+RR5rP9N
ciDa2v8XeyVcqhAVQKRpksIPlIPj/4uRzz9hisbEAl35/9McbO9fYOs9kIRIRwiCAA3xH9AcgJfZ
DJ2/NMAxbgIyCXGLuLwhLEtaDvQX6QKzoAGXpDPRjDGZT4bLFq8mMUVP6FSd+31uWEO8NF31FMzh
3TCI6ZM/lf1ZdMjETDlcK8CvqEuD7e77VL+iSUyPE5kDj+gmjTcVBGQo+p3ZXxGsGZBD5dnZ8EjU
zup8cF0CbZsYepQVnOhXhPY98Bize6aaY3P+M6qtc46iGoW4C4U0dVLkxK4SllVErcvFBluV7mHb
MpPzp5il7J8x44ywiOmI1tZ1Hi0+TRY7jcZ9kJvucMhr1xbXI6wqSpMlinVTqwvWlXgplgzrOuhW
+8Vd2doB/eysDsmpS+beEb/x6p0U4bTglaq1CMqPKbFiaoqpik60nDuveyvbFLKAX2bBbrMHYqX2
1JXNyU/CAWjLmTW0FFRSanegEdix6aIvOiQKsNhNCj51YtsWwM6YSMWeUDiVKwzSrryCjSZel7YY
GzawznhVcjrZz2bovQJ/c2NSU/OrYijOWU1JJ4Yfj6y87a5Ke36hB+ocy3EuYwvr8lU1XyD5Wf4H
Rcw5269TcQrC5Q4Z100+K/XHkDVtomq94VtyEDFTRP8387+MSzqjpp1fUUUOCecfHLQOW8/qZZmI
fFsjq7ymD/KeFR2R1mmlzluowCdtRnNU3FLDIXLTC4CoMl8Fh9BujwgznkAhvlAk/rOri/FmA/+l
9b73W95TvlXja9cM10TPt1cV/u1dAB9yIWE2Hlbh3wiBpQ9B6iPtiy6u7OpFUJrd0bLoKMVO3/yi
9e8af0sf56jz44HpMY4UhKfBSXfIq6ujO7lWvGzTg42SGScB26OMVnPizlN+y7FF3oUjhKYAZSDq
bBwxLUmyMethnlDMDt8LZU/H/8femWy3jpzZ+l3uHF7om8GdEAQ7tZR01E2wpNOgBwJAAAjE09dH
pe08la5bXnXHNfGy00pRJIFAxL+/vXczcwoKSe5B2FzXRPSe8ZBdzrMke/1MnbS78wz56MlC4cNY
a1LPmuJi0i8ObeX7UHSmv3G6lWda6007GXrukXUh3w2DHe1g+N3Yy41oP/vLz86rGspYGQ6krB0b
goYKTqGq+Owct4tpnqMgO2PLjEgybrvuUsjXSrovtYHSYs4E0hvk24e2erK8Fua3pg2hTo9at9Dw
oyDgQBov3pryaAHDOOW9B00ryBMHYB3eJx3EpSU3ZbW4l2zeHr4YDIytMMO9K9+X3PETp6et42rj
Vyd9hKmZPBmPfOLQzLZDOev1oh8ZB7syp4fVmpfgsXYrce8jH7Ts9CGcBS3TO6crGFoEaTDGFuLJ
E5K9jKVp6WxfIAGf2ikbmnh1MH1subAqvUkX+Z3sZyc203m+x/JqxfPMZZFFc22RdarWH6iTpplk
gbueJlm0B/LO1yXaSy4tAmrwBjFt5q/F/z2SQIxvkmTBDJJj56tpyn9xuIm415ao1xv8gmK5tUNv
fBvZQs42lczEbdGZYlL9EzWYn0L6PHvD3ptIppu+IttwLRk7wY9+lLAiyAiZkaCecYwUGsVa9E5C
+kW9Z3RZbOxQvyqSU56DggNTXRof3FIvNhOnTUsBX9KQci2N3r1FiK62Q22XV63BGHwMGerbonhu
OLlQESy84sYe1pl8xUlTr2Q11n3fpN96JswYASMnuhZEn52sSO44jM/X81SIB84bxmPljsGH3XjF
NquiHpwkGhjIZTm3MdyKnaRdS2pIvZqMp1dqKVLJIZnt8G09oqXxe9pdZ5jrfrjctRXu6XOjZ2eX
9p5i5Frn+6Ce7+vcLZJiHQ+LZeY2lhviTqhrCjfUt7dnkMe3duq8A4EA0ffBHs9gHflCPZTDkCmU
rz4ngU1hmkZC9P3RrRGHqslyMIRbQv5KOxcIxJDG1Tp5+S6cJ2vbAj0nolPFZs3CDIubxXoQrrcF
4OudNsz5ZqVshCC7KdgWrbKZd5bcWoE9JdK1s30eMZOBTgrjqIR04si6X41sYA2WN/QgBTEK3YrD
EouRiVf0KOkJ2/jMKjaZtTzQjWZDiXRM0lzEZN4bgbJK7XGTRUfmjWncWcpE4oma7ytMUGIaDtET
FhHnYqz6bdl0ODtpIxifoqKMtk5YrdueBqbtKPtjZESc1gzxS/XBN86kXUKE3LQzR1HEC7WfHPld
VM5W5btpatTJqPofc6VvaplOGKlRjPTCYAAHXntHXpV5jfOkS1pzJfq+kOZRU/92MCg34MTT0qdK
vwe1VxUARsh7nqqSluCmYr3rfYQuc2WgGlgMfeW7jcvhisCmFEM5WZaps6wbsZakGNbzuB8LN4+X
qvo1+XW0U0K/Z5yomBlFrGWkmKU3aWel9mYuWfoRkj6ZFCwxGNRwn1Z2Gufkzd4u+HV5uBPW4pvZ
GxUsv0TU/3RlUe9qjw3DrNyXBtU2bqqxf65DfpUe3AHpUMlfaPmc06kG4/QMLxaMlNKCdpfnyO7E
0QxtfY1zho8hqN6nJjW3LKZQHhQxv4QreZ2EFj0WBaGXc0bTQ6lC1nW/qD/tlvN/Y9O6Q1AC3rw5
AE8g8mo3lrq5xj++JLjG3Hh21s+RM/pmhmjfLJd+z4VheWJGffg8mra+r5yRwMlWg+cQlDgh1C6V
4M+fSb5747av5A15V+FTH3j8uw7IxXDpBqjVEhOMm50nkuXvPWDqt6D0Hz3fR0qqs9uL/eLgTGHm
xCovBRBUygedF7n7LSJrLsbtOWBVDxNXpzBbBBAwqJnmhWo3TCebwp8x82ad/YP6j9bbrnzPG1tY
3d1saXkwtQoOgfLC96UazbfJVN+BmeWdNh2jTOY5nw+lkM6d1/hzYmnkZ1ZWIWdYf3JK7Tm6OALA
oIXZPPScxx4WZq0mushssMWwBaKtO9a/xsEJGR+PZcZ3Cs/SMXUd/L0QlsctQ5kynoox0lR02zzm
CYZ85ACM9CHNayjb8nUk0euTvthTveSpJqAwp400c34Q9Ies6Rf2dysrjSbG0B5RTFVM6iiWDhWp
qGjn3SpvVd/NOqy3opvGR+a7/RHhObiZ6frcR61/r/32Ku0CGWyBSzt1QHkvuZz9OfiRZkET5/YY
3EXSK148ZiI3Fq6JLbbMOvGIasaeJzQzKFCGpJNO9zA47kChNh/FraogRqh+67xNIMWUbTXTt2Y7
q3G9a+lb2uPRw8seLHJnwaAnUPzjXg6+sS+9Mm2Ab+rihdWseuERN73WizIfq1KmxCYGxdH0Fna8
ae+f+nY2SgJRUJ9g05f6ObOLcr3CZNtsIk1+ZWTY3BC5uVQJFTvRye6HOc5BRahDcVux9ecMx6k5
DmeplXwxQ409WqAWhmMXXXUUmt1RLjh8I6mMBpVg7EqsUj2e88bLGSTnRCVElL516J3euDxlFiss
zJkLqKcj4fi00Il1ToqS++EKjwNGkZDBxDfik7T/mlVGobcziefsfiYQTkbhSm7WwVdZ4lauf4un
OX+bg8U32KxMj7VuV2vLMNW4qVtVvJGZ2O6GNAQmabSqj+hS5rYMywypxCX/djM2S/Nipio9z/zo
QTUsr0MTPS4Ne+Ox7afPtmmJs8uDcudLnV0hzvhs5ueeiMZmbp6sfKHM0Azs/RI21TXzm363NpJJ
cNbTYGroetx4g/B2i9Uu59pFvt96OoVtnYsqmUtrum5aPW1ctMDDhABwbwsGag9hUA7dHUC68rYR
g+Ler2KAeZvNQiPyaB1DRDbbFuMPtptFODELDfrFfexk5kNKssHrQhLbD2WUN9GGIogZLAFwJvZH
CMGa7Lhh64w56yhldNQ9oA8cZO57L3ZYNNNW0zIcHIjgE9YnnWzp1jTKNLsuZmwyGy7hoUzsMFu2
QKkzbXRGsLD6wJRez9IQh2mMrAdgL84CVm/sqWhFfJKrcWL4L454IMrtJJ3iWtBhAWM9Bb+aoXO/
/yFZDcUgy71qxNNYYXJ/IzZhihs3Wm4k9+MmHLX2qDMJw59dKLKDPzVswS2ZG3FPINizZnSUFD6r
c4L3stqN9qg/TDbWVwui+KbmfNwFwtx3/NrTlxQmRCFec+U2DwuOy5MWxPzZjSu2Xm456FBkYJHY
jMb2pYyZJJbsVTWTSD2U3a0LkbQlJcX9NrKLTKRSESmmVplkPOvYnPdrouxBJlMdHA3RzltA0PlB
ZkW0G0CVPzxXuYemgh4ibBjjXUfOQ1B0+b7IHJiIjoxwp2j8y6g7X/BOG/O+tl0YqDxC4hvuZv6S
zZf2Jmx7PfRW3bOVAhYklS1UGytyl4TrBoUyUl7SrxXnGy5K7JZlQZktYlYS1TzG8ZJW7yN7+k0X
Bc3BKFIHXx1PknbxW0oHajnGhmmsYLKOsyOvoyFgKzDuvjQ9ZNgDDXv1jaqmNqbHinaRL4Wvpsf1
JwKIe5OmJAJgqQWM6wzu3ZGFfxJlTKURsa9DDbpVyZmHzrKec2lGt7PKKiDswj9QneIldg3HYY5d
dypM6z4MsdGOIxnP8SSyjzFoS5yTF41fWH14WxFFHqvGrBKrTslrriPnLYNA3jgLXrS4KfKGGOXx
rYed21CDt3c9HGubTsw/8AOPh7Aw9RGenBxkDp7FZvZQX1Sb1fFaOUwfKLDbUjr+gcyUX4L1QHFa
9SpCDhFZuF11/4O47dcvpbK2J7NLiOCuuo1ynAQGysZeGaWnshi9DwQMCqwzk35vbOVmbLSqrJMB
1HvKXNVfd37ZcrWMwd4yqwDIyy2ua9T7e+YPAKAIjdh8Z2HOt6Nkv12aM5jlZfyjwlEco76vE73M
pMcDE/1cWo5opSznQ+NKzJRGb59LGTAREMN3mSt5CpoC/0tIzCcWiS0atjiGwgf/so3qZAfNfP7S
VLOi/+S8xlZsbRGQXF02x3YS5MNk87i+zJIUYOY9Nw7i+TNbqafCIBMhGGRwlfvOEvdKs3Hs8mO6
6H7cgBoMsAvTe2T1N4u1Opu8tJ/xo4JXzC7xuj6U7MJU94VSq2bjXIzBqN1zbE+p94ShzNt4urJR
WnIqgto3VL7xsI754+Bbv5gFs/+Dvtu0mWjxAdpvTk46vzO37o8Rn/DWzAZnK4zmWZHh9EsICINd
hl2L/iGxsPlGz2Ww7zcP4SrRnLqstOBkwvR9JtQPyGGeyUWP1uUBe4HuNnWYpoydiP7YgaavBZv/
xuKMo7x9NTnRQ8uCJTfC8Tqft5cGgP8DYQ/cCU3im9VwQqTfLAgJiqNOuuWrEsENMcnibvZdNtZW
ZXQb0rcLC0lD121CLLI1JpOZi1sb1+yR/8L/VbXhL4IpHogQZ/EIi/x0Cb8+rR4PV9il72klpn5f
IRQlyp9wHKMTA0GoE35YqEPTeh54JMW1JWFO7MssULRZvEYT83ryti73BLu8wvL2tsdO+A8BHB5z
XhBrpkMw9+9ZqE+KCz6uMWJA/Bk3iITsdWqvJ7wqOAlrlrs/dXIwALXpI3OMW7b6MTtT2pHd/nrI
5jPQ6Q/UU654BLEkUu25dwVO02YNgEKxNfypoge6Me4W230pLHe8krQIksPuY+SunXafmyJLiq6x
DqrkcDZ403hsZWYyuYALMyvvx59Ke5kuRZx363uVoUvY5JwQNzIUm1I6n6k3W49LSCy2r9ZliL8E
eG8M5kfWPgoQfA911eyn09AzjMIBH5MF7d4gshrMWbC4J4OJgTzy2xtX1mOcwnRAGhDKMiVBZl2g
WJMi4p7noxVpwu6LVXyMFtiaR9Bjs60Mrb9Xdp6q2For46Pzm+EuMGvjUPLAGza4MtUhxGl5HVQc
kYIoLPOtKrLTYLhZAq+5frLP4tbKRPNRlFZ49wUBaJlP343C//UHCBDlxnjqGUOftQLA9goM1/Gf
MICNHq5vBxV24ncYIJKO2God+bs/iAC/glMQdtEOcaHBXwpBaLxrpsYtiRLe/AcbUKTz05p53/7E
A7J+lQfugzX5YgSWKHxeQp8VPm/txwxLQAwPeRdaY/rRqEu0ZZOG4LsXaKDmkG5cLTabmusvcqCn
LuKKPYRUuy98YCgLfzq5LesPVJgpyv2/kAQVYV6blsMN27ulE3jn/G54HoTbXwGQhvMm74IIMy2G
8f0qyhREv7Te/E7hdFoKzyQ+C0MyiP6kX6ZKUhn2X7IHAVdPH5tikXvc38W1FhRZb3lgEawzTBk7
ppXqBcuWpNkP8rITYpV5+w1KqKZSHgTWjc3vZEJm1HNMfJt69CYhGT6ZlfA3HMNIU7SN6Lm2x+yH
l6Mp0p+RZmrLTG19WFHoyfjiRvs7phCMlzJIm0f0X1gFJAIcmWzrNYnFJ0E0FhzktOyzIu3PAKf2
S0kcgtp6Lgu2HjzrfiR3B/PCnzQDa1l3X8PxvPxBNGC9nMj2iMKbYTXkSyUM85aM+XVv41iLOLyO
zhnSMHj4L1kHieP2kc5JhqHKnrhLu5ZlddN4YWuzZyT//V+RB2eIsvKWCT8c278gD4NooHvlkJVb
VY33Ohtd2jjhpBOHMdSTqYPsVLoslW1NFv0XDoHmy0ZN+0RWfjEReQRahW5boMX6Hg2PBk/dDN8H
D3sKwDnsYBHCowBLt4Qm0SfN1ZCq4DgvpkzE6FfXAgsOgfqBZV53ulu+kb8j1cZXOAdzY6F6ZHC/
ODTjLKpe3HrrEh6a3EKPnrXYL6Ppxo6oQFeMYZE3X4AF01sAUWIdnkz2d9dD1y+7Cb/fgXFmwJTG
yB/WvIR8vaAWCi0jzsTY3IAifTdmy0pYnNKDn3ukB124i2jm1nBKO0+K3jmSwBnet8pXx4WMrZNP
p8lC6WW9dSWnjokdY8y8eTiNeTTdfOEYRFZ+tqGykjldTYra1w8CnvPYdoneSMOSsaKVNszKhvXZ
KByshwPE1xeuYYDg7HOyD+PfmI2ualecRhTH51gytxd5FgdJx17W1MNbUbtrzFGBmoNB+ZoH2Tjd
h0HHHJjm0Xr7G8qx5jxsSkyslMgDwV4bQb9dPOSbP5kOq6JfPOr0rVdp/rmZnkdHrXcLoTEbe66e
o9F+dTIWa5J3k8J19JZJyUfUDv4GQAM8asmz7Rf60QZGt7Otyj0sIBtuVj5oKpC3kBS4PCdTb6jI
unNgDzd12b+IsS/v/WzCYkJ2U9/L/azd+f2flIhjWiaVduyQ/zMq0kRlf16m/kw6dI17sQt5tFuX
g2BeG3ehAxYE25kfaem0rwni+uEawXQDSIcXgfUfDvOCkpDS/SoXbyKmSF3PQqjjUPcvX1rs/8rW
/0a2DsnT/O9U6+3P+mP5GH7+Llz/8e/8ozSP+ju+AIriXDZh4MTIwv8ozfP+FnDQw8USWQQlXKJZ
/yFbR2jT/AO6gF0vgIpDa2Z7L/P/+3+c8G8uoYSeyYbFJm3EdP5HsvVfsg49l8xh37IQwYEtLyL4
X0IKqnLOkUuj/rASRfUqS3kZMQmH/lrkwS5WwdDInejX+7qjbwNX0RzTthXFbWrShTkXLQ8cR1uv
aTFBHbYIcaQIm8tPJf0LFUT5bZiScldn8r4NjUuKUP3uGiS10Q0jyIiKRlrdTazcKsJ8wYdYHBgR
eY8Ire21UlIj2XiSQGFuukPQjynIEfjkiXWk2k4dVgHyV/A45hzVyfAfrjAl8lRosKcayiv3C3+c
vXEGXxwDXaTHzhjkQxtl7ok0gfcy6I3Xom6Mp6xvGX3BP++nyM4SdmHORnBiuwNq5OGhxvMc8nw2
Kt4kR3RmEPbZtddqF0VVvl09h9QG8if2ZkZHFEYT0r8i1EVEEvywooAn6qXY9ZpXz2f77JMhvSkC
Rs2429jN2+fCCp/SeboBGGw3uWofl15b12rBzlhX7YyOtVz+o7nuVkqcQvGaNkzEtSXVqVqz98hn
Rt1386Z2nHO1Vu+9N5eboOse2Vbrt4qkrq2gM31Ll/y0g06b4wLJk0vwSTkpCiEGIui/y5+Awd3j
V+PGcvYBU+A7pzKMnZyr7jEbo/qZ6gj32VLs3Z2WPR8qmwP+ymgDhKtncgmkrsU9Pm8NDGUACKz9
R+daw5OIGEjnBSg8z8A6wZALC794ByaLzDM82d8Bcg2vbhU++WPRYfuk78YaV3yWKeiupoX0EPV+
iKcs/MbAzCCKx1m+waFnJ5dY0CAOsrE521HKltnkTBrjPXXOEufbbVP0OR4xO1eU9zAETeq8fXQM
C7fe0A751u6ch7GW0Y7MUgKznNzH2s1+syzm4rIazxhYVB/th57H95FREk7LYgXEw2i+keGM48a2
1HSVZWwpdstgeN8C4qquECvMd7a583ZcMX5xmmc37PFZdjsrHFLOBWo1GYT1HrUFpcm52Svl+gvX
sjb24YCv6tcaBctNbQ8Aexknq6RGBhw2Fj2wbIisx/9d6FtZyPXfLPSXFlLWvv83n3TzUbT/aZn/
+7/xW9MMPTMuIJLnAxZFf/JJ9Kaa4QU68yykAZjOf67zbvA3cmECkjMi4jO+FvN/rPOu8zfCbAKP
CCEyf7/Ipf8BnsRL/M4mucRDRg7tFF+1pRxy/oK9rTxnHKa9+tClCXyOtxIReffbp3H/B+j0eznp
v74EaQj0Tlw6WElXsP7yEuky1UZmR/owXxxW3NAGLeyhz0f6z8/8/+NVLn/Fb5AVpe4KrpdXCdr3
0Xjv1E/p/Zv833/3Rv7CSjLqddtu5iUmfQ7MM+OiXn/+9+/CMr/iiH6jxUhIuTx1Aw6/XBmwY3/5
uMbaEMR49FQFGu3wvQtw1iYw/SAyCy/tERb5wKkvPREqnJIwYE47xV428UsM46ual30hQFbtXDsW
Z/ix3DLKO+MYnT2cq2q5jhiwMBTGVetIXPbWnKaPmGyYmwUNGMhasV4HZVBejWhnMfOC9wYjcBmG
Y1J3FukSwOh4IXITgxeHZvSEHJcboexVP0FDFEN35Q9TecyBba8Qofw3g+gMa5PT5HUDietfkQK5
xto0RsA3b76SWTMBmylZb/VUTddT1OhvheR/5oLCRZ7E3327CU5pwXCfmQwLJnOjvWuP10yT5DfV
ru6Z+GRrb0xBnXT0BB5dBsqberLcHW5HfBtKWIx2KoLYHdgCZav5wQkkv6QK5XUA8J90OrTRhtfR
Yv5Nh2dXRhmq65SfKZ1bvkeyWc+zBvKlaxzfa4ActEfxYlDrp6+5mAaCo6Jaf8Pc7zmgwtbPYVBE
UDNXlL+gSBSHc2IyniObmNad8qV7nmeTX3T5gDl634An2bQTywarNJM/jqWpvMZS5EjiWjPi8bw2
EDF/XxVHHnLNBLFyS1LhT9y0LuMCOf0oL5172v4ZtZH3pmwvi93JKF4loNHRXHs+koFwwH27uD+1
7IZok7OVwDhrktFQI9JvvFTjxjL5fQ2iDgnSmJGbyBufCwBqkmL64KoJp/xGkL6SICNa+wkZ/7zA
xhxREiDMBzHsIDfQbGzmnhtE8CyOUqITQ55mZazrMCNb1rUP2vJ5AVv7cd+XDFQaykARTOfHqtPT
oxQpPzxEIxdGWHhnItsZ+dVpdSLGzd3gXZuSOYrcuxBBDZzFsZi+DsLeYgAKbiU2azpCbb/Z4c1B
BVNkBqeEN6TWgzul2XnNIAUvXYP4ZRgA3dl0boFiZyY8/5B+poHHTEfZRnprw7WlcZUHzH5dqwU8
SFP3Dn+jjci9QmVrNoyrGPrr3gisBwv+5uhHwr9PDcfYkwXt3AcEhlwvrvecNr0+ExA/XjT/2cQe
1Pv2sR8YOE2TqjFEFnn6KRVengjxW24cYzL2mOTDX25Zhb8wqst4NMblagis6DMnUCrJph6+DvbV
TIxRRpuUfk4+jxRj4NbS6gdQO5/kOKs6yTNhHqzRWg8N0WwXacJ9MlWliSUNLZyFhmftw6Ad9t7i
Lq8hXqz3lpLNMwV9Ju2sNj5od8ImWgTFTBMYLvHvFlLbqW+m5pYETU5DeBNv4MaiO2Vp56mOJPEn
GDEM3JuWx5AvW+8xAjCyF0N4XxZD+0G733KG6VP3igShW3BO/9pSwXoz9pF3hfO13VtsWGOxSv9R
EF+9lXrVh56OYKaRJvvsTW9dFq/aTuV5oEeecBPMbMEGd623xdbe7WYC2n+5hQ/amdcdXsZhLn94
2sdSNrMIVUZDNlVqeVvlR95OrAL9npyBZgvUM4Ie5C4Te2aJNRW9JbPEPn8ilSZlXDTX/E4vxSZT
RkEaA/Vo5sBz9mRbnT6t1dpfeaW9xrWXFn1cUp+LuE4s5pFDnrdDkvcJ1MmiozdGeKx81SUCZG0/
5Hg4eQMYiePQKbGaR0yZzHUYjsZg1ryNPlwpbEiNBI8UllbbrKN4piwOo0mnFRJXqO7beug/l15K
lrG5OlO+yQymNNdYsgq8F0Wkk24OiB+xy/lngE1vZ2cUKdqt1e6XrqjZeZN49TFWnfUpg3bESBQV
GGCiqX5eR7XcRZy0UED4cbv1vceG5JbjqrIL9eMFy93CCOUO7kuielB3kXANaz5dJm6ulTXD5usl
Cy2QOf3RnWMI1mi8hGqbnxh1x5dAQbvNXs6PuoNjJMA/600r8KozEEUsaVX6hvG5e56LpiFke2r3
HnJ9Umj0wdIwm3ghwSE21VSd/G76ILlZHjl2h+RykO26DdPKPEAxEhGyDvNtRIstR7jcM5LBioob
v1IzAQMyizYrVsFDZ0SMq0JBVecACQdOGM7NqRwtBUyBGXeiG1rrA8dk/mDsr/oQFZX/SCqA+SqZ
8Z0LOJpmI5qwiD1BRsmFhCgwhwA+Qrks6Ulpek5pqsTOz+nzCRvrsnBW5asPOated4EzHKfayX9E
Fj9d1UBGzeB7V6nVRfvMH8et3RO0wN1vhHt2o8MRF2j1vERFtG/b3n/kiAQP6RJzEErZ7mEOMd5c
HnYwANjuykDdL34A92PNUdxFI+Je6qt7B+Pwh0W7c9IKLnA/dauT5opGNXFl0rhm+7PkGX60R3ME
BPD1MxdSdu/nRoa7aIro323m2HfHaF8MouXw4vivMgLng8y10+t6wZoWj4SO7G1SyO+lrPRZwwn+
nNvU+NbQVBpryVRyGxr+37+nClb612ryxypOejvTFdatV9Qc19OKRcap1lOJnpsYHmgJ6RghIT6z
2hnm5L040+q+IAS6Lyh16y1PKn+X97lBmFZhbIFx80OQpt0NYS/DQ5fjprYHsF+jctTt16cuvQZo
BKzhDsh2Z7ZQJxH1wVfe0Fmbvsu7Sz4O8BcX4k55nXkV9HgG26iUx2aVTiL6xorVYLrcxDj8TpO9
1ndpaGVHixyoilB4rmUSmvQ5MlxmDJxQrnRYqNtgbFNC7YIstlw5wxIT3n2H66k5+qvy8aul855W
EnDIEOVma2qXr1/3+gaXnL6x+jGKsyVycPPggGIJtKyH3Cg+h2rFMZj369EWaXtH9LTeAuEDqqyj
WJ/R2T0PLm4pEz2t4y4g1egaHw6oahWUDAFyYzc5dnVykUuvSrwD91awGEk6CHXXByOP7iBnAhL0
nYG5nRgZKnit4QIKWTltd6qej2CIjJ9Bp8TNIuvWitug7Z6mTrU7rPDk3hRtMF5Zri3v+gyIf5hI
vcjyWt+siyVOfeovO8e26Lbsq9Z4QnDvyGpvkNM9fKqbembZYH7PrYk//CKFXMLTwpkRS4+ZbC+t
tn42Jy4n4p/YVkeF9Ul/9HrjNv24dZfF/KS1wGb2VXTOxnDH9JSP3JhoqvZJq0WfhyoITv7irkko
1+EYrjZxGs46I3I0kT8rjOHdBegYHX0mpo573nAIwGGM66sn1+gJbCIhbL4m/6SMU370/lJGAyit
+/RAJwWWdIwMR3zDPuoTeX28o7sgR3eFV8xvyQnEAz8VzaOtqiHpaAohQTo39kzUJbMEDFXva7te
nO9t/+gAQwJ/FsZVls73k6A2rHMpDVtK42cIC7Sz3PbVmaC66S9Mr3kbFUENHSunl43DLgyHJQFt
tPegInir2ZcQHeQNU1wTbJOwQ8xPgkjrGEc/jBQhGWBOzXeCLb+P2rtT9ujsbLVcUgKt/hjmAZqw
Lp6gDHSM6podWK32fBCUMZguBaNpM+yiKnw1EGxjWV5KtL+y4sIlQy93MPGZoTTI4xAuMxDB+22/
suImIH9W7BabNyEtLchhNWdtAjVKNlcHF77XaIbv2TR7h7+Hxk1qhsfQ/zk0DjPxVV764p4ppngl
+IcYD3tt3kZDTN/FTGZwYA2EW9chE6BpXvXJLiKsD3U+HYwcR+2FMHPv3RC/Z4mo+SiyC1DWTKCq
Sg0NgIrvJ0xU0zgd8nxf05u4m/uKI7lZFyfEypVEAdl/RoNurqzIcA66utQEbJcucxaxCyF6qqux
/WR7b70pKKAbaBhJebjtdeeZtGSD1IFpuU81nKxc8+iS4zLuZDhxKzYNYTcXNQmyeeBb3KrU+3Rz
t1/iOdfrnXtJoGs92e2mYh3efDLQQA6Zc96uYSSZIObBqSIU7QVzKcadvp2cZ/PyhPStRhBDFuYH
1bbTFX5l94ZEDPlCSLd3ULJfTrWXzVcLheLfyTPCEo+z9RLhJdP7ORDNj2YMzHj2LfLW/sylsyrb
vSblEegbC5iDybN1OeuO7pSgRrrfnBaMk4AcwEgguJygqvVnNQfhq90FLbyvDuMsqzXIR12CdcDY
ssfTPApJDJmwnihYuXVgJSvrEniWpmrhByZfL0/b08qpYtvljt4skPDZKPR2LJonoy5eVcuUk+Zv
NGCQl20bQWxXlngZnBI636/xOphuQMu4x85439Gt9tRVTXctdW0fB+LvqVTLiJkHFAbuCifj4IyL
0Rw4LvnGz1XWxERCuR+tyQ+fcSYwDRZTuOcUs2yADdNvtWPIax6K9T1bxfKD+PbuW9lX/auYhAqQ
LqmqwmPaFxXmMQ+fbVWxpXGpTji7jgUvMHaFeq8GCpk207CUp9mefmZLuJBNETJyjkJCN9jZfm8F
FNSKdWTrG9Wt7i6k9uhA4krIxnjhq7omqg3aMuqFBIAOs9uSzdCmdOtyTEgG7W+GzE/JzintB+7/
H7IFGZt4piEeBzZdargUyCxD8iPxiHNHVufPahgB/mmLSCzyns4jzuRPxxDvbjkupLKrRz3Zo7sL
fAKKjHYhPq/XrOzCcJjQTvUjDr1FxnneDw+eWY9NnFJU5ueTudMzFhGPK/5ghJ27z3M/uLYrf2Vx
GabgCJXJ2bT8D/bOZDdyJNu2v/Jw5yyQZmwHd+K9u1pXqI0JoejYN8ae/Pq3GJX1EHL5kxB3fIHK
QKKQIRNJo9HsnL3XFsE3a7SwW7ESLijrBxs3GJx7jjp8TwIv++pnDqX0wHtCJ9hf6PCKt/yUf1h6
ZmT+cFIXFWDRjN+Cye82xJa54Eagg1153tRvuwrrnle4QP6CeIAD5HFTpO88OV1o3kddAXOzjXhh
K0Tbfc6eagxtb2Np1raB73jLGeSRBTm5Qd6Pnhj6HVD4xl6Xae6/Fl4yLdOKpjMwCdKqBn/KFxbc
soWo2N0ONa4EUAj5XU56Mjtc7ZhlM0zEHbOjH2n2raPwF9mxLa6NsJO/jCDPl0XcQ91p0ar4edje
kHAUXqZWYn0xyxjewBJUvta+xDlRDiFSTDI/kaSXs+SkGfQj1Ap7l/ZluyyapNiOnUxhywQINYY5
vt7rgKOm7X3QTv5icHT7IINi3DZ99TX0cmcXByFfLDaCBxZSbZfBH7pkK+ccaMwG13WgEva/Rf6r
RUWHzqQpv0kVly+12wCWWQQqTL4VmAD1C6Ns/Qss3ihdYfIz2Wpxj4oOFzlROJZ3HaUk75B9qdRA
vwh9yUZhUuNoFlbedT5W6X2e0ZrJwNtuwwjVVEkJ694W9U/aVO1Cn9iqVEpWhJj230ElZQcrJc6S
TRWHJNWNC0KB4z2AAmPNcWKnCREfeP+tZyezH7OAvTFcvmDHrjBdUe6AHBq1K6KC/SWJvrdi7HsU
nfarwxFkiKdLq9KP7KFQrKGGX2qta3wHw9BfEM2GplGBSNQT1KjY3ncd+oxfyPwsmDKaONaD90sh
PH4MePUeMM/S/rDqQkULrxr8Ve0iy6T/UGx1b2jXIlJEejRBt3DRyX2CyJ9rqW+roISeOtbsTfcM
fJ8ntVZ7SAV6eLeiy079rsN1s4zKgjmptpzHs+3HZdd3lV3CoulNGjRjoQDap+Zv7BMD+ySn2o3F
DLOs+SPKnGGdBmW6+vuhDCFRcVkC8fxpuLte2yXlR4MLA1NyP8Qmn4y4M6502mh/ZWnHwMxVEUgv
sETjMqPD/LYkDm5KH1PJUHmVt5fAI5OdXRGr7DN5Z3Bdti06JtffX58wJAYw17Rm0v/bQa3INwTo
U0SdCXdRABte2BUlO86k5ifX9zZG4d/XxwtNC8OhS26e5hATJwarD9zgLhtD6S9SYsZY3Nx4nwgq
minlj9uS/KdFkk7hVZsOwyfjz5X40zkqJFBzVPVzj+akUj8GZhnqSYAGOdMowOdcoK36h4/v59s4
2H9fpBRMTAs3uk5b4O39HAw+Fw2Qlh0tVIOaQTg7Jh3pX6eCvvc0CmxXrTesi4pN8sdDv0Ui/Gdo
1ASQJYA+n+ahepY5GIGQ1VwkwXQrrQar2FwIdqBt01QP2IGNISSaj4edZ8jpbZWmzt6cJytsQ769
YlnjZJ8bmTT14/RgZN0DoTbIom1mrecwfz8e7ty7L1ljQD6gQjJOAzACWJwG5jqGqxvrXgm15fA/
rJXv6J+sMqdJFL9fSOlZAuAA2g4e6Nsrg6f8z7O0p7b/Xv+em6Pf/hiwIiy0OjWuKCnrW9ud9Fdc
UhSTekrxH1/uuUkrPZcgS1MKEj1OyBqJIxsMI3q1k05gHq22oJpPDN4no5y7qTzCuX0F8gDL19sr
NQffxI3H0vN7FejwoyxND2yWQUToJ8/v3AWZOhoVU1KV9+Ym6p+Nv2QACTemPQtqr9KV6Iuvtlt8
/fub9ucYJ5cToXqw+VDDKxbN1WRXW9PNjh8PcXZyMP+g9jMVLSx0b68Dkr3bV6KpdiV716ug1cUB
WzONsq6PnkP43GscYvpNUNFmKWUAk9aXn61o7189qesWLRTeP4/SxcmKZqILlVqB5gdPGypY/OXL
3kjUJdEHap+U3mdZMO+fHeOB2PDYRwnDOX33FMcqdyyl2mX5wAbFHo8OGOJPthLv56Kkh24ZFqVd
ISGBnNzYwGgm0MlqFzVBu6zLIlriHrl0oN1+MhXPjMRFuJZj2oYlTedkmnh1hGh6dIsdSxtkPa2+
kKNzX1bx48dz5cxjMhxToA205t2ROS/cf/S67TJLyGKCvI5XHcnLKygo4Jb5MlL+4eORfrNJ3i7G
8s1QJ8sFNSrbz2yGajuPwn0O45rEC4BMg9e1a9Xl0wM4y2xLppNfrZRJdV+vlP9ic2RdN4RvrGO6
v1tRU0bLIJVlNI6m5GC5MYAQOWj7gDieKz/lHGgqYAZEcmprzlXNOhVozg4kWA3XPWEBW+zidgon
yoG6bEfTJxdqvgUhzR87vuD09eAgWYaENvH2nqaom6WHWXwH87558oCOXhvQ3Ebbjl6zqXUObZrS
P039l2pIAtwFwPeSwd7bdraOYG4sDRBVuFweMp+DUQO2NS+yuxKey+STRgDcRa3n8LwF7FAH1GKM
OYlQsW5RdcI5aLHWLgezMHf0tvtV07iCCLIkXlHCcy4Twgh4wJ6/HFiv8Rj2SyTNAAX5rnrcLaFx
bsRk9M3x+/yTj9aZuSY8dAgoWCyXLf/JXPOzTrH7GLkvsVZD0fXknqc+4FLCUrcYsJnvPp5y7zc8
UgoHOJfpoWGEmvP2QajC7Lq+zIqd5zbmnnprtlZB1Vzasmy2vhs0lyGl13sz8oKLj0c+8/qym0M/
KdDivD9zVMHYaWFr4+2MxvEZGIjxVdHvuYeaFf/8eKgzF4nAg9WIWgf/nG4d6Yty3hzbfJd1FV2R
zqCJRyeoXmlxXu3B1kfusqbBPi5wRnh/v0yxr0JGqpM+5aEzeXuHHZgmlJ3yfFf7BdHdfX4fDAFS
j3is/nobgHyU98lBYUTGgHWyIFIDqoPCiNMdgTdP45j3K+Fi3q+QIv71NGW7gWAKYRSnj3dq1RK3
YRuAIkRX0PYrgKk7TcY3fW/ZGwpPPz5+eu8niqnPymxhEAyFnONkioI1KnMzVVwWEVw7jfwPeB0w
+pZzqGL9yT18/wIyGFsbtgYWDe3Tz5dCGxJinOXKNPM+lNoTuQU/4kHeB739yR5kfpffLvYMxbEU
iazg82KdXFeGbJ0oE4QYswhTUiv1ADQs4EdMiynvDpQpP9uNnh8RFTQArvmlO/28mKXjFvOIyugO
iVe+gsy/l1VCZmFop7gNxd/FiLHMmzobb1ze7DoY8WRGWoAe7MZ3kp3Wtocx7XZ4y2+gEX4yzPuN
zTwMR0Msi+w+TgsKnasPUcSP3nWa0O41Jzf35cAX8eN5+H4VYRSYYihJhW6zb3z7Ig+aIA8rNpJd
JaloUelZkgz1y8ntY4yLagkJZSnH4pNVUrz/UjIqC4djWRa68FNhuJ8RAcGxD0ccANFFn3qU4fIS
xgl2Ko3Ia5rY9ehB/tIKMwmXzgTdKq91Z0v+QLBP6SPj8XTup9FSdx7hLqugLNkczNsCVQjrAlmc
/eAJsmoDAIif/PZnHwzZ2Mw4dO3m6YNBkhDCw+HVpTqdr2NCgg7aQJ3z4wdzboHAUDyXlDzhvNty
ZqbiMxIU6S5vnHRRFN1OT4x712k+27WceWEJxmNvyzqEkvpkApAVDdZZ5SxEQykRsvjhfoCxtPn4
as6tQDZbAPh5HMq5d2+n2QT/aADUmiAequMFwSGzKKZt1nWdfuti8+930ZwZkYnyySAuiJzIt8O5
DcQTBFcJZ0f/x3zvqgiuUeU/fXxV514eDNy2gySXg8HpNB7qBMdgwctDGpd7m4wGLTbf+kGzpdhU
geV+79My3lMtrD/5VJ1b81DEmuyrvTOHHkqnOtTWLtkFgbhpcu11ioNNGT+S0viF5fqT0c5NeI49
GD9xO7nvimQp1+jYgI12GBeSbWZbzrEXsbb6+Gb+5oSefjq4iQ6oQ0Micz5ZVz1SIFoiOpKd2/b6
IyFqxUbDprQgUKhL6c05/QPOVRAARdPdqDFPrq3UIfzGRdOJ0RR2WgC2z1B+u06xjm7Cto0/O90a
Z++8wwmbN1Na7H/ezqzKr8GtZBlfm8GkTdCoV6PxChhnbr2PHPepHahOkEdGEyOX0WPSEzDme8XX
EEXHZJfNoewzc08VycNdqJGWEXIdH9/IM+8aPW22oI4jgVqefhBTh98hAgm16/MJLLvRbPQZgOGn
6FfG14/HOnM7ZuTpvK+Y8xlPtzHCGHXdhES8m3zjh07BYZVZ+ms9pvnO8fJ4PQfmfLLDOPPSGQYd
O3Y0fLHelfW7Kh0HvKRcXmw9h1GgLQWqHfoY1QyWHtWDqshQQY3R7f7+Wg2DKiYVKTaIpyulqZGy
VwHC2XFWu1bAwqhKp0eq8QRwJMHj6FrB3+/bGHAuA5CFPmNl30423pWeGG9V7DRitZdYOVElAJY8
9mRR7DKyDj8Z78w3h/HYQ0k+bGwWT97ADHp/GBXc2gFA1jo1q36lqwIHO4rY/8lQxDpId86AdU8/
oqVjRk2Wc0QzvCK/tVJofZXT2BdRaxifLF/n5ugcljv7EOZK/8mWtEMSl09UBnZ11t63YfETrPp9
WvP8okAdiYNo/vpwxAKG6UJYhqB9cvoCGpjnCzA0+W4SMzLQ6e+qtlqV1AE+GejMwkxJnYBZSeUZ
G8f8PP8o4pRTjwLM5wiYBtZTAKDOndT9x5PekvyMk1X5zRgnc8LTYtCtJmMg6DcWZhSVh9qqrTvR
2v7CT/uau6j3C6sHXk/WU/BQ9BXkFRIAtkS/JBT/WtSQOXYwSNYo4IDnYM4a010kcQZPphkeBcSj
ZT52/otf6vk2qxFncbqFiNkF/j60XJoUpJPeWsachRjTvr8jDg2xVW7UyQb2aLXVO+XDPUI6ehOn
OrtDMKAw+qPqJhyccEtixLhPLSSanQyzq06rOnAJ3n1UJPWSO5xsMmpF1SJEKLhDnJjhmJ7KtU/K
BGLhpL8sTAmcjyTtzce399zc5CsO1IvOIX2Kk7lpq1o1o83cRCb8qobm1Q3LG1NqG5kVxIGQGP/x
eOfecPbcbPYo39MQOhkPYFuuZDDmu0Zh4WYd60Wyx8L8yeb1fVvNpFZKY4taJmU672QYcyA5CdNl
vkNEfgS4RDxl735XyQNN6CsEKcvWEl+DKv/kyCTPj0uVljvK4fp0Q+aVmcrK3qImUowTkCcylNyK
+DiMLjqYttTjjKOszF83Mws4zREJai2GZ1uJbm+h8rfiXttLvdU2RmMCbUUYyoQrt/Q76WB78TfL
6GawJlLAxJmCldcYNrUXZ1pBpP0igHEu3clSCyiEwFebCfxIzO9DtlP5E8+HcRu76bQth15tcHTx
/2eTtQzrJl47miMeiRH47FGce+IQow3HE5QZpDHfsj/WiEivrSxPunynN68j7d7F2OvbxMAs+fHM
OrcW/THO6caoK7ssLbw+37kWUbE59YZlFobrjwc5t7WxJZh1S9BvI3v67cXoSpSFMqt8R9OJCF4L
aJsungr4fosQlt7/YDDqlZxZCCB6t+21KxajnLg+9Hc28Oti2nZmuUEBipa6iT65fecWApuyP18L
LHvvNr/pOEobBmq+q+LqCGfQhiAzPhVp9bOJ0CyE9id30jg3L+aeNwdYJATOaZ9mqsuU+8s+LR7S
EJeXMAjKrfo9ISDmqpBauDNL1SyH0pN3ke6HuzHA1BAQHnHlBi7W5MIcHxwsQdgz/IDsoY9v/tlf
jwWRMhL1W5K/3z7pfvBr7NBsc3pV/pRe8BiK7ktKjNL/ZBzH5aTI8Xe2zL0dp4aNGJbo8XacREuq
Oc1rPmpEKrbVJx/Sc9tWilOINvT5D+fkPZSk1lg+2stdg2ckrJG49vkR4Nshdo2btFD3Wep9Uqg4
97b8MeTphjWezBSNng7erR+2QVv89MwUcTuRQEX3yZlDnpu/nEhpkrF95Cx8ci5qetcswYhmLDNi
/NqEhNxEZPdBdXaB5RLcppUaDmVWZMghs9dAM2ZlZoXoz+vqJ5OiypOvXIKdBI4FXG34jCAMfgkm
ryA5KU2XGfjUzeD07qNrsWou7LxGMKXVw2pK5tJmIX7pvcDOUrgrUKRfwVJdI8Up12Qd/ozcDjzf
KKN1m40CsCi4a2LVrU9m07m74M1O3TkYAKvqyV2Yue41KT7s/MppPzWTsWh088kqrQtqpk9NNPaf
DHjuEc/OLIQyDsXW09texkZA+CevSaQ8DV1cW5WbidPvSgY+COJ61qR//GL+1k6cbAhRzAgukNeF
Y+bJNQZkj9AlTbOdDb1nCYze/mKGRrfM5WhdhARaPpYic1exiXLyt13ADZv0Ea51syZu0NtqfY9y
/eNf6sx9Z7MxW6A9jIHvjrzQHVyABTLdgR0212E12ld5yLZxBND5RGDYtEMX+e3jMY0zRUxUCVR9
5lXbeXf2DQZrKv2ON7oGuksFIDChTYErIGu43nrkfy6YKSgnrXTtBVW4HOnJ4LwwjdXHv4g8s1bO
vnDkGAbHHPO0vK8jjQC8HmX4lmNJa2T2NUQynY5oq4lg5844+yZGjYzFihCtlCKyoWX0UaMq7G6B
E+mbEZr8M3gvIHvNpD+zLQae1jOlcEwB1Rw8a4sk/ycx3QuW7G5t2nG4Ritsriotb3ahrZz1EALj
doMLKNLyS0Kuyw2vLSa0kRfhKXRb70De4YvejsknB/Nz108HDA+6M3foTwtHlNvitG4k158mw5cQ
WdoOJlEEEU4LNx/f63NDIbxGa4Abnc/GyQaEppNS2fxZ8goZwrd0ZzffUCYHL0yDp4/H+v3cTt+0
uforOb3yGTw9/kNETNs+izgcdBaZkQ0NY8xek2lsfaDjq9xJjQsDSultMwgw90ILjqLRvKUp03Jb
5nq1//0L/S+n5xN8A8UXXfzx7Favzev/+fkb/HD9mv387/+6iup6/h8nmT9ZPf/8vX8gDq77L8py
tPsEnThOYDY/8h9Yj2f8C8GoBYqH+fYfTA//+h8sj/4vFjb8uJ6g3Gs7lvs3WB6yo9jT/Dmv6KLS
uDLYZErp0YjhF3lzJHBIfE2o5+6zGEuXE+Cp1EQNhHTKSndlNaHO8dAil00YTUAiyW+MbAcZimNw
MT5MfqsUXMxaABYjcwursTFilUp8MdxWkZmsHCqbL7gyCVckwDFqpws/csaWMLqZp4aW5spzAn3H
b8k3agw5Ll53YY6DNHZlC9cXok0VSpycMRWdOzXrBavYp7zR98Pt5MweUBmOW6cz/UNhDVggbbjm
l9BuORGgXyhf0WFMG1f3klXeanI/tlDsF3Zoanm5S8cyaKsvhj+12sEdiIBdjBqbth9EqQf2podz
Kx6B/AfROmuDAeIP7jTrJdS9Ec+P1xOefAHhO3Hlos8ImLhVwuGL5gR4ia5JigvdTUEvILhDI2dv
9DTJFDStINPdjai7RgcvTQt1b5jzfxlgX3OeB9DL+dZWZIyQ5RaxucEeniwhzDnByujdScI6TGyD
tvEis33dsbHIANifxuAGWH2xLvQpxQfgjGpO0lTu89QOjbbODWLZ+lw529aeqIkSn0jOTfXdilV3
7bgx8M1ED+QutaVxxP5VrHr8f8+UNeE5pdusyvQro3bTLaG6ZUXYIRs6W11UWb9RpipvEcALJkzp
6IuGzJ2lNnqgtTESPiSllZBnR73GSfNwSTwemd1ke/6ckbd3bg3XTnmDwuGieZswNyJsAmB7Ca3B
S0uxfBU5Vb4ncbA5mD7NKcNI78I0To4dOYk5/E/UBjnheZrR29Br8/3gjfc4zymRap5Xf7OIIrjL
6AGtBikjaKRobPS+yS6gZtbruiTyDr9O+lB0QKaVZoTbYCi873aQKGKN0dbcdpqtCAOnlMIhaNSv
vdEFT4eFVDtwuuVvjXquHyvcjZjpAJ9Lkd7HWile4BWUwRKk3fcIaeqj7fJSmb00N+zIzH1A5g31
hiHbV7L/6bOpfZ2ItF57JXL8RRcGzSvZxOt4ipAKhr25SMr+ojND6yYlWnojAUhkCzvwgeUHZrIv
OCaTu+Bg2RKtS4pmTia3IJzbi5MUVuroLVuzwFPbFsGN7K1il5D/e9GH2DVh4U+EFpUWJZrQuG67
Mn5WeRi/8ETT7TC08qItpnTX5nl5nXCa+F4GDZYbvwqcQ1TJ6RawUHeZNQqDaQTelQRcgI1j3GQA
sjTJsiKH6AphrDx6k26juuKV2KVD5Wvwr6LokNuBvGkJILrswFo94XMmRlhSoSAPvYuumjBR9/A8
+jm1oTzIBOedNkTeC2fP+LHq7OYCzT27lKF1YqwRziQ2RhZmWBE8f895pN+ymwlWeuy5m0p11i+r
q9QW1d34NMQksgQelr+kJK2H9Ao8OfmKkp++6D3CT4w82AuvvBiRwC99D2JXYrY/2hz0uUzol+oU
XMkCKouVQf7ptsJduhEhHq9psNW30rfaC51smg0Qwmhp52Z/jAtLXYcUNndF1cqjP/bjc1tE03fL
N7ojN8S/GYqyfZqckVgcs89WvCfNqsiGeNenJuBIM7bxgrZF8kBNLd3y2HlbtLmY5CTlD6nZzXZy
4YkhqtJJuLQHc6GyqoEf0eUCCxO0iVhg73ZrS/yaBIHyC90mInXUR/zHwrgvQZ1fhX52W3aNdy0K
ETxTrUhhuntqM8hR6xZELZIlEyX6ldck3rVWZOIINIYYMIOe/WVRGKQppMNNqtoSojYv6gFAubma
TC/DMNU3wz5KjOBQFjG+TBdULzcjv2pB7HuOZKnJ0/xCs634IOBSfLHHzBJLvdGweil7/B7GPb4m
2A1AP9s6jnf1WKtvpLauBz3GPzwk3tpHBPA1bsnMSkE+bxVV63sSFuq7ADvLNWhfpNKtmmBmjIl6
qPPWux4sktG6utReSYfQ+aIRA5NGBUnhvD3OZd7344+ZgDqSFq8s3KVWf9CCrNv6gOCvu6aSB4Hf
ZONGSj32pB/cDiQ0rUazm7ZkPYZHvmzli+21xTe3yZ1fYzRDYu2mJgbKC3708FXWZjTR7YTk1hdu
ezHip1pR5myWkEpwdHtare1dbD7Q3+q0e4UCYKTLTvQyXdqTFh9mUcIj3YBmDfG+2HNKjoD42nHy
C2+j2nDOVk9uANNiTRh49k0GgbvN1eBftYbvXnQuFqsU5uM+9NwdogqRLkbB922Rgiy+blD73sRu
Vl8lBjgGEkYLpBZac+U3GugKM7Gu+5RwN63L2ydOqzb5IhzsCYQnBA2DWt8ey6Am6BoEwk8dX3BL
yFfE59rjHoPFaLT7MLTsFxXRvh5gXpuEFKBkmxdtWrvT5FO01d3ixklyeU1BCokdom2IcymGxNi3
3K0Dj2aeE30kl8LTFGkENF0HUq1eE50UZZ3EdbOtiystyK0vbhBAStAHedkTu8wyOIpbjtL6MvDz
q/kBHhTGl+3UtMsO7DlBx0pctW4DpQacGxScvLgtsDY8OG6D39fR0o1ShbXVQLjT1rXhDNl8HNME
/gdhk+V+nPT6SCKlCXu9wo1uNPg+277zvhhWDK1Q1WJDejdaQT8OzWUGROA28RWGVtENHvia3Nn2
tOeWvS4vXb/qeeyAE67wHlw1pj0cvEa4awP2+s8QJkIDI6v3dn6jyHYBwoGwrCbVxh/rW3JKStQK
pdrFoRC7gaLzcrIibdn3kzdtfaNyntgLCOB9Xjxi3JTOL/wp7UtWuNYGkvizpVJnrcXeUQqgBVyf
PrNFe8o3giUPiweJsIe+rLS9nYsayoNpVz4fbTV9j8oqU4s68vuDaCEGF3zeaPYETE1i/7I4sW59
9qYbg/7gRWsnJjh3t3LilUS0Fi8HFuFrCbJmVavqkTNOdtP11GVBauvmlu9dvulMHMlpo40bjYTq
nShS98YxAFPAQ4te2KDZZBvEIKrU6O8IJfCBACQe/nGjMpI9ce7Gkpmd3oKB7sIlpuyY2BYdWlAO
7R6FTNLf2RWw4X6S/d7Wx/ymSVTPeyLtisnhkThaTeEa6ZbYJjrLChVfNtMQEAjOaYTef+n0NHjQ
kyJ9MAV7QNyCINUtX6kbMhS9i4nAOSLiLH+vO2WbLQI9JkY0IcoGn1zn76O2q6bVEMj4EDcemeKI
P6OWLaZX7DJFbONPmcVO7cGybUbD5ciu3Eu/g14+NG6FczBUR1ur5ZVpVuO1pypj5SVRsGwC0vHC
vJ+g/jbB82S7F7Fp3wc2jsZWRNd5ZOHml+YhA1H8NUJevqhGKnOQE/Au4jR8JhtR7Ee0aouuD+VK
tbBxSjm9VuH4LXK0o1tSKPbCzl6lkxEuahXpGDfzfkvSkLlMrHQ5cES4iFIjW6f0EnksctOOrrn0
YMasZMrmBpv0DXHj8qq2zBejNjF2dlgkgyRJV0niVoALU25M1nuLNENh7UpJyoVj5ocgVHKTt+6G
jNbx4EbdTUjt4BFGY0raylDAtLDziggeARFBG6Yl8YiEsRE0Adog25K/2JP4G8uXEdXcNoY7s4Sr
sfV8y7kZ7DBZlnaeXOVMv1eNAq9wLP8+a2p7VxLXfbBErWNdT6NVF8ByntyKz1wdRvsIAeNmrJtp
Wda+tRzNtl+UBLtc51rKlz2JxxtL5+JoHQGmaTLOCWXVLO3S+Uwnelqj9jiU0iPCxESP5X0TIvRN
gsRbN9rH9FRnxqnjH6rJZZW2Wjg0UFrUd0p4bs4nG0LqH0fm23+fPz9i/M2DEyCIYNu1aIWeuv4m
gPHEuJTR3hiK6vsU0x0koyi8oU+b3H081FyleXsA5jzj8s98+nWxiJ4cgFUU20OYMVQpVL7mHQFl
kY9B8fPjcd5VcLgmxBsgeg1Bfqx9qkMDWTSa2A2CfVv64yakF7m320GsU0JCb1WVAEEhPUsnJsrM
Xksn4ETdT0F4gwpvPlz7Ib/dx7/S+0c8d1N+t5znRsRpv6PVG8qxnDL20GinKz2rxq2Me07QpNOR
paST7vR9aDueM3SVf0sN/7d+9En9iIc/q/P/H4ryXf1o+7Ooggjp1b+LSvsf//1f//yd/9SO9H/N
FGXPdGbBOK8nj/Wf2pFr/cvWPaTWpE9Le+4f/n9KSHL2FFH6IcwPre/fVJCok5y+QDNrmh+Gbhjd
iWVTq/qzgkTcXu76hZuS7hi89EkImgbG1xrJwTNVyy9Vp+1yvVXPbmY84y03Nq0zUkXuDs3ouOtJ
U2Iv+2zc12BKFhQprD0bznRbjTrpsVApllAcql+jz4eiCB13Vbi1fqkFafkV4rR+p4lRbKcZr88X
gWWTo+TGp7CwbgPnDqe+e0uQBFtDdhB5T7xTg6qfWAeFfQZn/GrsTYz0TbVUXXYz1nSBysYkMDUF
bo535ki6nrUqnN5ZGmPf3s8glmUwDkhRIlLOTM048um3tnUTPNkmKbF0rNKtk6XhVaNHxkUs+Z10
PY9uDbuu1hZ1hFtXOmzv08d2YD8lh2kxKtvaZU73WrQGgljZ9avKLIdvEfjoi6TnMykJAlmUqbK3
Vk3GVWVW7P/ysV72hMtQe5c/GiT8G7MV/gp/AvZop30V3UiSYNMdYi/JNnCJ+1U85RHb2DxYe0RC
9qGT3wEk2jTpuJkK7cYfSSBqNTXsSun1i8EpjDuvFOlz01nlk9XFm8zrj6gIs7sEH8olULcKhKHr
JNSn2vSqwkjYkw7W6UuVq+S5nYromMjQ3Mtaa5bg/PhqlkFXfVFSQyKBcOTCTMYJDEBmVeizbXXp
h2V0XRVp/+x7ov7Bquo9DhmnbHTPWDHw8rqXYedl67pPzL1qU/fo9D3BnHglArB9sHca6ZYvThTT
OI8xfD3mCZ0PdjreVofMeG3mYP2AJKRFsgn0kpwUJcjGiCTQx8gTLWzRuahZizKH3e374DgKPT8o
bWoVSae5wyYrTXqSx4osutaborgYUdFtRO/EXx1BrQjiDdUJS0T+Y0zI3hdX+tl6yKLiiwH97lpC
5rsw+9i7pGwQfy1LnzWXjKoowFwyGWx8cWc2uhxuSVKIrtuGWgdONnNYU3nm+fUZdtum99OFFXHs
qZRrvipdgtGLRv1b1Tpyr0nZEt9Q4/8MqoL/BlbrLTdQW3bDGLHv0nXjnoZwfoCKF20d0Y7tSoeb
diuoKz5aZO0kO6vuuHgFmPLOSclpxnWmD3eJ3RYXdWER0SRHnkPppvxAoxlCtU6pfJBPTWrDAHj0
hTCJaBsR1egsqCC5K3KPa3vhzD1A4i2i61GZ9Y9ITd3WaGX50xqq4dZvC+KO5t8s9uPS3ZAAy49P
sZIdg4mkt8iqLHsp/dA9mgNzENxM9isFFnjIrby9r2MTUpo96+tAx44rWkHjHVmyzYNDwt+vNPVj
sbc6FpEVLMcRfA/1mrg346+/ZxoIeEYDvwLBxRhxD0RDjyXO9IqbvsSZsCA3pSWdWaWPxNKJp54I
X4J0M9M5Vhzn9kXiD3fGQMRHVYE2F0HrmLRseKhty65Ty3DvLYQPYyklZ/AH9E620nphE2ZjjxfK
N8Sdr8fuXa+0bB0yI0k09yz/K545tejhxKFk8wd+UOcyooPweZMGofYFrFe3ney4+KIC4OEFgPH1
76dFyGHxJQrGGgNY4iNvRO1DFx7+7uXomNYlXVl2zfRwodzYAT++7cdg6aQDs37ij8h1X9iqjEuh
MLqSgXpd5+F1B6ef/fx9p4Ji0VnF1zxySYWwiQB1r0TT3uh9cBt2MzS3CXdZXP2yeu/CkwUuYJpS
uXDuoAxTwAy3jT09BlVtryx9cC+pl7LQ+dY6qUFMlWOxJHW8uGv4jrULIYt2a0SGfQcP5gGImXFt
d6zhieGCknFKSQZQbi6jjGzgwVv1Q7zCknaA3+TfGo023BiDiDduEYCaQxQebu0iiReu15nrsUzI
kC3BJHcdqPnGTVS40irjR44csVPiJ2bp4kKFUXkRT229zgXBXlJY3yuj2eWudcTfkoIDa+UN0ET/
BUL1c62538e2IAQnr7NN2nHOz8a8W2uZHFdxPeH/FJWARWrbxZcW6saSFIPpB2TlpZhC9tkTSK2y
IYM8bssDVT12Z01IhObEA45sYzMoktHjfkwuaQc82CPxco6HsXoYs72OiB/Rt0pWutuW6yFPfIIC
2kMZUP3QCJNSOslfQ17otEp05/B/2Tuz3ciRLNt+ERMcjBNwcR9I+jxIckkxvRCSQkHSONM4f/1d
npXZXVkX3dX10G8FFAoIZAySy91o5+y91+544+8kuIDIxnupg2cMNWbzwVh+WUtzazLP/cxMShPE
1Oo/XEdj1ZnnL72h5NuyaNaGzzr2T6bLUB8oromVz7bep8QrGNeV8wDfPiFPKNKBTX4xXOsIfP5z
W6qf6QLzQa9odJ7TDgCQlYxZH9Idxw68WrthwyCJ3GQ41FRP+RNvq27DptKgCG8Rm8kcqjosB2Ad
OevbSCj2ksowm0/2mvlmLRlCSctS2d28DXRLRBhL/Ega4zc9RuLWa572vtnelzXDhy70721q7bAy
xXSlNUsA+pFuW2vKsaza2qUT9mu8VDpLXBohZFYl38g5UlumLCQV3TtP9HFuuCR4PwVonptrZ8Yr
3Nb7HQJyOiswZyEpEE92MJq0NMJIkq/SHfJAKFF+KuoRPvuuK45+RxFYlag4qkdt3PJMn7a54s8m
JBxQ0fWrG8v6CZvzHDHLcrMCuBuwZvGuzdhMP6iALn5MWNevoKHrkJzCEkDqXqOCTxEneZ8NbphW
UJriHH4vxUIyOaOn5MZRmTGUk1StztX02wEsVVvqfCSSL70zaw+OQSVfbpkzBeN1rd8VANwmuRzO
rt1RL29UQKDq1m5Aga0Tj0FCxtca1s9R3N2WlIkDn1Zt/MVvs/425UzRm1W1CDm9X2nXHmjsgZtC
vjP0ut1kcxGHdDfUdyvH/KsqTfMBAHL/OnXZtG9St/3qtPS3FZyFEQYhEE7uxJZNUKDNvuWQl9zC
ynHUjnrNAQZEq4VNb6uQsRlaGyjpbZ0ZNNe3RbtbRPHuKki1qounh9zR9EsXswUorLrbtSaVJMOU
g0lqustcy63QtB1jmhMW3vpddqCcqC4mnoKjs6MwIweOliLTsJjrw7rLxW5FYp0z1MqOnVJAhaG1
tQs1Pq45d7x8rBVPrtF7WCBPPLdgyPYejRjfLbbvRtWozwmxNmidpd9ChE62QxE3UB9ZS3ddlkVD
B9fqHpQIiAveeILWD5VLOrbxhwVr5GR/sZp5N+NXjYBGPi94K69zZmJL8jy5Wypj50yZovUP3ONY
J5/tzDjY88gb27rYjPid2arP85EFE2RIqeLD1MZnbPM3WI1sp6lsYq/pzKdYeqnfRxABkbIca735
OaercXIHzcnGjWzSwmh2eTnJ5AmjI+VK5qAmFoVqElD+fE1LeCQkrc6ey9fphArdiZzHYeb+C46K
qwrlkEmZ25tFSYqqvMYEgwy2jjJznttDHZVIEqjNwGvRCIhGj5B0LHz4+3vl71yKJ033xy2A2CFM
2LA8x+66boxlVddEUtYlR1tcenv91q6YxNbGuWV+Tcsc0NgbqDAWub4tIZE29js1pAsySrW+G8ro
L1PpatvMGD8Jf5ubyTbHizeOVuR6rkCOYPqhJ1s9+hDOz5PrtLeEq8rGjFktsSn7gfUD3iHY/Lep
h6SUaZ2weN7Hx5JiPrhOuh7mraKyfMzmEH0t5VF5V+d6ke0wqrz4GlKqnUN3BZ8NsUj+dE3KXAS6
z9UB9A6z+YO+dRXFfeYfl4RS3Q0wSC79ydL177qY+p9ubsvzNFWKe7wSe4sG1kMn/WcdLJAeQDdd
tSgf+/zAGp5oJhaU5Syyjhqyoly/FvCkLyotPxhAgczXJsJPMPWrfVqqGCG3Sj/asuSpr7XlT3d0
7mdW3PfbocrGbWfo3XeuL86GqPt862N/DbkD3axM2g+WpIctMMzCOurCb/EVrHzSkOC+OMM0nFrQ
3ue1GD16YkAbPuQI3TaLNSt9Z5tOd2dMDmp7VwFynoPdfSuZeTX3gML3fnqJzsExJrZxyyBGfO07
F8+CVVbva1oDs6Rp4l6fXBFjCgedgHvFpX9jG6tHRzgcS8XBuPGM9ZAtcQUCniELKS+/Zskwfcfi
QBtZ61JOZFcpCpeUWPlN/nHQs1xKZO2lDL6Z378QcuoStI26rVa4atyeoZOHczZRQxZZis1m16rx
V6pK/E34jvcdu+b9rFWf+d2TrkAoMj6qM5hByNBJ592cUh8fk7Rvbpb01ygH0B+sUmjk42rqbWKL
jlLfi1Gxs1cGvzhy/ZSonSy9A9aw5I8A/7+3Pv9k60Mu02Nv8l9vfS51hZv4L1ufP/7MH1sf7EK/
6VgMsZthJTX8ezbnj60P2ax79RcpdIecA5t2PDx/GIeE/xsAEv6TiZ/cxrbOQugPI5EQv1mOIEnG
mwqSggPB5F/ofYHf+dc10H3XgkWb/1lslMgs/oMbrqGL14zjJX1wm8Y3wkIrqZ+fUtMObQrMl72L
ExD4cp6kMuOe2FwSs9Coh03Sn4peJpjOkN6b0NPTdj6ka1sy8GN9/1g7k1GG+YKahrJZznWbd8XX
jBDXuVar/lNayewHBsc/aETQEUtUahy5OxiT9avb9655gP0/jsfZyrqJFQVnXkqFBZ6NexVevjj5
pWHbFhpD3Af2op1xJTZZ0DUeWGxZrdwYl+7HOJhw8anDPIhxxgSwYNX+hMk1wCy7uz35EKXmBr+R
nYbCSbMLduvpgLTp7jUSX4exLmUTMB7P8HO1nSkHM6pNnwGS8qtUA/wflgl4ahrWV/l1tlUTWszE
0bDM59SnLXUvVzQpmqVyI+4pJCsk0j4IdwqFjYoFMdJWp5AqYjYImE0Fr7K+DsZjZmb2EZS8elTN
JJ3TZLj2B6/IcsqVL+PuhSTqeug77s3i5HbJTPV2ZwSNmJy52XUeT+uNiafwUktRZKLAWLmQyay2
Du4CqtAnkaa9ted0pclgZshsxsE9YTmqOo5vnoqGie0opas0HSk/7GbSNUaZG/6I0kuKkq7l2QBG
QNeVp7luQ0kpWs5omcZNKXocCszM80+fshL5y5eGYhOoo3NfzYowi/HslrGxdfrMrVVAy6r7rZkK
Bpu2hN45oQMdHdqpeaG6PMZ1W1Akkwm/ssAc5U+GUTNJZEC8wYlODyRVcTRkmeRtOed1xEyIVR23
0dGTLDSTRF+3awbsNq/TByNreEI5g8iiWCtMFkeowPCq++Toeb0rMF7yaocmgO093qARABGe6AOm
926LsKrearMpPkwgfBayjnJsjva7pciLvSJIcOjy4Aejf1QsegJhJQUqFmW9e1ENP1Ipxp7Lt7Af
7zlUG0WqSYhQCf2USMGqb7a13WiBunb55y4YupqdsRrzU1X3BlbenE4mYfCsKFtvGgLwhvkJVbKd
7nSYMfJyp7oXkdrXrGdbEsx9Ic4OhZzHCmGVx4eO1D6kb3yNTNN6yW6jSK5OqpBaB+Gc2U4r8lZ5
/CPtUp9MHvudRlpik8NSPw6G27wy/V7pn7Gf7u/sB6xteuTqFijt1ris0l0ob2t6uipgo97J8zQ2
WI3+qyZh/FDbefItoeju1LWCMN6YF3tVOE2wZE6yk3LMd3GmiCO2jfppTkQPG6fznxPBVcOxPPNM
xfmX1dQfKktSTK7FzpmWTxt9qaVBmTvoV7utQQ1LMMjnObPM74BYcfcMy1qjyBS6dcMNP2AJUtYv
zfVSsOS8Gtt8Bcc/9MUHSRo/7DLMXJE2LK3Pxd4RzzQdUtljumP9IbwlebGlgExb55393pdgcypf
Kf6ORjvgxDJZlTZa0A5jcZh0pz7mc1sC1JHU0o5y3lpV4u1nm9Dl1FSjFwxMb9vepqs6cIc+Oxl+
OrzgLLjf+Mb8Rc3tE2/r+kYl0dmfWKLZeezvaVpqKOWwqOP2Oi3zAyIh3k9o3+mjX3gZ/Vp19dPN
dB9W+wJEuSmhK2yWWuh4hIxD7MhbX3beYbHGOcp5dz8bWt2UaP+LiWnEikMufq+eTtHCMtsJ5eFu
m11lMXKyD7r1A+I7OQwa4KN5AuQXzbpj03E9+ZFlNOuNOuUsFG43fc1T0h22JeuLWTQAcUZ3/tBm
NimjafW/ElaxyMU07dVFqnazMK1vXMjLh9XI/IcR+vrjAmR2S49d/2h2XXMiS6nfEetrjo0IOMy2
rhW9uXWrv3mkJiLBxHrjklT34YJ0HaZy0AKo5ckv6nn0fTVW7ncLb7wGGKjzGRCwX6T9MjqBl6RT
VNWc/MD3tMD1RuditmtCQY/Gej4xzFfut83Jm+z0WNNu9NhCP476Vh95Zf10+YSI3j+TdW1l2Jpx
GinmeLoOjTtfem6dwDBQ1VcaboZQmO0nPcLWBpHUJ2Vr1heAAzJkJOzOa1VPTwUFBExL/qUdycUH
7kIh0MGCsX1JdaONmIXlD+ZP80USeLq4jbc865NBSZLmpP5N+HO/Hz08WvUcZ3hwYlarI+W4D93Y
5F9L3DpfE6/qHism0S9NHmenYYZpnOJRfTXYGW7ANjBZduNCJ1DfYi+rVEofcKtjxWG90x+qYqXW
IHGHV0HydqGZSlWRhhUodGxRb1o91R9bfK/WxkVjOlbwK/uwzKeFHpylzFnxGubGI5DL69hP38Ts
0ms4pg7NZSV+DdnG6/G+MPww+fu1sI4RYpI+nUJH6v7XZbXVXhcrD3oPiapgYlTZltnRObv4u19i
d+zoT7Y7qseT2MtE5E3zeWgBZ2MaHaq/Jbj/fTn+Z5djC4vzf3c5vn6Obz//ejf+2x/5825scDdm
P0rO3vtbxe1/3o3vKag/L8Mml2HXQhs1xe8NidzI/3TVU57LDRY8jMf1Gbij869chnHx/8Nl2CHG
zT+Duk4VrPn/mQrSXswj2S/r4sbK/YLGaHNKGlrHTrfQoyUt2zaam/qI9aE1gtpox43OeLuZWMTv
BuiGZzvWB/MbPQL5tXaLLj21M0/00Gza2WbVI5Yv1ijGb31edhG7ghV2P+ze0B89VigNqEPap7DR
71jnG7fBUvX3aozHBzrQYkjj8Ox57q+du9Lu003brIQt5XaypNSMJTab8KXfOT5fYtCkkmL4hO5y
vF0LmpRYFhegyozDfY/ZYYUSnkv9XQ54yoJiyfOfLbLtQ5ZAJsfkW84PlN9gbWQtzvdeNuU9tz9n
uXuol05wpTIGLpqK2zgVgoq14XHw0KHa1KZAJoEPThNeuczY8/kC0c3iVSOSzxbBejI9GN6+kMlt
lTkcmAJ1UbpFH01pyYc6VvVd2+ncPVV6FYVZol6TfTb3RBNoquCkEd3cNxcrN1/7pundtcHzrtd9
u6e+Kxt2ZWwmlrvD9HJHNHaZvurRTCkw+9+cSqyrRXEgsXGOfu0glFGzxm0AwSM7OhA7q3yTeYVW
zF/J1wpl3UYW1EHHDIURCbD1OF/zdmRHThAs63x8PklHwxwW8QRdmLRDEtpaKmPuR4tG61ht0PRm
E27its/VwO3PStfGNGJTdidq6moy4pPZpUUMOFON9zeOCy0Byxrm6xnocpCXzlQgvPfD0MCjXErZ
U/DaKTVOaxnkkzkp41vCIGOu3+eMuHP3s5/avqSULF/XIn76/VP87wPvnx149+DPf3fgXbKq+lR1
/9cz729/6k8XiP+bwK3mMtX7FvQnHd/Snwki9zdIP6DUPLg4f4SL/jwC/d/gq9zdH/fQPL3ff7cP
sH67Y93t36n1wMYAH/8L+wCmuHty6O+MVQB/XZJqbDY5BUlu/w4o/jvYgIWPsoSboJ8qXaMIeaBj
iqbuGXkAcq4xN5tcWCzuuT3S8TjDAqFNoOktSg4KzGwlHrCgoR7qMi8x8ivdPnL9Oq+FoBLaR+uP
eK++J56ZvJY4/sMsceyvoxA9HljueSt5xXib1RIOTw3z9JKwBEZgc2a/2WkyhXHXy+rkypnUw0wh
ZNdb79ok4uWkqxaXsnDM/jxKX1SvVh4P7lmtLYbgoXAmdmuitO71mAAusbSyinVqbOIYd9dFQYtE
p4msTufi6FrDd9BEE6aYYSy1S25lNkcu2k6zzfnZPnMmlqjZaJw56dA4ezXSBYJ/Cq6JGUKOzkGQ
0/zpdnX77GDvOCi3T3fmLGli9JcN3YmIsjoetmBECd1JM3tZcit/dCTy0J7fYl0WV8Zl1LP+oEzO
AmyChmVtekN7wz87B9zPy+nuddHCtfKtTeubPpKnx7V0RV2xN6vQ1M3QC/sy/h6F6AfXOAxYTetT
v/rxl7X03Ofm7m/s+sX0Dl3cWxr6ZmMXp0IJxZDVxfLbOHXpRrNMN8Sf7/IaNCOnGFK249fFidgQ
r+VQQqM3HRWz+V+W6dQPqEGhljTpxs2c9UbOSWT6Lqbub58b3Mr6jhS12U+Ee6eVcdej15t2i5a5
dInjvSCP8K1ZrQUNVmnri1+4hQj6BCFlLzTdK74AcRqq1wRznKtvhkqYs7ah7IJhbGcOctHVIU3s
CsqwLFDy3jDndgk/OZqsbAgim1LxSG4bcaW/bkIeiRlh/co4ZONKD03sbPxUIAvn9STvxoV7gIBB
jpaVnmRur7zgjglmcWub06agwyXsUDOCSnNfch7zhB0OpNMu9r1na53WgMrgq2jXFmQKdVAzrb04
4LeVk6tXTUufZhAsQcc/s03WGbF5XL4b+kTdo5vF23jkck9dzqGlEmqzOq08t6WmHxpb5Ns+bs2j
T3o3yJVBJIrHDmDlOaOCrai3k1dnJ61Y1oPe8tE0ncJ8pbzwR9Vjxm0NJjuZ9looKEbZ1hU7tyPG
UnlQ2fTe1WiZ5ACTE3DuIVrXEvcSKSnaD9FCKYgXGGfzXGujrNSqMGk1YiiNIVN82OknPotv7own
yo/rhqCUjnEFDyUSs/CmCF0rOVc2OzOVgWVp4d31mYZGgKCHumrHoeik8chXL0+SxR5rHp72BzaY
w2dTNEvkUbu0dfmw7ZE1ohwDAYrr2u/rtj1Uk41JqbhRF3tejXjn43K998u+sLDa1bryj24y3ZSf
HRg1zcjTl00iefUTSM3eKF5V2+68Zb5Iil8C3x7mbdcUVFfGK6nrWHxBF8vupTsqMsrisxB6R5Pa
RHqCkq/nTAOs0RpG6PeOCtre5hDMvIu4V0HKkmUEYo+BhGCKJ0omq0053yvo/XHivdWQ8+fn4exM
VeJtT/1h73XFBzmiLGipZjhSFkcKp6PhAtqyvCLVyf2AThLxqTCe0JKfRkqVNI9vaq2r6+wJ+Yas
Y4X5ELvcXKTSTk1jiltmts6xbrAk8APrts3c+N/dNv1GE/OIYWf+lfalsU9cBSU9I0kHcBKMkxb7
x2FhalUc60+9hVkeHco/5NK9xU73NJGK3HJMeKdaatjuKIDsv3KuDJE5uvEYNFYvr9IcxrDt836n
84PaIhQPVzux05s1z/6lm/Xb2mk9DZqUqiU4uKU/PDASEqxoqTSVDfavSt0UHRu8QmkQD7rcSiu3
+PJq8ZaK7IprjadDCyKbVeUuk/1LUeXO1sTA8zzl06XR0HhnmsxeCVS82omfBYU2vqnV/+Yk5sEc
SL00xtAAkyoYic1pC2TsUDty55sy5lVsxfW+c9sRaPioKILa2ET97sSMlwaeLG/gHHZFmRbjyW4n
/Zoa1m3wm3Oh0i9kSdbALNYN5oUF2bTZOJr/Az+SCi1hh/n9LG0079FT1k5lcr7N/OgQhNgqhByj
3o88ToxvBZ0SUWe5fNQ0LECspi7uwk6lzY/QrPutPbbmqXOkF7QjyzFib3Ua5kvh7Yp5WA9p3e9h
OBzHLM53fYFvmQBdQ/xA2/IwK8I19t3Amwh6sZ4cxAedhD0HNnTeK+kX8ZSWqFCr27WXYiBuskwj
bbXSTt8B24oQSZjlW8szYSpeDTHuUQ8v/oiRBB3L35gsSejWvraZW36McwXce/km3Rydmu/HYXub
h1AystO4WAejY0Up0hgGeoJ5hngXLBRqdlu262tqnOzMTrZYWFDJh8T6HtcDaplu4DjUOupXN17O
yTSWVvWYaCOR1Lrjht/zXGsyEEdLzYBiGAapnaEZzmZSxWFmmg0bMD0LYkt7TbXp/niekqh2/EDz
SEfp8J00sm0PetKwPMNqL5IMOIIcbpXUvIOv8vXIwPcqZr15h1BGiWFcUjC9pQnXurfaGiDrBAns
cc9z1tyQ0PtA93g0UjcLezH1N2VXj7jTtLDN6d5aqNPKwSCozuq2w8xKsV2drwi8xQuj2NHUjH5j
8O1FZlW0PzhexX4ylvjtLjqgY8fdAbi+uZE1ji2ncKjapJuQTYzgm1Xjd58A1abSPe1C51f+pfFZ
WpP48n45UDyj4e4FsVOreKs9d3l2J80J8sH7buU2qQmvdL8wqGQRq1idDWkqX6qk0oN50u/oDNAU
ljXX0SzuHyJ+YDKwZivfth55Eenz5SWdKjel/Nl0+fuia+7N96vxq6WYqf0hvRZ6bkcL8Blq6BuD
NWoG2TBcG7wqjd4VJ7Wu9V5iz+OOUCUXFOZ9n8d5qEHh3wyDz9q0xNPFcZsOT5SdefsV5f6rtvp7
unTml1Eh/9Dwy7bSX/PsXPX9zzb3PjidiYHhnGZcj4dXlvcnp7L8XeN3S2Rjs9/EjcMDAjROBK9k
DFOacyoCftK8VuSUQ+DF7RnFA/djr5ZzKYhwTbUxR27afhQJfHBavjPjsWlG45kDUs0bJCPcK04/
pcVO4B7aCgZ7Hl5Kq763+I9OCV3w24K74Bd96qwlxLftse4Ti0XfsmW8V4XtvNO9mAbteq8qJnUQ
aEbBhWHgNTfvDsgV5y8X4PHoDqsWZIMeVZb5gAVEsJ+Yqm6gy9QvopKbR5gSrElScD1GOaWnbpjc
LZHn5JnKyb4jqkbNdFmNX1CKDo45/axjx9m1DQS1sm9wcMMyOcRVTQH0bJPgEfqOn9qR1TmWrWxs
oqJGwZ/F8GPEs41prhlo6oytyC7qmOB2y/Mvr/epIIS3xE1PztjApt6bIkg7OR4rfaJU1rrKVFqv
GbG0XdGQc8rSsj7htCvBuvnPy5ri3aPkDwut2OnG+1CkXJhkXFNFEb8azOxB0ZqoQMKKnLSBfGh3
RLMkcRlnqTZuC4+o4n1Xdgh2yLtGWEMeCDOB0lLMLccJCg7NOrjW7pmuNU9/gBU4O1zwt7rHS1z6
zetcV/UGLH6D5bc8TU6Gg9DwyohRRfL20ASikdvwTCzqQ12Lmw9Zdkeg+qOohte6WewHzaEsHkso
12V72c4TRsmu6aNGLJQCNnZ30boZC8YK74D2G6r+irJ8nXv2zvTH8ahbqA6SBkttTJyhTG0N96Ks
KWYs11eSofOWiKYfZnWcEXkzIkrXKV3OeJfPhYNeAEbRmb341TWKc5sO4toJvw+HtvrF5VdBVVAb
Q651mGo4d2YxPsypSsEXDeVrh5YZFWJI4AxUPlk6Ljtm6yG8arK45AmHyzLhcPd1ItWOF7/rqoPG
R5vGDq1rfmoXTDm+cgz0P5dbj9H4D3ojr9W8DFeTXXRZU026qi4PUqEvV1P6Rw04Noze2grdcRyx
VbrTGd/+z5p5ozC076a3viWNs3MNNRB65zFsynw7Fesh9vKRVIO2K9JfmtdiI3bIK2CTbPYo14/U
dZyqOeV4pHQ9HMZM36KXY6I1Owu71bgza4J1lpQnuqV4gEr9qOfeq+2mIISy9W12h494SN7rOuf9
U1tPQ39x6/i1Hlfqr+cq+aFpeEoHURxwMq8h+6vz6nvf2JRFne/Xu5yHY0ChdnONY3xTWqUbZyGa
JzlxO9OUxOk3rCoLiGHq1zyuJ65n2uNAX5HH/mheeSTgmkNuHjkadK1Jt5AE1aHjHfxj6dJP6+6M
t+IJDc8yFelsUcAXTO3ye1FLQJZZZpTAmk0cb3NtFVzw6s6NzLSrnqbeRHDQMBbq0skJ1WFACVH/
9DSs8775bk5GhrluRCu1m/Z1GrziMI7peOBWnR98SqF3aLti2yxrcpr0wdlSVPeydIBXwYw9+N4g
H6tMM37ZmRpOa5o5x8aiExAfQH4calJZ9iS6F1ERgPc6840ZXl7ySjDgJ/rDuiZjOKo6OVuza4UD
AJeLQY/cpl2hrVr1DOeK4tLt6Apt2/skVTrSr7FVVbuxskSUzBgiSqo4KRvu76WOixZUFg1MAtC+
g0C6wV0QY6/snbvG/u6Vgx+UpvvmJgWvGJfaC0LLHQq4HKCXwsidxqtR1lwrVOryLPZ/YATJ8Le6
ViRL1HatQUgR3CsxDfDXK39ivcuQRVknb1e4HcCSwE7S+VyTQ9hidSoO3BsPblnJsCjKcXuHH204
zfFJlHa1IcC8k0BJGaa82yA1sWMUZuNizfL7mPvUiMZCzy88qnkKTUwL10X5J9hsHsAEKSIzRp+h
LCTURsaPGv3p5C5KB2FRZHuV07qLPAdipVf6iRxtD8zD+tWuwwX+fxfcZwtzza4EN+INSlz5KDt+
jGBnAhIu5sYoCvIukwbcpc76KG897YSxHwdEaZKYLS+J436pPV/tuF+34Xy3Dap53laGvqM2aCQn
jHmjgYuKTYWkkOYNZpBl/edaN09O3V+WBuN4R5J/RZBiy3CvbbYq0tl4VaY+5dvDHeJYKtTTmVPZ
1uM9DDSaWPLG5tKCeZdPajjcYWz60HNGArGlrWB8H11JJNYGBd4+zn0NFIF1eMQIeeKI/gJYrCLa
M28YtXgnGxBw+lEh1huZfmV7bu4Io7JGWXnoit46dI0BdwM+AI7NdSSm0bZG5TPorNXXVmisTaZp
gj9TGC+cnTeTfAffEQ6F/PfSc28Kk45xsNfQ+tcmGNgIREacTceUZoLAFtU79jf/SSYaP0jPpvEF
r7wzW2i9hniknwHtoTFMlvn6lsYFNxC0BwNFq20tcvDpYlp05UsZp5+e0V7Vap5yz3kDiLRtirfe
KHdD7/1CNKTr2csWuDWrDFXpR62sMOQ0MiLr8Kvp7+q2lv9IWy3dtAJiEcCGMDfpey5Wj13JKv0k
qip2AamBs4JTCwygfOxSDuhQDZ0zh40u3IdyGM2jxp2+CeaEmolpZCgn4NDxm3iSNyPJAF9vWohF
eFqitHeDqXVODY7WTrdREmdUkzkvhi1bnIRWEyxBeHDclif00g5nYKHdTiiz8AOobd0hK9r40eNU
I0msjM5muZ62qRfM3Mj7F004JdF3TxFZ74iXd6FlpKzaHGaEhePDHLKtFL7RmgGAm8XGAtwlg7bo
5wFE2bvKZzfvz7FBRppo1v/Kvp4E4x2Fpf7PXQj44HLBOZf2//evv1R/+3XyWd8TkH/5xeZ3mtbT
8Nktt081FPxR/qI/fuf/9D/+EZ/8J5t4y9LvmK3/2pf38nnfxKvPz7/PY/7xp/7cxAPssmEMMxPd
l+b/sYXXf7MMaAhgMO8lbvz/fwiRlvOb4/FoQGsEAqaD//pPIVL85nuWQ++gDz3z3rDwr2zhhfsP
QqSgstVHRCQvijnQhw7Jkv7vlvAuuB0tBTp80EY2e82OFQr1sHeaNOiaviSozP0Ek/AZUucSlqpd
IvR/a+cmsbtvS8EEa8eMV0gJxlW1EADmXM+pvNdx2yeOskPGiE3JI+UbeylUzQXg2ZufsAM1G70I
B9+ewjYFxIg3C2BO0x8wqCY7m+RE5JCyAW1LqQtNlgOFzTi+GVJETeZpVls+FmVYVF5eBHKpv4Gg
9d4qZr3DMCcrBA9nOyjXjWi6pdNdZskDKWVvXy1Z8WKm1pgFoxJUjFqmU39LjaHdmaO2HtVIw0yU
mI7zHnuUMwRzSbAyKLskudTd0r/msvfOFB/rt2HqzKgq3CcyaP4F8EIbefQn/8BmQkEawRAmwYHF
IT152Iv1bte5oEimDHoBs9VT3dTuoasAweC4oJV5GA0c+f4xqXJQF3P+qHmwj9wYaw3ZUo92YFXz
dGztZ7Zt1WZqhR7qqxBnH6vfYVCrto+11TjSgqMdC8VmIsdbwo1Z0hkv9frSOqnLWehpd+flNLzg
URMbwHTuOYlLeyeYfrcmWGn+VrU+NaOpLm6mxczi5oszl/PHkg8OuUrJc9zN1dOaE/+bFqfYEvmb
I62Zl5sgVvk+oCE31fJDLzO1MxqLBeKYmDtameIvo5fhoJex89MDF7lchsWUl8QuiYJ5DRYoOqzL
jVcWY5SlnrdX4DO2rWNmEZ4ivBx0SwSJBw6nWzr/HS7C9CuZFn+76tXsQZcoCZRQN/kklkkV50U2
rymh2VeIDcub5hg6K9zV1i8a1+OTp+lmUJc6P+TMT5sNxaQqcIjdRMjq3jHGj/JgwfC+FJPxms4a
E6JmiZbOkTp/musWybmyxgez7PyTaDNnDtBxmYVgSZbuftD+H3tnsh23sUXZX6kfwFuIAAJATLPP
JJM9KUoTLJI20fc9vr42aLtKov2k5fnzwJ2kBDMTiIh77zn7kOu2q+nUoGvsbCywiB7ZhwHWxbkk
eX4ea2sX2qW3lqIKqKgLmR2mDnBJjqePhoLdUe+nsss2uIR7uYmrwN00AhfxKOfsxjAUmUgwlcMu
r861I1+KtHL9S9rSY3hRivSLE9XuXQZohjRkYdBw72xf7tPWihOE4AC49dtsT1W0Dfxpvp77ERFo
J73sDQWkP1+iJVzlxJc/qnK0lpF4iNkqTdwH22/iLfuH2AZprk9D4Ur2QL9JJwIEHdxgo5HFwzqa
+uBQ2m5SP8p0sBMILkSBcxDKmUe7JwSabGNMMWLUdiyUfO5ZX847hGO5g8kk8M2vc1gNLYYaI7ii
TMvcLzAaZFVvGzWJ23zUnf9bvNTxasEhscKxl9uGvTU7TI2GrxIK6gxEhq5t7A1jn0YcGlrQ7Oj6
JuPgkXBaHBVmYmMFRgl9Yo++gUP5SAV6xkqln6CCqJdEAOWHhgeo7whp2OxXeQVdkLQlmwAfq032
0h/78gBSz803PVo5OpnC9/U2VwmXnNOgdlZoO8WDFcywQ6Czcc43hzLas/ZxRTpKi/FTN1m4yQK4
IdgPdA7ByJtkwdmow3XWXiQYncwNGUUG1fzoBlszzJ3rkanlTtkD/2mmPSdQxWe8dmCCP6SDt/Ro
DeqsBQlDyYpBe7+QEs+5trECRsBa7VH5G5WAblrLDjkDlUu4z93e2xdIBG9ymV5ieF1GR0IVl2Oo
wgu/LN1dMbR2SNeFemKV91FZbbocc3QbO3LRYuyVkcfLsxqzfgVOtCWIhbACuDqI68g62jrkXoi1
NShj5Rh5fuWGyOq83nWu8Hn3X1XsS+pIS19MBMjSQ6FrkIx2sG/rliHJPHepuSL/YXqrpuqVPQoP
i2XDZHR9XMAUzt5KmpUJFVr4uxHT7KMCnnNr2wx+zShPjymjh+ui9Yxdyvno1Oem/zZLR91Mvtg0
rhMcWTr9Q8ZLPQOxiTYcMr2vvajGYtX6dHBjVY0XLiS5M+N0/K3VmGzKYYq/hdISJ2Si/ZUdjLvW
yHFStibH1NYKEXfEKHXIAvPnG0cj2WQQvm/SvHyc3aI9Tk6PibXO5z36GFXRUxmW5oPRr4cUXbFr
4y3a1KOkD0UY1xbojdqUtUWFwfXvR22Tgi6icBWgDrwpJ7I7+zlMtjan3b3DG9gBTOphraHLZmmc
7WcwtaCwekUaXk9f/yzcWfzed8RSqXYm5Uv44uA0lfUFSWW5lZqCshRNsIuRwBHWAe8rMYfqqeM5
PHd1W98oJfQlZAlAUWEeX0J8IPXRCvurpFDzWsnUOSDrI+vSji4n1OFf6KibdBuE5kUah5NAtuDW
PLyDRWaZVw34lXYd8eTfqNgdGZA49Yvn5uuqcbC9jHN7WzdqXKbunnPMONneJk44XwhU2a9DE1Sr
cmSsmEyFeQzN4Itf5xDzczyLac6k2UC1tI1kUnsrUxjPY+6bW7sOyrOKIvPCMpqFo1kHCLIM9Pak
I9r0FEX7aEjqkE2HJrBZ2e641UsCR9OPjl5X0KPWdFUYqeWBbNdVtsR/rszkDyqn+Qekc+rqHmKf
H6kXuTjVKYtj6hIQzexuNeoInirYnu69VcdewJYXZBykHxoH+8H/lDa/f1QJvzjf86kv8XL//Xx/
Fxa//f5/YIu85L99f8T/8w/+ecR3xX+ERMICVAU53yKt+X/HfH4JzDbAO6i8YLc5//8ltUFtKAVV
AUf9RZ6z1Bl/WW94OVt9mHhoEv2bA75lLoT171Q2tsdflon00bb5uazPDJ+K4q/O6Ouh5kYkHU9h
cU8vpGXLZ2fktlfPA+7Xc2pgacFG/kw6kHE0B8iHRQfpKmPt2JRYj291n+U3RKM8oTxkFsWZON4V
NvT4uQOaWwvs7TYexV08YS30GveqTHtawCMxJuNQv2grOyMuO1vGsAdb6G/aWoEbHTK1SvvOW/V1
9N6ZXXSV8TmuK7eEaJEXSweRWn2kcl6hrrsotHnjiMZiQx9eihFErUrq7WQjGazb6L0B+rrJyKxZ
wP5XrjXuh4io5DLI33UCqU/0d/6oQpKJEBbIhLPnfGPHSHrojeO7M1ZjGL1MZVtsCuhzqk1OaS/e
CLR7rqZmV6Q+gdCMQQgfsA8oQ5wVIyi9LRoffx5zS9Faz6ytL64Jz8Fk/G/WyXn5BNoMuIWdpO9x
mRvrBvvGzkppIloZojs4NHhoh/4hsIY7Lx+dNcF3wbFO9dvgszWw4BDdhx2HJfk4Q0mnh9XwwWD2
tFV0kmEnGUKPD0443Q2l/RxaySkY05e6il+KWbGtWhw+HLvZ2ryhwY7eGUvd2Cnf1WS1TKBKRjh2
cpptaAEjYw00SxxO6DNDEwxB8fmqXizwJiFAydKTNyAdtCWdl8BYPsswe4ECAGhymjn1DPhdl2uV
Nr8Bht/N0Jg3rRz23bIie8HS2zMvShe/LKmL71bKb1MiOifJeMEhSh28QtOvi3iHDK+fZr/1mV84
KQYaVEMopwh8iLx4E2p7vqwBfxLe81TbVFihGh8yU23GKR/IlKnbDXHDL3kPnwOxwZtXzBc98BJm
EzXj+8p9jkbz1ausaz1EYk368m6ivTyrrj6gpX2YIXcSYNVyo1qHIOM7WgRB66Tt6aNDqXaKKdzi
gzXWyNss8AvcCWxF7aqSGfzXxnzKA/GmrQGhDfILVEXpSbj9Q1V3D/aYvmcmfFC8G3i1svHB8kHc
JRE8z1QWWAYcI1wLgXjr43MXuXOltf2M7zPeYdq7QpTj7trlz/E+gcqzuQyW8wwHeTrQvZ2ZyY1X
pTTKb7HP1MWNQxAvht/fWg63XToG/hq2Cvw43faHirE+fE7VH5vM8Y5jbxjXSTilNK7L7Do3ygnW
JLLQLOSgLY3UeoPq8G3qa+dSeEkZcNcUUQXdPwlpvumsws+czMOL7xaMg2ghpg5Hzip/SnL/KRvh
KMB3RRlD85p2fegD3Em+URD362RMt2MIJQRf9aZsp5rG3RiKTU0aKW1xovxOXtHGK8etrlIjvMlh
jG/R/D8VhgiWdpza9p16GfMJzUQuqV6Q8m2hUK+YK8erctYOnKMMqchULMgPvHEBgab0/uRbIZAQ
NURCrUL6Bc4oxc5yC763iUeAQAqM175A3itt79o23W4/Sm66KXGfXcO56mQ1HP2+fjeG+sJ2kl8E
ry6QuR9XcWyd2kMVvCDd3c9heyDo7A6BbnGwe+ZqFvzbNXCIq0hVxL0L548+3h9Nsps/XvdndD2P
tr1mQ7OIpbdh331K7dD20OXO5OYHBv7FJhfM/1MrxB3Fgv7dZvoPV1raS5/e1+IHpXoyCS3AuMqv
f9d+Glx3tGICCg6yTV60z2q4LMcceac1KoamOPJv5u7n1/zMI+PdWfTbIKB5Qi///PGagZXr0Gto
xEy087eq6R8YzaS4YpA0GFAll/ebptjHGla3n1/a+lu7bbk2AbpY3Gjeu59TGjAMDnM8eUu8YM0Q
psg8ig0Hmz4DDZrPycHU49vQMGhNBiypMRBRpnL5gpCFVICfK8jnC4LH2XUtin+dQR3o8J16AzNf
lm/PwSKL6IJeQnymiN5lMEbGLHgyVZjRg7evmIkZcG5J1VHgVL8ieHHWtsfy8PN3yuHlb18srUtS
DempKECNP37IMo10Vkg7P4QSkUFh3ph6vslmIEW/uM4/faI2zUuOVvRXkRb8eCE9CG/kF7lXdWof
GdfcTCKiAZCyCOeUV5vGS85tILLbtJ9u3NbMbkOmSWt7Dt6rnnV5OarECQcIfKgXgYEzUNMaM7Rz
ZdX9PvRY7lUZZTgc0MxVoxyfAyWnfRZIqDnRhKfJrJu7PBmfxnrBOMnIPrWRl+HVaHEj5NE7B3yH
fMGUb3H0ij1jvne/mJ+8oNvNbcPmXVqHcFKHMMwRSSEgY94+XiRQgqnH5xuaCtYKxb3AQ2x8q1Uy
rV0IUr/4IP9hhYE+6ZEcAelRKu/TFza7BmFphkUa0QDDnuPEyMqGLsdZGYN1+PmXtli9Pz/1iskn
3xZQG/U5TqyWU4TOlrA0lfR3dhOd4O/8YsH8eJI+XYPoN2xby981hvMf74sorGBmA9Y7FLovd03E
EBNnCKhQ+RYh+KWJ4J8SaR+0Ia8GXyMgztOTMfpfwIS/IrbIVzIjH8BLY+vQx2zioWZ1KqfsLETw
PjsDljM/Is3ZcuZVDABo1dE1vUwjZwtj4tEDW7VyGi84QnSf1qni3CKERSmoq3IH1glRha7kHmtL
uzJl9K5ybsEqSs79mJwSBd3Dc2IOqALMnhLlOl/QEL3Z3hW5hBdszb/I/7L/4YnluyA4hmQcEkKV
/PEDyyUkqWLK8oOgdUy2QBatoxbDijQS3nPIJxBx3Nqkk3eVKQeGclMz/xPZdRtzL/sJtH2s1LvB
n4dV64hiAxz/eYhLC+0rNiJMrlfI5B3GmwpNqYw3qmYlKgtQaG48PeHZfpsZ9aJYvx8tTocamNa6
NsZ9EpqA6/iYStB/eyCOe10Od4FyIAvW3J92ycLXOGR2aQMPUuanei/V/KTLuj///Mb9h4eEPWP5
SyyZrYtJ44ftKqgYZw/kIw5evuGIM67cgR/HNjvSDIJffCNoAP/+nHjswixr2CcY93x6Jivbmiya
wIz0ZZNv0YkgO/DjE7CRg6YLjMObW3ImagJ1CMtUHHMCDNKzk3AARK7grIpcIyTK+mqrHQw8EclH
oGs9poDiEkLcdaqRAIea0z6gL2tjlc1bFs93YzpdZO6yGXObBVbyAoifU+qATnaGId7lm3gs5Jrj
KrrC2EMdrq4+ysvZHq1NpPiNusZZb0C4i8uh35V+1zJ1bcPj6I03H0WQn6PZG9oE02Y3PERkwuEr
D4iVqSj11DxgFsD/PNm4jq3+QSbipjKiE7bnaiUQikd5wiSKfzEy/g/sT27Isut3wq6b7fIYNaPC
3zQ8OMFSQKjE4Hli/ptWnJZMPz6PSPA2bsnvrg31XMUoDXNU7pdYGN5qghRwcVAqpNE5sqhZ9MhR
3E7tZyAFd8RzYMko1KHPs5PRx6cZux5TVh7gtk1PFMUYw9hZoqDnxuTpcIb2nAr1LWyG/JQIddXj
ooeGPq2XwgiMfrSHCFVcgMK/Slv7WdbIt35x5/7D481ZRylETnRBLfPTPplOuNmxPRJA5k5vedPf
NSb7Xk+ZhTIv3iznr49Su2i1QJ3CSe/jmc/DdsckZVhVMX+syqxN0hLVrRO98XrEwWgiEA1L6eVb
guanQyrg8vURMTYrrBjbKk+Dt8pI9bmsmarNAftiO4f6MmctX88umAaDNSZup6fe4rhl1la5dsyo
W48BauDU42QdUBiyH4ZgycA6ccx2Y8zrPStoLdu72qMk1bBFATvd2aqDrJMC24nqBKT4MF9k4fCA
v4XRgjDmlSqmN6eBcIdu4s6lOjgkkXPVs4lQZHYPljPeLKf51v1rf/2fl+0XHTbOf5J17b932C5e
8ual+b639ucf+bO3pu3/KI4lriKB2LaRP3Ke/wtsY9JDUwzJmZQjHcGW9P+7a6yVf3l3nf8Qyeoh
yJMcE+m1/SuQDaazH1dlYsi1ZS6x50TkUo59ro4qv+VQEIzOBTgaT6wp2ATYWQqVAd9Nw5CwWrmS
3KsBTZRV+FdFPgm1rpVp1Hozt/C274nwNI3s1DSOVY9bg0Gg7R88vxNsj1ZP7h6i0JkYndDmaLvL
6h5t71VrJhE+sUm6EOGhsThtgHwGe9hlb1fNG6XFLZwv118LabhrO3Rc4mS0hqVc0bGX83RPK20W
lyzDERAsLXKzYuIk43kvRY0GMR9FqtZxYy5kgrqJmkNaeV11E8OMua/JzP7apLNFykFTdYsSq49L
FMt16G+LST8blmMXXGJy5u2oUxntSzxT+cqa8mzLs+tdJ1VOZofrDhtDF8O3qEd7NauWQVI3Kaz6
Sysj7iXOpMIKDTLsCgMM3JylR7zD4TfEBNWzbCxZLA4e/VZo7y0dpyvPrGHZoMKZjvzNZyFwrOtI
RSb1kSu2bWzp9WgxigZ9pavbLs7x95vTZG7aAZIk5wd38SB0Rc0sy3cmdFMKP4HBhLUTXfPE9ME/
slgP+xmTzK1u5HQCq4L3YIqwg6186LwH4qai37gf1C1G497akoBmXIdZ7u3BcNSHphjFJSCz/CGc
XQi9TJBvitl21/0YkDtie61khtTLL0aBJQ4nk7SuCzvoNrpM0Z/iPjv2kZgvUKBNDMa7hS8i825r
hD2CJMMH+TFY84Hp81isJ7+avxnEL+68KDX2FQDdI+L4+c1ELXgMkXncz+bkX8HzKi4LI+iyvT0b
0zWuDacXYEN7u5WowP76Z8s5uQ/PhpJl2TGHyT4wgz3Wx/oUl03ApkbeKtOpjcsOGmuOt8adh0J2
MOlrwuTEiBLSO3n7WCb+t6L+akWlmmGh++8r6mXRgXn+RAsTf/ypvzRJ3n9YCdH+2Nh9XUd9ny8I
K4FC0FSuB6wLWRKH3D9HFpbFyIITKYMMoAX0iIhW/XORlbzgH7WDlKhICdz+V2OLTxUiR2HLlqyE
ylXCdv9WIQI5GQi7EvVR5T5C2Tg2xB3gL+JRmDPviir2lqrcNV8bw/Uf3FDXQFxzH5le5J+aBZrr
pq64LFBw7GFnklTaC4wiHladB69EvwfaRkUk4bV6LQAYXIvc6H6nnBDMtwPYzbJqt4QmUY/z9J8L
0w7HDVTiflNXVr0WgVkTF5YZ8wG/pnPP3Hv8RUjyp12GT8DGQmyzu1naZYa7/Pp3nTGaRHVf9GV5
HGsx3jjgcvfB1Om1bNvlffFzf3eL/EMn7tP58ON67GtQMthNlybAj9fD4GOO4LDK42CAlkLo+BrM
A9GwYE1+caVP+bvLlVxLYv4WHmZy9uQfrzR3jpib0IFchHBjI2NSg/QEkAoIenTfy9TeT0AN7v71
22My7pps2jRoYXn8eNHYlM2Q5U167BiTJCR61Wh7cafDyhhVPa3+/dWULTiWCM92iNX+8WqB9oYo
xxJ8xF6rSHmps3k3OrUYrrtUP/z8WmKpAr/rdCyfp6YnTC+FUFubgeKPFxuTIA2zxIyOVTim1toK
0eFsSJ5dNOoC7scUjtcdWp3LgcH/YU7dttyCWf9VHszfbyBlLiEh9L45rbGo/PhjcPB3p6zD1lsh
4A43I1FrAMN9/0E7pBX+4gP++z3EeFTQV6QqJlj3c3uxrnD4t3gPj6WY59vCqxvkyDzBZVgm4XFq
IkoaN4ey/Ivr/tObpKEktHAc7Trmp65SEsQkVqHFx/6L6XGFVPBhsDpCyPOITLuff7GfroWOg9en
02DSkFHgHT9dy44M5pUhBuIIdRhGnsml/2TW00UAy/nx59f6tN5+XEvRY2BITPOHpu2PX16ctY5R
G9xD80T/D02Cm53SyOp/FT/9ufe+vCcCezxNvM1yu8ofr9M5aVM7xRgdfZO0CLheeDJXdAIlJbyl
7sMoysD91S0E6hmlP9jvLAh/0cT5dO8s75W+PwvdIlx1zM/3Tj8JBJmq5WfAmYeUBRvrYmEJzj4c
gFMBXnrDuXz6xXr+8RF+95gul5UsQQ5jB8oGOEI/vvU+cPpi9t3oGHq+9QXBe3aiUJ+uSs6je8pe
mOitsQAeh2kMXLIPu6k/DmTV/iawetVvJZkWJwj9/iFYagc/8vnbHBt/KEH+6+znn35OxRezKIw1
0NDP5U2i8ObQDTYOiAmcVzhidg3gPiXzzE+dweFgHGOPxj/gkupGA+ps9pJEJAsM8bFLCvtCt+Rp
jpFnXS3pae7O6cMiJppFu/3+3961HgFQ9DJQSHuMAD/1x0wCX4smHSI0PybM5yTwIBHlTdNuf36d
vz+Jnskaw+JGYDwPyKcVNjIkHwo6oCPNyvlWRzNRFzlipgVfoe5/fq3Pyzn3Cf1QDNTsjorg3M9N
v8lrVEOMHMs5SHAyL/1+Y6acu1MelR2qs2BdjvDNgCK5XzGWBHuy4tpffLDLiIbb8cfbFXqMiWNQ
cSjgx/n0ntO6xCYGYe7gonKejm4qWUxbPRJOGHTlfEu5Z76q0KdLHHVgByY4UAH/vsiogAqrC+ja
/kl33XTT9ppRbFPFJSk6tFmitcQUeEYljRM0quTdnFr+ez926RPZWvN5TmvaL7qqnXsXSd1JZp66
6GuTBbehCXkHytu5x0lJ8rTwxGVIkB/ZJGVkPBjuQJB94FvdiiDh/jrDRPGS+pP5ChPKP1OcA8LS
KLzeM89Q5SnPqgzpRl/6h7kRRArGaBDpzDNG54xQJLaJ0FNi+Ne+eIM+Yj0OHx3I0QfWsm5G335P
sZYO2FFHK9w2XhyeA4sn21YsLaLuo9eOiHkMWIF6D7C2y3WecWwkWtGEPzVEmhmQGTr2frBNDkPw
2JvfPLeT2zyu3K9eNdTeXSFi7jee/iDZJcWi1igJS7z1ZMPaaTad+3UGsA5kSwdnd/mzjSr4MSaF
yLCKlt6dSxn4QAj9dGafSZ+qahquPz5en87kVuaheVtaxDOfitlNw6OPWtM6STMLMU8in0UHEMbl
1v1YrZB6XKC/ZIXyxGh8w8rPHUnsi0BNl4r50EUln92kPFDxtWmGaB0i+0sH9tsg7cTMb4BpoZGN
bV5nICPp7LQlwPnKjV5rE0Xyyq/rKdjrWafzio6Puo8Dy3pEqVvLlSH5bDNLRq/Ym4nvrYExIMKE
lc9DgwPMjzISmQZjbGFukhVj9tV4HU1UrxvXFtG31GlZmkj2eYIUaqdba7kPs6HwT1j/hmA9hV4b
beZRcIDBOTfvoPVzL7kZKeSozPFl+ZReEwFW/XybKQMJzpxxzulCkp3XMW8AMFE8zMTPcoNtzSYs
X8IlxpgJM3cv5HXIYn44FocupGJwVGEg21mGj2ZgT+fAIIyQkNKtng3yF2t7vCYHoMJM7MLJGGaA
hx+hf0ZR30IpjI4m+veLIaAfFC1ZgQhqieC28vnUgfw64EbxH4LW3cJXSF6qJW9wWpIH/SWDMJvd
fbKkElYEVexNFMdfPWxicH2zvbmkGBoJ0HlzSTaUS8ahoNOz00vuIfZahGF8qvIJkzUcN/IRY0Ew
95KYOHRhcWIGjorC6Eo6YCQrVkvGYrqkLYZL7uK0JDDKJVWmBeRbu2RLImy8hrSGCqwnrqKfwMaw
4RB+UEWPjk++5dSU8iJlOG92iVqXSwok+kgoa0syZEhcNI0SDKOo+O+acHolk+qlXPIkY7JUNpNj
M81DQH9EwfNcgQ9ivmWV6XoaPXa1rpTfMoIqZ/QCDFKiq3DJsExs56Hv/Qt4NcFzS/tsG9oTiZdp
xgJsL2ekTE5XTmRZZ9TI1a1guMIwgNzMeYYY61YToB77z2hNFhGCNiszKQ+TKGJ0KX7vV6tpSeUU
aFjEyif6+LJTKT9QkdK+X/WTnB/VbFtYsVO/29Lw1hetENU1ByUbGIvDepG4ZvoILid47KQ53E8f
qaFFUwKIg8M/nRMXAa+f0Qm0k9b7DUJwTUqCAz+70hkX5RR9rgPzzlPDcOcO07S15q7bLvuPQtSz
RJpGZZXdNKDvEBGR5HpEXc9RQCYYFXE6HoIEPAD5WcSkOh+JqXaOIdj22RHcQLuHMqb0oV2FLI9j
3o5kbxvkYG8jtytldt2Y7ZObzqBGhwix9Edqa5AW6LvajzRXrAHZhbFEvOZL2KvZYftx3C740sbB
cGF146ZdwmHjocMthwpCf7PwwviA9JckWcBhRHYDXj5ZH0mzciB0du4zbsyYswMlQmrcplPtbrOp
fs6XwFoza/uvJDF57609YspxciEfZKbcL+NH3q25RN9OHZM/RMucx/KxOpTzrK9Go3JuaxCHTIaK
kli1yj1QQeuDHoVkdim6+vdSet4WyPZ0qlrQj0sgr/7I5sWvdwmKPecIQ3Bv56ZE+H6k+fqWb1H8
Lxm/IqzFg0HkAwlNqT7xper7UXXzhk2Y5KDc6O238SM2uDXoGlQ5AVYF3AGiLbeLo2JBHARqPyAr
2DkeMcQDwFKiZ5oC4imKShgM8dGPCS7mE4yQJgIL6H2x7xXxxobOzw7tg7WfaXkTVKk6KBILLheu
x6ouZ3Xvq0psMm8o9umSn5zOZNV3LW+JhaZaY0claNn7CF1OlvzlkIxxYjQHiMRk2ARPuTlaV53p
Fdfmkt5ME76Aj/MR6jx9BDzDOkv3aZK7XxW5Kw+8teBiNJRXbHwfL/u0REW3lOOXrUV8dGsvSdLW
R6q0keTs6dBv6nVe9OqKin1JF6Gl6veiOKVLRDWivvI8xFl6UzqqvfbQkRysqgkBFmgPANxcHxn5
Mtla0q/BmPvnuKO3awd99rokSTjbpNTVFztQ1Q6pWvKuPwK1yyVb2+hI2S7jtH5ym/Jbxktv66oA
+6XVLNM14tH+xSzteGARILU7wPhNwqwgE6Yif2cDmr27wMtBXE0Rb/nGo22SybfB0CWN4JIAMGB9
wFWQiJ7dJTIc4X1/gupobDzNHohxZN5PS7647SXtjTD75jWuE9bsKmXXYBHA8dKumYFViXpsCWdy
mzfHplZcmTYkgvfQmKp1GzUpngK7zSmTWuMdK1l+HtGHXEWD6h6NwO9f7TryvgadZvSZ59pIATaT
B8u2N2Wpm63piOQHA5/qSUrMCNvM6b9MrSAhj2nhxvAWAktcxcUqAmG/5hQVXE1ycjdtWtHVQGy3
GHVGi5+qHcGcx+bZHqKU0OyBPaPAnogZsOvIdWNxCsEqxMQUCibXJ/g+ZbdpbQmfKML6f+9ZsSQ2
g6SYo9JYA5iYcEpKEA4skXiz8RCl2tzppOB7Y1PYW2bZnso56t5KaiMqjDDd5OQXvFe1F33z5XIr
01Eyz6FbSsKNZT0eHNPynyYlrRdDlsa7JITk0vem4EHl+EAEeUeQqEf9SMxdv4IGVX/zkcxynDSx
DzTRIwdjgj4g3qzCpLpzLAJvZuD/M8sr/nBuqgxNFxQcmDp3LpqRVeyCBGRuBTENfA6+jGltJ2a2
GjmcbFwXMIvIAcx51NhgBYh8Yqb9mqQSKr1BnbzqQmTPkxMcmGnIXecMv+P+0HtqeRhutdS7RHiw
+TLnJJtMrUXUi1WmOtKfNBxSTxok/HA7m/EoLiaFSXsWL/OiHwqLztvLCZ8amFawM2003leOBHYO
x/VMINK7UWLLq0Clrpwer3VEY3fb0M06RURGH7RJe0COPVlbZd3tS/xXr0kr9Ioan12HgxAUOuKf
UJRWu2xom0uzHbGdCKQjJNbBmgjHNUU1FJ1hvB4cE8O3PToHVVfh2szAVjSQntLOQ+7MUfBmFMhQ
2hRao9c2v7e1AXcKj/ZeOFGBwVp/qycj29VT6aCCpncA8vsYD81tZxkvkWPvSOJF2NvpK+BtBPNU
X4dsvu4S/9QWzmNZ+2eWXBpGadReOPX8jqnvCc3JnSvzfclpep3H6Ys2I8ZNCU1Kt9WvQpkkN6Dk
32hDqMcCGixoL/k6asHBiig5SHWSPBYkz8iFd3FXXoyhiyIpcN6yXpdImehqr0CM29tg6LovszW/
jX10dOJO7tC0ADOY9BR8MZnmwI2oveRk12W/miaQ20Vk7cW87avoecQheOja8FJVj6bXdw+VV+lt
2ET3rhWEB3cg/LSu+u7ZkLW3hcQBroMa5rLrauNQj0Q5MR80of9F7rPT2Pk+yirH2zQh6LOocmiP
IhiinCBkZtwXg+AIzSAf8JIg2KntlVHvwmy8U9LRv5mOOxknA5fBJMiBajwT/64crIvWy5qGWMqw
JxxC1svrySohhY6m80DjgniMY5C13NFIXMoaIT0EO0RYcSp2+JrCArSJGg6u1bmkjXWti/EL6BIi
eU3T1IGie4ljC20SYapfvSDx3xvf4QHkqowYFPkMNUcRCqkNGT6URQG3fbch+BF2QLDMNKai878S
I2Rgs66oMeA4XRAQPl5V7HFPXuVPZwNl/1pG4NnbqXLMq9hQJGO1eqLs6FyWpaGJLZSqS3UiorH/
PZ7lcB07k7gETDbvoA4lJzIr/K9BZtDkDmxX3IlGtVtHAWen39WbIGIGR53bsF9KXt0i3A9V2Xwh
yZCjQ2o40JSEVR852/PSiLuMbVhQoG8UwVA7V7jUV2gcvzkpfMOo5viHF6C8ASeyTkSfH/MyiNcz
W/5RkiQCBszyT1aoaAowRj57nUuPYJnUfFyvL22D6ACnJjbAYmaTpP2eKJvs+eO3aAhbd6ZD2V+4
sd4jc5kP0krKlyZrqcHGWtIl8KzhGsgn2W4Um8x65tzB6sKHyWRZrcywheO/NIrLdGSMMkLP6xL+
M82iEtlZRPqrofkREYwgXZrbHLecar5ACuENRDGvyDoy3zY0Xm4UofPPWWfyreeJyc88jPUR2+V4
k4ycd2cjNA9z0s3nsZymdk1wQX20M3rhJaDHq6oPSxL3prgi5qqktu+61K03fbLon6OZrgjNSxYD
fJgr30Q0UNi9wqvpm1nG/W/OxiUmvPKF5h+xXklMR9GbL3RdN3IlUt3SkkGkEC6symLXJsNgX6YV
gYBKDApo4syEbFY0r4DinD7uOyPK510f8w1Yc5s+pXU634Zt41Amjcby84Wl/24AtKYpQpl1m3bL
Z5KCWIR6MN/yXY1orXo+NpqUa5twhrPMRb4vllZc05Ed7k7k5c24UTGv4n92bO6A1l4iYwnX5AXT
2LkPpDbgoaJtZuZNP98tvc2Yu+ZzZvJHwOzUR5cwiw1x93xagozcaQ0CaTr3vBCRh7VWKH4MEy+/
QgeYtHhnoob7PjQ4XguXPuvmo/EkDOm/zziwLvqYu8maedF4NIoXWom5BeFO9o8ttp1LLQb/1Id+
8eKHJsJiP+TRMUIeYdsiskf9X/bOZLttJNvar3LXP4cXmgg0gzsBCHaiKImSLMkTLMm20Pc9nv5+
kJ1Zzqy/mpxnDbyyMk2JBCOAOOfs/e2xC45BpZWvqdV2B6fGIOjO8APUwW2yQLtQHPAJC92k/RWE
IfhImwCgnVPE+om6pXnqyLLDBqFmK16IywQ9SCfxEIfDx4bV2zT6li959QrMjl899e1wzLo5OEBj
YEH2ttK+LsSxhiodua7mdU4Tk9XS2G89wnYv0mJKj676CnrP8RyGebt2QPiqdnw7XRew2YnbIZp5
hrZK3B2qWDAva+bctUEL/LrKyfpsRuiT3mIu2lUW6iAKDDM4yszgnXdUPnJTrAZW1ZA0PxiL2hu5
roIRbcxJVpKWArIerB02WSDuSHT30bQW9S1Uk+qVUaRSesxi2dNlgwu5pDrdYgMLXjAhFLvQDJUH
cuSCd4scOyzm3boGGxWriCWr4BiHeo7o3ZgX7G1YrIBNU/aR3Dp8R8ILyIACY3puy3j6Mg34Sd2W
A3lDK7UKyZ5A8urqVVID3xqKMwrX/iHGmvmtGkTwHhMvchxkBFQlHHkyiXist7O05tAF4NscBqcO
XhJTSuiyjdEEG6ukwb3JqpjQ4I+W8N9Ch/8kdGBQS9v5XwsdDpjdijJu/yAe+/Gi33QO1ieGo9DO
NUbNqwGTn/cbBV37JNdIB0joK6WKcfTvOgeh859InWZ8a+LRQA7xu84BNItj0p63fzN66n9F54DP
809tduQVluEwOXWQORhMTv84FYrNWHDuaKPjVJPv7Y5VSUAJMbtXFSEJrTtPmthg/XHuq7QGkYvS
NiZfdLAlqa5tV9b7RuO54tmIHo/Ik0Tgkyu2KrBVdeJECt5xpyUclO5SJ2l4tEMLpy1i8GSeGecw
wSTQ6UTUtF27WSDhWfU8X4iHL3sTrAiYBrcdm+WwaEsn3CJZrWmZZTT+oCWwOoy1ddq2AUdFYSv1
m5PM1tePqOjOpsILFzglBE+Ap/RmW+pyo9Gr1E+ODgOidXLzmrY3KVNDf2kzXdlarWaELilbKohG
U4vvK8QBd1OkdueGnX5Zc88BJk4l5rjEnkLpFlINmTck1SXjrrPjx9e+tpQz3VLTOepVE19pERqs
GEkShQjkEVlgeNHbCGhMNyIr3gA/qLeCGLinDGMsyXNNdq/p0wea+0s4zNDMkLdtCFw0bntIhyS1
zWITafptZC7tRsKy8BWypdypUrJbg/bK2SjGi1Sh7cqMZ6lbTVb01WR0sxMWwMDGKtIrLc+xNJpT
fVlVtFz2KA6v274V5zEqDN5bv/Qn8JM1vKpzUDX5ezKYznZIBXo+GdsguKz2wjn4qyQ9A/yWFnh4
BmvOp/wRyeXJEYDOGlBtXpXJ4zDSubVAStwnDUkTxuRMV0ZljbcxdPg7huZvoMqiV1ma8OlR3Gaq
BEK6qiTgoQi3MSvlbiin/D5rwLNhZmnPHMAiBMzwTgInpfWVdGcFkDCIx7h9JG8ycIFaTec5bvNN
RbHta5J3qkxwbtUhCB8W2yKoI7Nr0FxJUTr82CShsKkq7cqIavU4q/23jL9/E0IrvLOGgiP1PAWU
SrGsmH+IgSFxACyZzOrljHmlQ20+KLtUncrdQtvlouqsaMvsu5OeCnE1cwIHlQCNlWV/XUIkexka
Eph9pVuLyASnYYVLtwYoO4hNnaa4VpMg3Cp1f2UaTntkVHM9oJkGD20WGSYrWC02R4e9UaxmZ8JJ
iJtVZ57MgdJ5HCI/K3TbSEq+2DE+tsC6EoMzUW8W5DEDG4yM5kbhxKXNnPLwL120Ws38wq6+togn
D3lSfp6NqACW3X7JrSbbprFOXZ/H+hW8D6xq6zc1f6P7UkHL6wCN9OqT6Fc+/+wEe6T3yvVow0Om
yR1uElW8cDNsb/Qqn7YwQUovS0OSZ4h4/0z2wuhNidVioMDYAYifbaUcrYCzcxDrL4Char+3chio
Vq0fkva4dPGpyzln1t3izgU59QFYSLEijBuRb3KCUPwRwglWtmSiF5G0Fybf2R0iyfAwJFxmDMPG
AT7VdJdP2bIrEBpuKoZbVL6TeS2a4Qieajw0swiIcyDd5G4U3WcmUMpeqWcwycAYCjZY2YpRJQUd
yikUOK3RE85qo5GfxlKeSSB7K3G3+qa5OA8JYeVYv8lZAT0b3EIWiW9I3H0tRCUOska2voDx5xyL
NTRievilbfjIjMKqTVNl+hW8m3yL7Y0lrYaZhzA387M5ym5nbrsYcbnfZWVTcqgBf7T0mFyHgPvz
0LMG43mavzjzBPUxj9X6vm6Iblcxp4Z2kd+UeYTZYXCyvroNZUB6fDUSV1bpAqh6JgcOL0tSHqqU
oBc3BruxKavCuTAbekdfA5OPE+t2jOysJ0BdIwgagTBYRbPIadULTK8ThXAvGT5UsalsQd4tW3Af
+XaO6GdycyelbOo/c+BhErqfh6I75oUa9TxblPprqiQlxE6R9CoO3VE3bxj0ljhwmGztU5hFC/iK
xrybeGDDqwjYIhQetnNoKNufW1L8jtE6KuPIaJBox+qPCdSEeuRpSmAJdzQr61JnK1UepWhzLBnH
H+s5WEmZSQHcuoaMghXjJsr67N5WEtinzaBYuyiFVQZYeYxeKhvf+aCLfK/ByXgFjAAPKLebhK7e
3IlTaDQaIWfofU13GfvgMFQAqUdjBbhCESGhmFv7e8HUd3SRJ47XUBTb2xmfL+mD5jw19CEoanF7
9cbkimnpn9TAqF/rRo1feCaHaDfy/prw7PwmgKfyroIRWjZAO40LeLXhSUmz5Zyr1sFC0vGdgCLz
mywcgtfiyAAE28uBoGVHxDQ6h0PO3dZrOT/Mmzlr7JWvxFV0kySyP/fDLE+Z2WbflARcyDHvdZ3W
BLzxO9AE5meeI45fgcDc9vOsk2tmWRW68FSL4ArE0/Q1jWNHcDMKSVlPi+F2skhFcaGAK7d4jVvO
xUbevICoSc9GVoUhq7hDraw7+XJw+jr9RkhbeqnG4j5DgKF78VIEh1RL842WRmxWarT6ZqkN+Pjt
2NpgfFr0Kv6MdvS6yqLxRSKX/x7YUf0FTdKwRVTiNK5CK9Fxp5q+TqMlw20hud+4RtsoX+Hutjdz
U2A2NxSmOL01V83eUsbqixNOYPpnFPeowej+b5I4qdEUWnnyRN0khAsGtyOvLyDBTZkMGMBdlR3Y
c3FClpbK5HYWE7aiNHJ8Rv/qS+B0gfCLWIVYpQ2K3PWZiC+BU6lwbKBrFn0P2Qh+TbLj9pzYrtSG
3FsH26d57OojiChzY1aCJK+hp8Ogs+AgHi3eZDfM5MEQQ4XUO19GQJhcra3u0Jl3m1ZK50RIAPkx
FrHRmwkeOXkuzFvdPCuaF9qBsCXjEOAmQMm2fE5nvSr8TjhEwlDHLN9NDlDXAVgp3EVgusPIeQR6
m7+WkOO2Bh5+evIEv+TuTHqA4tGu444op1k9xJZqXTso0r8M+PL26OgoK/VQrj1nXGhvFuksV12g
GZ+dLorAu+fGRIpqM7Qu/atyj/SGf0yXPrX3iQGJwk6DevAmPdJeB2fQwcHJ6guDwe5OIhAqvGTS
1Zd+4QDph+rYs5aQMrh2YWnf8EXWBFnmFH/Y/ZPgmejr4nFeyLog2TKarvq2n3dDQqTJZmng7Odk
Zx+SML1Vlz5+rgvrHKKSLyNGWANdttHuI6+YO+dOdI567i0RbtA10NeDeaTfmBlnQ5uUkl1Nljnj
imYQb44FCYo0lorRlJhhkoLDJY9AI4aIrkNLyIyTheG57RgMj7g9Djq5lbtFyG6zVEZGDav2Jw3y
qNk3+fco0XuwcL1pfTcT2lGQB2lGpGbXPIbSCt5wTgTboVSJAOfbXFqvakR/HekTobccs1o8BpKY
8bghvtUNUwHLnoD6wm3WPyolyri1GCTwBnX0lAVT9hBLNWKoL+m6akF/aqrJSVjgpn2VQoOhX8AZ
MQdGai+50m6Lpu73dozjkmZFmD63CIQbNwrGgeF6LLvAJ8/D9AlLXK5SRauOIyabE58wO+kijr8G
S9zBVei6PWa8YRs6RnGos5BWSro8VfBgyHbCYvIaGrV1a9S18l2jr3v4u0r+bxBGcAxQa/7rItkr
OXC8fit/LZJ/vOZnjYxLH8U/ZTBSrx+K/99rZE0lH1yaFIXIij+K5H/UyNoneIs0dRBTan/EF601
MsJucBU0Yg205M5fqZH/XCIjuEPajOUWERrKBufP+ub17KXCtVSu7B/uEoYl9tw/Nz8NKD/sKClo
0yjZ0YdjD58MJ8tHH3wfGR8YBSjYqvBIkJ6dGteFohsqLh8FWDI9KBzeDZDKHqrnFOxSG+NQfJKk
gbEZuJslQc/ZY+F3PaJYHYlqdfHL9FN04pYvV+LNSBnDYZJDiDKYPFSOhkV30GM/graBGRIM6ote
EHrllez3ar7nRo39wbdFOFp3dsR8zrmBIk2slCMgf4EKU3JP9sV6lOzh7c8u9Tt5E6EsazQlf++a
/2bXYNHV/+22eexeo1+3zM8X/L5n1o2hrkdIExk6/fh/7Jk1bBRZsYOWTiDfXJtHvyC/NFCRsCr+
0VCyPkFqUg1VkqtOE0r/S7yvDxXxL7JNWlaIq3BxqGiHdefj1vCrbYRCJ47K2Z6vnWJRyC+2RyYQ
W2IdIVnmwjik05Qu3hCG1VUrRftNm+eY9ohJd7sumn1Tj+WVXpWYtEk28fNYmy7RPMvbHOQfQ1oG
8DSRIdCMaj+QjJebIhgvijVPxGf2zsCw+DEKJiev9n0OPt38sZHULFBunFwM6KsbGhDMX8hWt9/p
QMxxv2cMpU7DIbR6LQ4OgQUhA56SXQ/3JJeo4l4pSkuHKBXpzC8T+lFXXEth3HDGmNZJK4+psFJN
+Hg6sL9QLHN3aXIBdps9eA7yPNrVWDIN0kfM4KHI9eiBuZTB0wpMQQa/7I080PjBTkRDaE8eJXdo
as/d1NSHRcYh4Pugf0WoH7vQhUHeInKNkTsxgXPKgcwIRukL49tjgp1QWqG7pOOkU/siP7zSrY8I
0GSNA43ClCDQaSxHAtJTJcSROWs9maFqmCbhNhCV1K2dHlM27IYfOaOaGnLs566Qkrs0XUxylJrr
isMf2GPG7zqQir+fo/8VChASyb9tNnslpO+vXfy17369L/x42c/bArA/ECqYjGg5mz+9cz/bzZbx
CawKhCPE1GJtRWON+OW2ICE7gXeiA2x/aK1/2uqECu4bXpBtSKhPkAX/kq1OfHhGfrk9rChWYj1V
LFDsEJBLf1LMS32mr13Gw74ETkaoRpz5UP8dT3bd82ymb7YKP7Yql87H0eZ4KbWgO02kX9gaygS1
sx/sAXGAknWkOHD8Gyi53dUxD5MXRKuqoH5JmP7gGiA5ksnfVhi5uqnDyuAZSWBN5SgwzUyMbPgL
70guYPFH6DETxEm+VluTG8K5oBJUBy+h2vZUleo7Sdvn1WvTSyQYdQV7wpTJm4luhPEtfz3VsPiV
g9UcqqF51uyo8hY5GG6ySMXPA+szge6XxNDehoZfb0owhyUYvLDD6VYSiGWZ+h19YqILCz6PWU2d
rzb1s6kljtvRr8Viy8cjLwlYD00RCL/WoSHZPiTLyQ9aLs1ASm/YwRwiaPhdT8n0M00u5cfAWa35
oRlddxfS7yMfgcug2gfY2O0mwEXtDign6cozf40C6vg+oqDiXoTRMQuzjUlZAitP3FHHMPnnlZSy
NlpXHEcUKYUbzlyCCkOULzttuQvL7M6hie5nLb8yCxdJsxCEUDEaut/XjLyNCm4qedKPzOURMq6T
M6cs3ueiLvfYG3VPBjMNN8pLhl0AHIKMVnLXOA84PzufXmfltSpdlQhYCK1z4p5KTCAAFJ32IQAF
cyLVKvBohy/balEXaClcPWOFtY7SOkCifvhYJDEa2c2Md31TWawDbTbuUOMgrFBxVdkapk10BB5e
grsh5k2FSSoOBib6rZZQVZdhPh0tpyPbrFpXUcffxUl1jlst3dRlq/vWECUe8uGJy8TC6rOcNDEp
z6zn98lJV6gSb52h7xtkJL77hf+XBHJC5acUsEnslnAftJx5vvZsNcbRusVoG6G+gwe+ef74vnOa
d/jAWFYd6T7bMGLJWA59c0IiI7cnr/uoAgxik7OqOR8iwGJ12hZLpVz3Qlh38yMGPsM17eTN0Hgj
7DyU0FUan3sulyWsh3nhmx9r9ollMZIebWTrkcXucKz22QK750HEM9hwLCab3fhxMYqKTTEq/NUq
zd/yctT9QLXqI81k6dNRrej+ojWYC0e75MQPeTrSVBezx+AZpF1vl1zX/SYtyeRuBJdUZTQ8hlF7
ZbdQeUITryz9nZiYxUX3U4tNiS/tFI8J8r+eAT6OIPB+I6pzW2ej4sBXYYZEmZ/OYear7BNo1fHd
ENHIXbcX+b3LXtUwMEwiQ5xRoiwue/SAas7XLSIHrCVD291Emcz8ad2GqV16H9+tAnTQVYLiZA7B
egthCcD1cxhQcW0+VvkCknBbVg2oZYDbPpJEZ2vSEtmMCsv5YwGsK5wtfheLpdiBI2RiPrC/xeJw
0lm/5q4fDfYBy2gCoeoPSIleq7XI/vDBoPpAvNVrUPhB1niJjN/imX8YtfQ9THl/6Ge5ryjs5tzA
v4tEgkl80xcniNjTWU5yZ4/JmxJSNmBkKU5Bqqd+ZrEjOCMo+1CyTwF6aqcZw/PWMllkBamDJwXl
G9m83L6sJIe2wc1Bo28TT2LnRBlDeaZmJH7g5hWtYXow0IxN00CZqPUWXavZMjhfhRVTnKt7tST8
V8ngZFqhxs1t5KtTLAb8Qa/fRQRS7GiCzruq42ZSiWHwZM3HDgbewtij5mWLlHtqGP6wIJ593JsI
DGb6s27aITYH8nqVB352hFSIJdFIcafPybwzA5gPkuQYHju0FOd6gttlgqpIS5LfGQgVp8kUE/0b
5LVCcmlmdsDHtTYddPcpswiIDXyvgsRbX0wdUiBbcgsUYLSRege3urZAwSvrbGcH9Xtt8a/zPvHZ
9EiiYu4nQslibCXNV1tVpF+sVMmytj7nK2cyBTipjP0ZSDcRg6MdHud4Ap2k0ALVNmY/q76ejogM
ih+Iy2z5kkpCkqBVIjn2HXtF4yxLk7yRi0ZjsUocqBeq/iBDXBEtJ/Xkeg7b/hiPKl+hoQY0Owni
hPWQqHWyji+7W2jxZhC6pga8fNsACmSQm3b05GcHlNGCAAuUKR2WI8ilV6Ury2+tM3wlFJlefWhM
6TvAU2UxuUsstJm4/Y+EPjfl1slTkq/dRkFrW2Fk2eQJqMlNyKNog1UtuHawvgFKZ7TZnlM9si2E
9aLN9x19OeV5DpF4RIAJs1MQOQbpxU0GzKSe0zo+y8HUgcXqRaBcip7jQ2SZD7+0NP4/7nVOan9w
q3GuEaux0jQtNCOO8SdfaeYo+iLKpt9b8TzvmiV6j1MeLkZhP/RNabCs2HUiZqX/+9+7+mL/dJ4S
9LpAy5i49gz1T+cpBxMMCNWq36MUWm927EEjTr8VI5TOqUrf//1v+7MP8eNTYj+GC6A56j9ZA5eR
IFY67f0+m1kg60kAfZsChrdVf3yuvyUn/0FyomPSNX75UtbsoZ9JQWtk0f/+v1vyfloOT69F/Ppr
GfDzhb/VAeKT6YDOsHA5fxzo0Zb8rANs9RP4exzkqL64LRm/4DWQnfCvWEiAijTKeEmJ8LMOMJxP
Fn0Gk94B5DkwsH8p9geX8z+tWyGMtTXH9FBbOQV/lJ0Ax2yRlanzXiJGmDf9GolNKuZonGEwI/KA
CqQZHHziJt+OnVk7DHAaZG+roHW71A1x5RGn/VWq3mUSGLM0FbeF37ZpHJzKXYDO2gQiN0PMBbY9
ae6CiRPBuNJiytIQUCxmhvxKMVpEvtYyg/fTYcRw4EiiZadoevm5aefmiEgyOmu2UH2LO9ZjoK9x
6CIjxqZxVDIkojKv70O8fsVeBa1ob7RJtVBGGiZmGq0kDLakSQKcunKwIPVTgFev2MfEyX5XADl+
HRclvp54zbOcMWYhsHbEKcozqnyOYnD9UO+0hBHIUPdLZZS3jh1mV4PhJDdxGXXXw9gqOy1IFi9Q
8aG4ZTdMvg23GyspQUqe5KJ4Ex1whuKcAMnM5CzpVAEGr0xia2y4zBrPV36FHqnHwgx7v7BMsdeJ
lCVsgSsvYqEdMR/ltx2m2y1gyfxOXbKSFo3d3BBbLHQqiLQ4Sgv4a2LjPkzHyNqCdsJDwuTwmqFK
qPqzZY4w09IK/wG6mSfNsroTwvnnVobdvda2GFrsBk/YRleSsHJhlqc74lqNz1OW6qjKDXuXo+lF
XIAi71qUKZk8hgojfpUuSjm0F8tEEcGgPZBHOO/qO5Cqwhe5hkPhNneyYtOOosY1o96Kvo9Loh11
46wpbf+izVX42DBUuhnaRHpog3yltTuPXCBgVFGX74xiyo7E/AUnB8v8nVQ7cZ0K/SkehbnhlJpi
XuhnErzD4H7uZe2bCrS7Uc3xzWgdGfJJcgn6Wr3BF2htgkmMh9Ak7jIxbD8XZGxEvYqZaCnzVZRa
BvvECSQ+iJzTxjh+1QJHgXcvGL5HXaZdWOThmg5YHwgxyUl4cQwfSzfGQZCNG7OQdyWrzaMTcFWq
QURbtzY3StQ+LzlxrstE5GikmxrmGJt32UbSC3ue9xotMKDzkfIsLCs8MCutLzKrqusZf9jRsltS
45Ro9oHCDF4mmuhsDEhlCpYtoFBz1nfVHMGrhha66j1oG1dELPvo46YLs0npDmEsSpJARD6H2qMd
0NDbtghdcWxKbRGwuZMxCiP7MppoMSsPY5Xd3+t6Ksd72Zrg2FwihyLts0ZPPfFVmcRXZqNad50d
BdHTJBYIDiQuZca2cEo0ooRBz/z+IT7TttefHGOlgWQkxQ5eE4Av94VWQmCcGBolh7HUI9QO5ZLw
aRKUaMWuKYm3vh/iWIz3XRr361EtZP5PAjvNipc07Zql2CwD1jAEGJISHWeGs2wGxEfc2fo4DF9y
BAFrKK22GjuVMmd5wqlfT02LhkMEBT0f3x5nK9xkdOpsH9Bhl4YQom3xgjJ37L5yBGZ+9sI1cnrS
6/uuPMZdYVAtFkHaoQegtcgQkuMzPZBI7TsajWkPylytmcWC7Wn0gI2lTX+LQ/+rdp2hCY2n2r+e
e92XGFH+x3ttsMMUf3hW/3zpb89q+xOoHtVa+RFwJOi///6oNj7BXUIJSvW3IrL4L7+BsOQnnYY9
riYDqt0qHv3Hk3odpq30LMDZPycDv8UT/jzHkmz4L2kc8oOI8usJE/YLgwaxylBNQ/unE2ZPME0B
367cTwOcQfTxDJaAAcfOLiogCZsFgFh0YIkNlwIlu6vHKLHYu+VmyPAFbBqj1wBgxsYTysD5tjT1
4n5ozeCLI+BKVYsxEls1LnKPMA4tNc1NeRWv2HcrLUp8U1Nq5rB1pqQlr5fwvZMNeP/Mo5UTLoWV
ceyXOqv92olX59A8Q49m2UPLWoaE7OYcHgD9kFlsU6UVNxGy0VsUIsJTSnIGfLVWjGMTzAWSB1MW
yUYxIj06YDNCmlrO5rWuNEGFyjAwDuAXDJ6DNpKxiXhBcqPr4UXNeVObOg+67/wWDeG9oJ+Bor3A
0mpXNUFIlpnNPoQp4zAFINE9xu5l6kPXkfsYWbyF6UHN32O+8L2k+3PLvZsoLW2Jg2+LKSG7ptrY
PlWLYvFzeWdPtOnbp2JU04uD1PA2mOLoBjlR8VC1+Fe7thnmq6lGnopyl9QMfCPct3n0Z2g0Va3m
9rdElX1HJOjs1wgr8e6RFZa7qhHTvADhZxGMvVRftNC2b4MM6IiLAVXVNoFjiQKd4FhuLUxOYHKt
w1Tl1Q1xtc6tbMEpnBLhyH3L9UNPUCMnMeN6t0TReIp6R99O0ZDjxJSItLCS23cKfHLo50SZOwh0
97kG6xb9n/YQAL84xDPfDhWxOEy9VaL4qgflfuHJ4ZtWQs5gy1OzztJewPzVJdZqJe/4zJqBTCOu
30a4uC9NX+pPnDQFw5KlRnsrQ8nYScltv+nQyay3XeduqrgNz9B+72HfhncoM6fQd6aGEyZ93C8c
Sluy0TMQhJsuUsZXUtBt+jrkTFWVYa0yJ5UB75QU8T6waEgd4I7o8y4OeuWkB8oweqNugaFUJ5vo
+pbjW3eIJM80xP1Vf7E0GginCFXsLZIwzXC1xjQfC86p11GrqJAhjEwQd2snCQ0YotWaxdiF6Gac
wFWShBmbq3Ahmv1Md9d+qSG3MV92AIJGlWkEfD/KiETaIbhh9Nd59zYEzaUzWiYhozt2ZtWrh6yu
5/hJr1qnO0r+19BG09VnAjmV+3lsiN5IA0zj+XAVD137FNX5meZHeCICHRpmIhXYmatuqxTKMURl
VmwsPVMf4bvE23ghxV1duoU8+zndMv+O3M5QswMD7fFz3BGvqDhRed0mUe23FWqpXos2cYbsg6YS
DQAC2KPxMye70NyzvZWHIjSCXdk0S8Ph2KAlBqUHQ3Ki1xszndDMdnobIm/jPexnNZ56l0ixfjN3
03Sl2GpyIPNLbmanuJQLpu2kDQ7JoLWeY5fTcYyJJrYmphMCtRE6W4J8FKF8kwt3miwAIxMsu8nW
0F/FugZ7prPO7TzdQ2IIN1Y47gidk5/p46Db6fveXea+vBlt9aIZ6FqHBm0yTTNSPkWNtC1DPWtX
JgO4gpZIIosrtaja72jZz+qCx69u0nE/jXV2X5hAs5OhRM4OVZA6pB1utT4wtjWcDneMo3knzOUc
1/a8ywSn7yhqsy3AKc3FX9SiwMPaHTdNWW1Se3kBs0UES2bdLFVz3Y0pPXM9wipjlM2OZm+zTUxF
vW4avFNo/Wj5t+Wbw912R2ix7cfBHGzLpuM0H8jWKzW93i/Yq7xsGJQjrAd8uNk8uL0Vfiljvd2E
WhR7qTUXGx2fOMDjsnkak3rcA9nqHpO+6VgYo7ILm+m9b8xs5fDNfteM2sOg6cEXI5UItqcgEhhH
QVu4qDVVgHpAoPZGjp2qqIEzOg4zFiTZJQDYPhVHMkwzDxuZdddXeOzwOZakj7fxrpMiZ1WYi0UK
eF3QRU+XOPHtOu4uTlujTKwlW1bmgU+VHJ3JU6vf4M2UMM+nOH2urCzfaj2QfvTJ9jZvO2dXLkP1
Uo2B+uQ0IebJoS+8ciyWc0FH8mrGi7rPjdy+M/gP1605KTcg+j9bYb2awJ2632L/Ns8c1TTmBVOX
kuI3JeHJSXPbIXsD4V7WxT02aB2irctgZtmIMZ/pL2GoHnTNOBsBh/0lj1CLKlUR42vCdGVVFkOz
hmEOdtTerZVe+dxVavvEiitqbPxjdaUazQXSQ3lHiJB6JqGz2NgdV7rPWAZi3KqT3nrTGgal6yTS
DK1QDg1B2d+NVuTfQTDR2YyMnOF+F4yS56A5H4m3cwwvmWu5MWWsPeKLHy400u1vk92HPsgC+1QH
+hfF6d9jEnef6VlMrjIXqgfZ6rEQUlnpJqmHCG1gLMJ9bpnr4DFsxI7gli+B2X+19VrullJ07gLJ
wDPi+XlGfY5tv9TxnTev4F9SdzDUA0GAKYWLXn0nPHhw00Sht4gXfz/oRH15+jILgo8C7TZrif9M
2zG9KzTzXIRdcSI6pPcx7apISZmyd94YNWPlt1q+IPZbFWp5+61PogfijVZHj6eQ8qC5iHuzvaUR
gEtqmV67ZAN2pCvU62Gmtr1ONMw3ecr5EcOKVz1NH0AMkcs11iohjla8h1tsfW+05tIP2nuAPNxu
4tpzFOulyOhtrBy5HYnH1tEhzvFUqb2gY1C/lCEMDCqFI+MP8nMjkhKHok43djgY+2Sa84MxVAc5
kz+bmNpjPM7pKWPNwxE0cSGjkNjpCSGelZrsmiGrjmU33YslalfdNrqgQXo9YYHfOpQpXmeQdkoc
ELTOduFaB7kxb2iOD74kXgppfptvp77M6e7aX4NQf4YnGLyotTRuYI9mHp2Zu1rrWFfya67n2iFe
+tavoERfVQVZX32tf7fy0eNc8K0lkjna9LwlEhTbcW9XdEpaxPN+XNNsGfDe7TixWBdNmUOkz2Oy
VTk93uiFFYA+Ko/Y6Tdk3u/iSD1Hcys8aVUsUZLBNoAq9Q3CX+1sVMnjlFYmaW1IIaoxljRi9KK8
gE0qIVTTEhhMPl1YuoJH+kmpW3PTmsvnLol362Gz1oqb0upCT4zOqmd5R8axr3VwF5Gi3gRjixmV
0hSTK5M8y02q/At5a4W7tNPD2Pa3CIlviO285rQWe/xgEjw6tCbQ8MAnDT2kqIRtLj+sTrjZJRFY
lpCnIiHG0czrwotMTOCzxZCF+IzlVm/w/HxUM3+3aP9Ti1YDVPnvCr9r5uZl38R/aM/+eNHPks9G
vLVGnVj6z7LuN0ug/MQNEdnUh0DrN3WG+gngp4aiC+a7rn40bH/ryppot4RO7agBzGX29Ze6skgj
/9iVZTpt6WgpJUxTwzKQl/2xK9toZlKvnogjCdUI0rMsNIeOgmDNwa1MQbVDDt1ZIbjpAmWtOC+j
oyBDz1XNK1AD+DgI1fukSxf6Q2iHb6CZkb1Lti6+YPJ4JyrEY7dG9BJpS1qvtCebKXTgkOIbpCNx
gBHRvgPlxUn9yPst9exUrRHA2Nbo/alOtAuIad/hkSIrGLJAsGlh8e2WOGoOqSBUuG/hzDBZihTP
6OeucfORAGIce+MXyCGICiaOsyBq+2GXKDp0iKIMLmUtaF5RkE2HHrRHupSvNETta9xBwUdmEjPY
Nd14HMg5RvJl3ozBZFOimU6metiz1YM2B2KfNrrydSTm+N36P/bOYzlyJO2yrzI26x9lDuUAFrOY
0IrBCIqk2MCYZCY04NDi6ecgqnuqsv6xmu59W2XtkhnBEO6fuPdcFXn3JpOcfQGJ6kcwGD6lOHKv
SxSqdtuY3LUWpqEDOdgCz3YSA48BCvOD+Y1YxjYxrCpVJh6aMZBnqHXBsaYB/GQ8C6NeR4By1qYy
x5FSvmLoKh9YWEqCatzuOVRN8+h5zYC1TZuq75YPP6zSkoSwS9sCKCUDLDhobohocfN9KhJsn8Ys
hw5tL8FiMQuly5tm2rD6Fy5kgxc5T7/DC2l23qy01mfN9TSrryOBf2wK7ENSNYo+Gn228tOO8a5T
b5zBrTlPGb9R+o+tUS2KWdzt3XTevEot/9qs/gapnx5HneCAqsgkv+isFa9n2bg+77bjWUo+lH76
VORW+JI0EQi5PlcU0iM5YmB87FhfkbWNQD28idWjWbdezgr29iZmb2/CdppzfxMybkeSMsIz6WcJ
PHkCOmAS1pA/aR3QyCscVFjm03raqjjML5FkwmYR/X0KqoJbnEp+YcwzbdVo8YltAHJ8IHNI80mL
RKZPplnwzb+J9702sL6XQ2+BoVO23Dqzzr9QIttNCn7hqpt9AIWb6+cps70rEejhsscuoGbfQIiB
QFb2GRJQ95nP/gIxOw36m+mgq/EfWLMTYbqZEuLZn+DNTgXtZlrwbwYGb/YylDdbQzg7HLqb2aEb
E/2t8VI/XwZ52eL8yEuIMoLIHNXrHwleclwLYzM+1L2TujvLTHoQWy4JrpGBf8q7GS/AO2DCaGc/
htmJ8FiK0PreSnbkC93iQ7t0qgkXR5C77/Hs7EhuJg9EL94Tk1KsH+PNBmLdLCFqdoe4IT4Re3aM
VJH1nZ5X4WCpzDudGeYPW1VYTGo0m/kagU/+Gt9MKOnNkJLP3pTGmW0q4+xYcWfvSnazsTSzowUb
Q7NSTXXVa+ShZFy5zbqaPTAgzq21O/tiyCXAkjV7ZQZLRbPWo11Ps5MmKXTnAP2GNOWb0aaaPTfF
zX5TzU4cIFhi283uHGP26RQ3y452s+9YDk4eY/b0TLO7p7sZfbyb6QcCdroPRpxAROVhCgKNiWD0
ZhUCfBy/JDcDESURZiLoA+3ev1mM0Hir9+5mPLJmD1IpPCb29uxMsmaPUnGzK9Wzc2mcPUxxQtLN
orhZm4jn7Tba7HeSs/OpnD1Qo5Xrd+bNGNXcTFKmTdbk0sNTdh/i36RcNNRc1ff+PjQ0NBG6UCy7
arVyE68n1x0ZKsU1HXfuHCw1NqsuzxF/0XSumPPTUSccm4XOzmUQ2RP9S7utq97H5GwxKqurqCL+
OhnzJTGg+DvEMH1NZjdk606X5aow22wtipCxQirc+H4QOlG9RysFJdmAgcTb+QI3OSVJkblUIl7d
MZFYqMPK1JvmlRFMHd/7g68tDKzk93rc+xvYm7Q5WSoepO4EF47FYeu4ybTvmEPYVp4/lCxUH1CS
+MYCKqX/ra9k/orsy4Wa6OT9IRyD5JubS9TFzJ9anLUqvwAGzC6eI8pNHQCnaqLEOnsB4VZFhzgp
tquAY5vbDvneiKyK/ndTuk4Zr8w6y86xJ3i6MsEVCeWMF4Y0ZL7qnoE5q6rlqdR5+tPQGGy5crK1
KtJAHy23kvs4SvqnoNVc/DSdH/4w5xyN/Bap0czpGuOcs+EVisSNOXsj4Bf/VHMeRz9W9nZo6DiH
Oa0DSw/BHVNJoECgp+MmtkZjQcg47NUG+GPSzLEf7ZwAYjQM/Rj0kQrSx5cShwD7GNJC/FtwCKMG
/wH+6L7AYHZXDUVQLPM5Z2ScE0eCOXtkfj2fqjmPxIunasdx4WzjsiLy9RZcYhi9fU29KfzC8Rft
okHrtUWFFofHEc14GCdnvBKWTuzZ6Hn7Tm/rb9T12aWbU1P4PmGtQP6FbU85xKrUt4iV6Za2cgte
aecMlh4xWEQ0luktGcDq63BOa4FHZ8HJgtM7Od6wr7kYmSMY/Tkn6EXMiS/6LfzFrsmBieZEGMGe
dV/PKTH5LTAmuoXHhFXIJW2l4D8YpzubqIuTi+9RguCpZv/T6PLNmPNoDMbO62YWFsElmQNrpr63
p3VVGUbxmBNpExn4DdddiJ70WN5CbwRzhBDXb++9RXMqDqv+urzIqo7qHYPoEoGPlBBKsxgn98mQ
TcQ99nvSzgiwFVlqDg/yVNDrPlaAgdl6uSPOPAidCu7EMsxZI5Fy1V8nVuDxsYEomUHc0sJXW5k2
LarkK74cjUTY66qHCSYXCRSBSRJLOAxdsy2CJBLtgY+sAQIK07yEEcO47I2yd3hBdZ5/xt0AurVp
nScaQXUoy+gJz9y4zswy2ztlrZZOi5/RKWa9+fTGAfjTisKPuJFvwKDb72YBnG1hVTYLULt9czxi
tNA4pZdST9e9lWkn3hyDTlkl+zxpyp8mYlzUcwpH/aIvsVwvojZKdxWY2atpozNdtq0V4mGs4Ek+
uZJE02wyYBChvAMyU/R2pv3H9/Ivrc3I3tD/VuCy//oIf/GK/eMn/tE60QnNZjH+0y1sUnOY1j/X
ZThbfmMfBlzprx0U7RaAE2Qt0rVt6wZh+UcHZelYxfCQoXihFEAeb/47VjF39tb8WY/F2g0nDU8L
vj/7QdP9ix4r0f0Szawvz3bIeCwgZLA88tEejbXm6uPszRiMLDHzw0DITfo4RcoGr2c4P0Lm+o+W
k3Bo6IX5JKXOl8XRoiNdHIFUqeECf1a5nH3YU+3BsTBnl4mWzo6TMOj78lnkJVdd3kWpmR0TD1NZ
16VxfHaM0Cv53KfuJqrDfJ/5owlMt8W3OurBKs9Sa6UjHdiEkY7iNvbaa6I8eqeY8+2Umkqd6tZo
tqPsyoPhVf0Xl+i7lQH0tbxavNGvOVuhIvVeEQOyJONP7qVZf5hVTG09kO0LRdDAvssOYNgJVVgb
3ijtDC/BH5jQdZuQ2T2FR+UxWquWjmr1rNsA1J45zeh577UwNF66cThZralWbMvRfzO/eRhrRjJN
W+arrhEvqR15zwOF5v2QDybgAu9lGFziUMW49M0uu1qxVu6stjLOVZZV+5bAF3CR2O2yruj3tgyj
O6ihH15TMu5RuVrb6NSPZYb4NC207js3gr8ffdsEBqbjn58xiFPs6j/o2d1y6QK02HlG9KOl11kT
6j682mRQoY+P4gDXAMB1RpHuu2G0ydomEp3XpnghDvyl1HhotqkTlLi+e/MbtJ+mmRdrK4mcpa2A
qCwQ5HbzEq9DxWQSbvzoTIMl4bOFaj9/Ip9LtqobV/fZOFJTJjvHaMtoESKy4dl3DsBQ4NZb0ZHA
DuBsVgTJRA8eLFzzl3GsJ6ZSId3sZJUsogzYP4iCbR7FLNbMDawtnCDWGRn6p0cku+nJztR4Ckdp
3s0ZbhuJXffSV2W1IQBh+ES4kNILCJgobaKpnx5IRBSgEDO2mRP3J1Yg0W6w8/rU+O7EglH2wVdo
AGlHbGLvQr3JIfG0yjnqisXQImocce7zUSxk5U0pfFFD5MtSdozF3br9Zg5AkRe4441NYiYldFU8
DSsjCLtNFxr2MgGXihYrA2LNBnKIuQ0INl12hBxsvH44RSVPymEbCpturBkwO6yEO4SmP4sW7rnr
ph7azkSeKlv7ksxHFmYYxqwgWEgtzIrimB0py0tTmWrjxMJ7iei0WPU4dMR5dMmwh27SwBbfO7Sz
GyPS5WfCtXiYhgzKtewId+5JAl1UetO/eoVlXrTEd1bCcf0NYg8Yp3nSj8eCPVSzdOlxDq5MaJIy
H5M33TU5zTYi4anE2y7lkK+awTT2NZXSAywdpN1p336zQ7u4MmgP2Uv5s7DJCyLw1iZ9awbjkGKI
X0kWDLAXRurVGNt7gCTsk1lHdzH1oj+uo96dnjv2ywvsqPomZIyE/o4Ejqqx/LvQzauLpHgHVFw9
RYkmH9g67qrcnNhRgwkpBhoqQqr7RZwawx4qA0PcXqImywxtrUNZwbij3PExqVN1l9Wd8YQULX6P
2FyvNKJlF21f9Xt3jEJ/nzPSegTrSfPKdssclLjLYFaKvOivgVVWpzFW8ZLDU5xrmrZlYec48bOI
fDzUeqsAG+F+KvUvwITyrCwmKgZonn1Wt3IR6XW2HHJlAB30gy07mXDlR+pJc9Tok4JoNo+TF44/
MqEoq7Ag7sY4s66kZVNaVnpIwqpJrcYMI9k6xCyvWK7PUctTc4zCdnjOU8GcWOXBUrqdvBNDznQA
JObeC8J+5WMofjMLEe5GuChLbUi9dWU1o7aKa1u+cQlOO8J7cLLHFH1DH5pLMPPtz9jXijPwzuKh
LqUOKT6jfinFRzBlwZr6CHFd0XVbt6sBeSv8+m/GFDSnKksf6qJoD6GHcNGsKnU00qC5TLldbPrB
nS5CZ6RVM4wrsSH409oKZLXNLMbThjmAUE1cGgQntH4E8+C/d4ZPijB2iZyZMJ4RBC4raWunULNK
hiB2/8KYB0k0rMYHCTd91QDcfoOBy3fDlGo1Mdve61Ey3OVhq3FgBf2ityPrHdgjHhYHWbfu5/l2
Qlz30WeBtRoa5JktR7rRj8YOzbdC0cBY6DHCRLpSoKCJaUkfJqHvmb8KSIWmDjZbUMtCHbC9lRN1
114lwYs22NkybhE4jDIPLzFQ9Zz9Og2iCGRJukDpHAJqcsBfie/tODfJ4mjEqXY082Ga2ksbgD0s
U5EeW16wpc1n7ykeDfJyWNrxlYi2aETwikxBuCdT/SEZgU8NfVWgujeZT1p54NL5SNaBbpOua/pg
1tv+KU5Usi1kzUBAQP3IJxGtepUBDkK8uWkzVp5BgyvLQJqyHlw/OwV2xfHd+/1HGAm11Tohj1NX
O5+6k6bfq1ppZ7uurrWZ2Y+Taz2jk0Be75FD3PcmHrNGm7Zu69AG2k73XGdhe7Bl9hFPs34Bhemm
TKJi20EM37WA2YCQaUF9iAx6RisKrIc6yIsLsgtGCdxcHfSYqx4o403r8/7EoAHnrKn73YseRdou
nTr7lKkoPhiRvSkIDF7iILxPpPWNLhAcuJulawiZPmj/Ln1CCau2beOW98ptyIyvlbkRpf+DGGeO
wCAMt26NpQCIUbqri3Q6hUxxj8pOAmamkKKcGpWRmtJyZUl7+km4wBOBmTkyh9h5THyeQqMnzZLn
x9Q0Nu+Y/uYM5/R3n9XnAplDeB+rAnidNt4NcjiNvm49pyVC2DIGdGwhG9xGFU6ZaEj896odhy1Z
JNX7oOVYhT3szUVndHunj9sNLJ33niEy+qdM3wSINRIryNZpG35oLSS0CqHrwoFydCBQdeEQuXYc
mqNTIA4DEpIRXZAWwTJ0RbEMhZM+z7jcR4qqhJ24y1Vv6z7klj5hilIUjb71nECd08DCmW2qrTuI
Cg4R2p58IAgvZLlOKowRnGCWcuwYcbsL/BjZaNfH8lLaigAHC1oxS9xqNcboZXurf8ehFkP6qWy1
7Xt9ule9Ey8Tu9KJdanyje32w0frgide1AS6cCbU0l4kaVCC3R5La2UX0/CZs6t8l1jABGXuRxZ4
/oon8jNrs3ITQwglXTTXQBjXwqXJTXAlTVWCp6hM0APoVpJjTjYSWDg4Xvoug7CtWQGjhMpYWfkE
Ei+DUs3AVwwPKHLvqXsZ1oh0w/x82ghfcYP2vn6YOAeWXMJqhYZN7HxTEz/RzdiLBm3+om0IjYem
wAogAhBE6VGt6zS52g4rg0UtxuHo+7WALGzEe1YZ7XsB2HlnDCQLOHmryBwY6+RQwdsj31Grwcam
LG5LdhuvZShmhyF0YlC84uqQD0bC6hjEZ71v9M8B1QGjINBMgqjCpYlHC9nIlOb6ozv40OJWfueG
xSeZSJ20FllOxPqTMxB8Yh3IPQDO2gzMcp/6seNVK5ovlBGwinIq5UVckYwIADHVHUb4fWyvbC9K
HPaiQb7SGh9IdReMww8lVfjVIxxcUCPYr/xM8a4FDNdGg6UyqhC0B3rnDitRu9Gh7dzyrlT87aKW
xRvzxoWZjNWGR9TuEs8rV22AbDgCqFpgox/yr8oX+h3MVHcvMUzxDaaZOzutfEJHpmD+2PLLShUp
G5MzqaNve/3anrwKyz0mt1hm1UHLFBr1PgxX0iwgphZh3+6sFB4Zp8G4ouozgBpTwhh9nSHnjZKd
rFJr7aS2gfimtg6VqCgBbAEnI0VMaMsRhyQWAHQSiSqeh6izXjB6shyoI5U5zKY1YwE8L1kKXrmH
3nTxVoHKfett/x51JC+rSL3hcei9YNXFDEeXIBbFHbJzMuobnLiVmTImrm3GD7iulHvvcguz0R7K
FtodUMlFraB7DFkcPwVu2rw1lJ70THV3HnNCBTJ7qje4o8s7H4IALOlm3mwYWXjW/K5n+ZIPHTQg
JfZjXJePCP5Es8JDAIMKiO4+qav8oQmgYAWlXn5jhqW/6sotiSVhoZE54mThzyQWL8cKaBok8S5y
HBCLthNHBm3qsQuHOicMQ+XOHXwS65qH5YczVQgCFGq6EHCxmOBBCK79aArYuEFlAOOWjulLjJXi
2WU+u3UND8/bCHp6SyvUPCdV2391SOKQJllswbJArXhG+SauYr6EQ5UzDpWMJ5kRVtQ6hA1DcAvt
/vtE1UfFr7ECZ9o4XkrGvOEq99LooQo8KrFyqhjLQ6Bf12ju1oASvH2fQD8Lpyk+2SF8+gx9wjlF
2bZwBsmHSWjfU7eYnnHB+fYCoxS/HEC/Ahl6Mr4kHBUQsLueVKbYme61kY0ROD1/2xhd+pDPdZI5
8bmqJtQqDOiCg28kEcQHEGlRxIYlj319GdOWFfSfcyGr29XJNimuoxy1GicYqkRURA4awijOytei
wYt7r8M2NLEjkv13V+Ijx9xR1KGLREPWsOQYiUxfs6imv+i3WRmmFf7BThtfmnxQw9PUazH3q9bQ
8DaXVtQQQddt6xiQ/zyTMLQjL0mFarAIylAu8cwUbbL4L3gadWihrjhD7Nz6mlM+pWk2fPvT8vwf
kuT/QXbZpQAaWP+v/6n/xVsnEDOTl+oicma4otv27IH7/HhADjT/7f9SrNBQ8+v9GZ+ZjUzQQDBv
dLwj2V5DYOwH70ZmguMyDgjENppVbexQR+Xo36l2QroFSwAopzeB5C6j7d8/ub844n5/btIQuiUd
6TGQ//W5ZXpX5sJnRgw18uwoakV/R5DQv/8gpPHOocgEIjp/fQFsyEA0vV1/RiO8mP+XQD1zp9jc
HuY/go7/n6DDQin/p3fkv3nu7tnQF/kvco7ff+T/ziTlb2BFATyTSH3jbvwxkzSs32yMoa5r31g8
f6ZuSNx2TCoBSxFzyIiIz9afp5LIQxwTJIdjyX8PYGXOYKFfp5IWPgLHNux5zMkZ9NepZN1ChGm9
6BInnhnjStdneUcVJPLeI/XFuloSLMMWmzOaT9/3UCMveqzSy8RnMkZgANwuVPQJESo1q63GfADz
qaXDi+12GiM/CdRtobo8oRqbTxkSc8QXfXHP4ePUObRg+uF5poDPj4ugCA26xW3hWYTwhGV8yOJc
/2kGOXMe1hnud20+FQeJw9lJ5nYRNdtyaJz0gRrS35IqMK0gbNEZ0HxQqZiyRdNoMH3EBqUq3E2m
pT07HNbufGpn8/mdzyc5XHbSbOfTfZjPeaez23eqb2NtYc+bM2tk+FDdrol6vjG6dvK9FRugrFqb
it8YwMHUuOu6TNXKEyFrb3x2qAGDZQPv+Xs0X1h1J8P4bBuDtqIycO6jSnDV4dRG+5pKQPYNUThU
v97gsegTTTQ+OtBPkNX7anz1x4JWE7Zei7jBDx4dy/S9RV0AwqS/D7t9JH0Gqf0wvCLC0G18VIMA
A2J2a08mdY6+P6aBcBpJ3ooTmeplrIZqGQRlXAN9gH+k1bkoFgRXEemZ+RNlBsqbdoG+nI9EPEWs
NSkX62kV23VdrWTqjG9NSwjIhd/EEHRHXTbgAaAoYs9jruu5UGK2Fv6ED2ytw7mWqiOr3fQEUa7s
MmohKYTOtWQLHixA9QcrY2yKK7YO3JUFKXwiK/WrNldxeUe6j2+BG1vAB5BfPaur1XCr/m6FYDgC
qU0onvGyb8pcUyesfPF4J/JWOOoAY7l3YVIwVcRCxQtByhvDtVxdLESDxX5CtkwXiUIUUir4XSRy
NPnWiS1eDpg1zHXy2ReKxYO1ylhVmteWOBbUtHrnPGaIafuVo+FSJ6Cic0qkHtieRwYm/qISXKnM
nwbwxZKoveIQF37lnSS2gq+sZGW/jFMncaBNj6ynOtSA9RLFZHGuNTc6wboNj9LP+w/KNaDoSE/b
9Ui1N+6HAFHU7FPM0fOmcp4HMTdjzkx8JEwUnQCrZT8FWrMTVeZs8iCKLtEw6tMyJOaD+qfyM77Z
PtchG9ExalZVXLQ9ox/VdaeJTKkSVxjmiALPmLlSXdbplLBaNS1iLfcC3ChiTtKkAXPuhinrz2lt
i22VOO0qDMwAfxkbXGgTDniSVHOis1YUKUNX3yevy9aFrFYMvftXA/H4lvzWEp+EqB/YZsdE2bba
pzZ5Od8pTeL2cUHPA74qcAdvmjLMmk3QjsXrgMQKiurYws2aEFJvLYjkxHsIi8G6pwHB2XESjY9W
SUDk3rBlU1J8p0iiUtrYfu/E2HdM4Bs/mZ4+20BRTmgm6+mRAW+ndj12wgIt8zisXKUB/66JsZz8
2Lhaec/30bc8UNIxmNCF3bKsTcYy3k6D6R5i4oQYbfTaMJwGHXSZY9b5BBi5SrbMaOt1qgc+tR3v
VbEJML6uwASYV02NotuYLfQP6cXGsZC02aYba95ao5sIEaAM+pOarGglzBSDQcM0IP5elU78ESNn
fYYR373VMMuqNRGkFt81a+hWWkzaYqZLrdlXQUCEpdnG9VqGdVAd+QsWUT3EvaQ0BRK66kIC34Q6
XmNqySDQ0n+JRTymFghxHBZLA7MlDYSsAtA9IG5AXlfsAvwGbmezKOyste6KXLUu0FTEWTphkt+6
fnqx+Ag3WAWGZE6qEMaO8Z5zneXfq4D58aoxwnLvIE4S63yCnoOphpFXMfTDAwBv60yaT9stMsjx
+h0jseIO14iMt25ZmK9lM7wGrJmhIiF911kF+am77DrRQK3p4qG9o/FDTzXqNbD+AjQ8A9UhuGJW
9Ylvja10nEYU+E7j2PHSYq7rH4CP9+4Z/JP+n3rqX1vxQh78u3Lqf1cJEJiPX1Mzbj/zhzxWUmAJ
SiMoifDMqGf+qZAFbICsUkKgcJCpoqH9wxMpb6EZhkONDBDRdP6op0wTVigbTFBmiCBugLO/eCD/
1hPpzjSPP3kiEdvyB2Ii6AL2yfBJf6365x7TUkbL3DV16bJsrTtXeQN+l4SmAwMtGydaEY84P/rx
i2vCOZG8i9PH1fX+gSm7WLRMXj9SJxUo4yzvDL2anW8cQ2aXSuZEa1jOGW1c/TDGXfSU1Xa6Tdq5
IQ2k/l4o312nsRMfXEMS0FWX3zGtx7tBwxywiOKe+UtNRvanUAmHD2MCY+lDDHpEJpIcPPRyR98x
021rQgsZmvyusA2gaKmfcYRwJOhd3e/zKMOpl2kSii7ZsIesbBWD/JRIYEqhrUpd7zSSsU25IAfj
OmgEzrEgI/93jBhrmKOGYaMwy43h6OlWR/r5qiP9xG2fXHRG23e+oT9NAruELn1mCaWFlliUyvxp
jghGMbXIJa7tHKxXVjUXvJWIoWLHXJuWPdDSp1G7tVOhvhhUlxuzAl1cRlW6RfuTPJdWDNZ+SBHr
ETUQ77y6aVbMKDP2aaO+bHSjfSng7983bdhfGyKhPr2xH19n2sA1SNxxZ45xdZaEuV4x5kbMoY1o
UxJQchSDLL9nJsmvXQ4CR3Vglx094dfgYAKwlqeIitkGlonVfhHoBTTZJpPVY6GSB3vL14Y12hOx
SEQBjsD277JEzY2stk8Th7z1suAI7apyW5Ydmd0e/Kk6bqJjgwdnS6cA6TkLs4vO7MvY0M1Dsxlr
ICzmFLdHZY3xt2CMvDdWmVxZEftMX8n+UbGre/J8K7ojq1jc9fPdsWgrM3pBZVWf4lakj1ZhKTY6
TGAQCxRiZw+pEzOgNc3rNDrRHVfKtBkdFgc4i1znIY+YTS7yBugF2WrdSfaRuGB7cg6A7WYV0WSl
n+0wqLMvJSa8oTWPEuUjEAcZsepxQGUzTsdfo+xr5qbTbgjH4Sy0zjwavV3ssG4G9xib6icuNg/p
XJ3uMw3Keu6jIfRy2wX7xzKBZYq8K6Fq7SM9Vbs4Ttl6ZewPN70V2vep6o9GyHwDQ2q102BgtWEA
fbV1MfOMQ8LoR/nOR2n2P+ySoUIwKu6fMbP3RelbG4dt5Gp0cuObaSWfIMYI9NMCy3hz3Pyp6Mzp
W12rkUVULq5FKOHhDaGvHWygOCHTE1aPIdI0qjRNlh+1X8UXBxpXuoCP4n0CMw23eTdD9KYofXYj
cBEdYsO16JLsGAe8ib1pEpTYpnLFSp21v1k3303X6yqqAv2pKXIQ3b08FD22vNyVBGXNcoEojZOr
qev0TH66k6AXDtKf8r2VZMWqxhiH+tsz31gs0wdhcdsQblCuwBcPC0Qr8YOqhfVjGsqCUXocLqeQ
ZXbM7uSVtmp4dnLiWJSRFUveUHZpVUhyBvtGddGqYdOnsjyCZiecxPM2dhNnW7/uxZ3reum2TK/U
ht2r5jO+S7CcX2MRmDtqbzTZaS+6cy666tNsRp4JBPteDM620PthTT5rC6GQpvm1YcuqABDNJpre
GQsqiTG4n+oi2ZK9jmYLZKyzrLpBIvDT8C8jrl5Dg8TEO6HeBTfodc8Bfq94kSbk2KZVMJfBNaBT
T1XiGKgS4kXui7Wua68xS3SXKTHVFXJsB61CKZakzMol2D2mfiyRU1GLdSEIaTTipPieynA6+kXo
Xe3Mlfu6tpHjz1X6NWpIVnecfGlj8fyQsTNsY4ZfF1HLrGESaIrzHBRGUFuGygHVj0QWV3jfPG6N
M3it8AUJMoqVqXv30H7vuEQnxNQMgcHKsVdkQ3OqY3a4rIq9EzVadWliv7xDy1N+0/woPddJptDk
1sFGJ8VvNQG8WNt1ab4kfUaxRj7GuvLdYhMO+BEmJ2jvettTH5ZZzpdLO1mv4Gmi58bQu3Qho8Tb
MFIIGCKHyZpZOxhq3Q8vuo4OpfesGfhRDo+i5aXPiQVakUeIbW4w3CMoYTteDWkR3ptIQvig6QRp
kDyJEE+0ZAYHZovTdGj2iTep57T1txErJvB9/nRJOlZstDBMoMdGQJRptRwySDBsZFl0Z70LjAOT
5OS9Lw2wjwiOsA9y3UZ8xY9oe4EO6PRfi6SsvLdEymiV4ah/xdvr7ziZwr3fGKsR/85lamPtU1mO
OKjG1TZZ4NT3epSne5v6cSOtoCbCu3efgx6lhg4t9JEpg+DhHCr/cdQk8kqnOiNg/56jLfkkI4Dj
H7PrhJxnsAKMjKS5T8DFFkatHcnUNTDd5FVEP97+Lj3U6W+J6UNYeXVNUXH3x3EAjJRCBH9xmY7M
QLzmWgZluitCvtKwvxy0jhNia5RDvlv+9GYxJEQG1oVDr50igzAMN0c1O09tGlSU9iyn5KxFWem2
iCwT1JY2qkuB+pKE9Dds0Q85+LqlNvVgBmepZjWLNivUm6CC1EEhNXqCGml8A5+Xf0KRGl5whLy5
v0tAsYE0CELV7/JQhZwVsShR8LN0lFIrDxDg31SlkVE01hpIbHgaIF+s2n5o3UvZlKN8hRvxswVq
6O5SVhremzaGhtpoHb5PWsRti2Bo2mahKu7wF2nFm+IApfbyOrBMjGpKyI/ZwdWSChBQbKwo8kjC
QrBwwM7lvBEzWL4LDEIxTIUwPTqhrVdPbTiF/jadyE7JWTL3U8H6rrHjL9DptfZsl/5gr5F7AMcE
N5MU+5LJAWorAQcOqummk/VLjSd8UQ34bwVe9EUTWC+DZvQ76IJIo7OmRaOdDxsP2OIS2QS5w9YJ
XILL0kgjkC0JuGU0p9N21CLP+QTDMpSGc+AG0R5DLQpOg5Pq+Dn08dyFQXmueDfJRyKGLYz6Dyvx
xkPlzYQsS2u3ej7MEum53DJhACyAhFXHKCLfc5MQM7OCPdTs3NS0lgnxJVu2tIKwNuuaYf9coTYJ
9pMVNPuWXKFDlRnRoRHBCVET2cuOrk6hL5vVGDjle2vKdOkONhyEsos2bLnobwPhr6soLdY9uGkA
m2HCReYrssp4m3etUAbZx0a2tYUvflqtTxmtEhUNQJHQXH5BMJXuC2CsOSW8tW6Z4UTOUHEQOnrL
E//PUPxf4dPrgKL/tolLP75/ZL9gbX7/kX/2cNZvRHkh0sWa6OrkDv7Rw7nub4iADZMD1sBkwVDt
jx7ORqnr2PRoIORhKc5xhP+YiZviN8OwTNS6gHLYu/6bJOpfOzhuFkk6N8+CVtEQzOd/7eBinW1i
zZR4RwAqRUAUk+DZelb99KfX5P+xu/rLeuj2MDjc5+BHU7jgfH99mEmvodlOfG/rydKfkiIbV2Yr
3Pus7yAZ/P1j/WXIPz+WR24D2H1G2fTPvH1/XpPxXsSgNk1/N+qFd8/crbuTtm4erAlGjJIZ9/Hf
PyC7t//2KkKfk7rNiA8soCNo+//8kEOCE0J3uDEjfEPBwi+L5gQEk+1loWWFjZwQ7L9wpWlsxP9h
70yW40bSLvsq/QJIwwz4NuaJEWSQConawChKwjw64Bie/j9gZnZpqJI6/97WJiutLKUgEYDjG+49
FzYnoYoE7QJaBQVcbGsn7ICrKKbj3QCooCKYZifKAYMeLFH9U4FWBpAzTvQ6CMUWr0G8xcJpQpsY
CoLZjPwhSzOkuVrTvjNatzhQE/MyCHKQ+2MbnxmZOcVqXitsx1rP98xc4d20Mn9g4Dl9EUQP36LU
bm5eFd7p3RijWsuKJW0u4ckYCe9sm7JhGSVW92DKLv9Kanl5AViUvMMvyUpBD7IN9NkCjR+OvRnT
Bb2WiMF6qk0UdozZm3rseTcMIMVaSx49oy3PTeVzLmep9aJnIaInt69JEdL6XQ2Jg1fwIAI6X80s
X6Wf54jE8uFBlFPU0R0DfcWKZ290aTbPiCtFj6M1ajxZL7yxD3v5LNgCjfLE0DvZeAVjtmUfcJ8v
GVBTKulWXnzqGq96Tsj/fp8QOHkVIb7aJTZB8TnxJYoDQ8zE8dwcAV1oSTxsqOSZBGJAjj6lUTYL
Gwo7uwBPZthO/VOeZlfGceyK/uaPU8bWKG5Wpplx7yVTKAEIJs4ltghCHmKdSUQyXqNauMAT9OY5
90q1KQe9RbsAMQ8eupt/Rp8dwZeKXscmqZBp+s4xBANXLYzJifK15OIATMju6iynW0at/IBrczrp
UwDoSA5GuncLpWsrjHSQDrVSe7SJZdnTT9g71RdybY1xetJxEX4Opdt+Sg2m6uspnMAFam0sDlwC
ueJN9lq3GQDlvjkj11SY7LPPukWksJvax0CjWUohqgtJDnZNQPCWvph1gZYPSwl4elmaNo1CQDan
V7XHhFhCeO8tM3MXO9sLmzokLJr30UK2uIpKd1wPnltfgz4zT0xt78ku7o2F73s2tzZPz+CY6g5l
Exp9Q30ZULpuHPA9d6lZTJ/aoRyJ9qycT9WQpheSNs1VOrXtFUSEtixa/1rDyFp3zvRBo/E/m1Nk
rs1xkmfNm8iQEkwJClzcy9AQajOiZC36/L1nBaW5i+lxlE3ZoqIRD3KMxw4IQVcCHU6HJFuMfsXa
aJKJWqVhnhJ1aKIIhCxTu9PJ77Nx2GdCD/E4U5zo+iLQtHC6seUgAA5DRIdJiwtRogQaGWQ92U3i
h23GuGfwVf/k4VxaC4MaauWMs54S4xNaNKcmcUO0PiLQXtH0fhhQevkbb0xNZ5/7jDjgB2mjv5GJ
jGtiq/LW3YQpy5KrSh3+S6uKVXhm80n8fJk3RX8fulpIGV65tYyOAmwTck0Z9M6zWUVdkyx0CMLR
um8GYd6SrtecTT1gKvnMwowvKgInpR1SFD1d84iNrMjrLfas9FlzqvRRqDzeNnrBMVzmnrNjZp3d
vGBEhhtYJhLDvnMtaC+kcC36Sc2aPQ1cjYNX/NBjHz9hr3J2Zq4RWDukYzyyohLGkxmVIKBlPf/f
+E5AT6KDfwWyBqCXCHSyJlPL2pdQFoHB2wW5H11m7+nui0OMFmnd5h1lbU5MEA+7zwYDLzw+Y095
YEBcSTxJExcYIUS7LNDczXAWYF0aS+KPQ8O/1VAqHiepQ+FwCq2rVkr1Ofwsu/oCuNg/8YMQYJKa
dnmsULlOq84NM+CpY1/ufRRRF1wb7kuWz6A0K1PGJpBe/qD1zMKI7M752TRiBdkkaW3+1fSb7AbE
fLjPSIaYViwwyscwx9e2mJEMQI7KFIBkFGSrt1fdf6URv5NGgNP8ZRl49yLly2vUyS9t+91A3/zz
T/5VDbriD7oVSkGG9tR9hE3/34m+Z81je9xXps8gnbKFIuJv8oX5B4eb9WdWiP02tv+7GsS3ZTLk
Qg0Dc1vArHD/iW/rxzrGh5SMU8CCqMiH6W8MxG8URsIaXS2ttIoMuuwrD5TYan6JS9ln4/frmunf
fZIJs8PSiUADxzRvFr75pKywC3saDD7JnPoFEomPFZTDRR+Qc/rPP4nPEJYOZsS2/fkn+eaTwlYL
Jnr+agfXq4NHqF+kQiLr1tPtH38QGea8yRw+Tuezvv8gRecpymaqdkhav6ZZ+jXQ4q8J//u/+RiH
MhaJjfjpO0LQANXDGaodcavwoX24iDKiv0yH+H9x6bhXBWE1HN7sZOZK+9tLB6LBLiN+IwW84zTo
DEt5C/qnpkh+80vNf9M3iyTuacN3TfxRfE80ST9isNFj+BqYvmoX9T2glG68juFwA110Y7T1O1b8
Dzq6Pz8MQr1LkB2rtR9lZJrhlDybZbUT9Zy4IPNml/ggn5havOg+3qXYJgUDEXr7z29FdEyWQ1+C
mAkw+ffX023KzsyoSHfgMMvHrkGl6wgtvWkJ//bru2S+2X66oHCmORU8Xeep/v6jmNVRx5ekf2kE
zezyrhrXiakHj7/+lH/zFPvuN5/yQ9/DHNtWWseqQRODczSb4YYjuzi8hez9/33SD5euT/OoJHec
GyTrxpU7JC8TpD/EJL99vPSffyn6dd+f9WjCNgFefH/pANU4fl5W+a5SZC5UOsquGWw43E8zcFMQ
B7aiM0B3IxwHsclM0cssZAu1XRxUTde+xAcKe3ygrWvohV69KMbEPUsvUMAZmzk2Y/SJgAsnQ91V
HvrtppqkC5yhrGcuigH/h4xePQU0QS3k7Lyhzh/GRpg4Yc1y7xC1/hF9yrjqc0ohICvpohwLWsOE
+zlFoRsu5djRWKcFSlvFRmhPrnqx7tKMlFrTKx5httgHnAX961tP+dY14sfjUxIKlN6XxFlEHvr5
9Whn+ifApOxPJT+PZgr7JQdNv0pVSy6SCKtLaE7lCoggTFHa7hnY3qHwxoMIB9ANaEVrPRjWEJX8
ldZUGkFC/HZTzsGVJ15LDAq7TbKPSAIPKbFcl1dA4ZGh3TK/bJdKzL07oKRt0kzl0dDbEg8NAlZf
5NqSzbH5HnOjcxxCI/kY+mV2c/uUNkRa1TO7P5PFHn8RtlEDIGFuM093A4UVK/LmWs6ySDZnkWHT
baOYzW6yp8fyNZpjTYvbjwGX5hgldXVxu+SrbvCddolrvs/9+Csz0OARCny57+ejMaL0mpPty3TT
QBNCMiJQh92zexyuyQC7lRO9BVpG+atCElkoA6jnMpB7h5jOjlAq7FLn0KrEJXHD4qurCeNslAkX
scto4AGPkIv0dttn7DgOE+Ekp8jlkjEP59eEQ7dkMUIqfV1h3p9MfqWQTTT7ERq1nEDBVeBESb7K
WiLSl3hRIEvG2Ecr2DKqEiucq+pDFFSob9hpSH8J4zGeFi5iyJPGavi9rxXO01CkFKBeVB74Hcc1
a0+Ua7qPoTgxxK1k0vWEY5f7x2l0hwwp21HpQkSRKjewQcSpGQjDQkHMVwDJLaXRNWFULrSQFb2e
uOIm64bHztYnbclMBGoMKjdIURVSQCfrq+jWwvVQW6BNyYvoTW0jCp4j1yuR+cdCZVtJ9NCVqbj6
MDVTunWqrmUDqjVsrhPYDdPsVca918iQ5sJl7/lpEpX8bE48W6wyRmOV9Y58p6DTPJPz6xy9MeMM
pabGldpB4nV1m7bD7mMNkCjfhEOe4MeaXJUDUsVi3Qywz9MmoUyPBHk/tDP8ILQRIWMvDZVCv4py
NzqHMFfWXcjoJtH4hjqLV19ncapFfuOvnEgEj4lqunQVVUP0pajgCRepqzDjRbSTttF9qOSotoBm
8d6Ijhth6v3i0NvxVxmwEam1FnwkogN20V9aph2rSBJ0X5u7tlSfumiMDzn4lnXHZhyshu89RB0P
pQEZA8F9pu5U24h1mPKc20S+Lkx2Ke99jIpHXQwbhIHZMpyGqgWAksp0wYwBR0ubcVNzKg73UVaN
q6JLAIBRVG5qBlJrmi7m6qpCgydBmk4Np1veoxgBO5hj0uT3NvPkJUYNeCGDyXnJBuk/WKo1zmUI
/pTANeswdNxRKQfqx04EDNsztBOqmLszCZR6BvyLC3S1/lVqTYaNA4nJMrJT/8FwMTrYevbiOByU
TcP5AUF3hjwP6cIEUruCWVxAErI6/wHwcnMyUAuzfp0rrU6gRciIwFolY8IhZs5tf89HI81qdiTa
tEuyNPvXyClYzOP5DgXOJ2XrRGnE2cWqWlaJvYVHWAKKlvVcVxPYfcyMipupr6OOzZbBroGE+EUc
iH6Vu52xfjt1+yh+blMM9nrPacVePFs6+mSc04DxXuJA+VUgYjnjqCQWGvaFcxI6G8nUaanKOUbO
mjgRW4SFDAjKd2zUxGXygmKFObxZ2prslx3fMEtgvWl2iBYKFlhhsPTdojgEU5c/yI6zRws5PXrB
Q4/2lWvOLpadJ2vKENgCwFVT/ySMrj1CgKIeLTsktbPl0NWBzLGN2+YiBGPaxBcrtlh8J4m8jAPZ
HaR2vI91q3/vp2QF+SP2TXsyEA+JeFrjnskvFfRxel3UHNBVYwszejjbQ9v4Hc/zrVE6pjK/ZCke
5vWy1a3qYo/SJAVkZK3ogtFyiF0yPV56qeBtqMVRdqsLTl6W10xmc994wlddQf7hK63+PGRdG3b3
xHeA8sHqZ7rLTO+x8cqP2dDtctOxm20BWMo0oopJphQEro2wAstFQpMHVcJMRL4k8QP6Sl/rAjs3
iLkCjThmQYXrZgHaLs4XVli3+sIJ+hrxeG7iLsUhC56FjFYiwqpl6Xf1wcokAmIjH81sFdSEJbrH
sTeHHIKRjgz3zsWiHlxrs0ecq6NU0LZ2rNAwQU8CJLUwc+xwB1sxnF0Ebmd5FnZl0WDvxjDmfZVj
EqFfRGvxBUJbSBBDCNHc9wixggpOoJVVO/q6lm8xV77H2GXZNm17X7hMapvE7piXAfBN1i2YQjJl
rM4AXCMN+dFPdbyj5ZA99ok1ZIvKgLs3F9c2TCFvVIcCgcYqrvRPtt/tKha6TFasfAHxNgKPwfPF
waEeHCfR7gyr0JJV6+VMX8h72vKcmnATEzmSKejDTa1J54OQ95KCFF97Paltpl6S1ebVxgeYtUSW
8Y5mOhKSq1XYZqch9rKmM49r+BpmntGBmIdpmnmDoLTUtH08ODqjNABW6cJ2Ob7tkOqEbolhfW8L
EncqfuFd2vVoxPzRUb+x1cxAze/reMG7E78PmEzLnFEq3xejcsIg1kk929W8QJFU9+quDRF5z1Af
TjlKy/NogQUhNJG6IhVNeeSBd46tlYcxE+zfNWo/cF0IH+fnYUJgQFGdm90fmlwvNEOeAX6eJjdu
nT4eG2D0SE/ilyLrrsHIa+7Xhf9PnaHQ0Uaz8bIN6nHxI4pT2srJQcMjJqspwoqgI5ql4HVcYJI4
avZY/pm6+x+DHn7a5cyxsazeUEfqwrJ+ItcUJBjhmU0zDpQa4hanRImsC+HvKmnyl1YjlCmVEfUg
Hoz7t9cOgWyGu0VfDQTCANwRpJnzUk612g5Mv3/T2Fk/tSf8fA5bQ4wsns4k6Yf2pBriUvPtLt1F
5EhjKpX5V9SFPFM97DodE6dNsZ2xXyKoLjHas3KpNQ3cxJfKoNAmSOqFUqZAMolebTTpPLFnFPky
I6vnaJuxOBFz0ZxSlyV1qwCJz5gDB98zp7I10LiubS8PHkm+tl/I5CDpQvCPLc5B7wHnNy9g9OPZ
TY9jWBXzW7EATuGjzYch8ptrYcxd7Hdd7nwtqChnrgvUoh+3l2HXBwlvL4QbLgJ4lGblogUTvsTC
/aGOPW2nUTYSFhCZLAgI+QMaevj17flTny1Y/PkmPmm+Em7THxab7ej2jGWNeCfot7eOFjLetfvf
HQM/TSz4FAYVpmt5tul5P37nXdypwC3KeOfaFM9EU7HIwKG4rE1Bn+GmJehUrLTnCIXHh1//gubP
15gSxZrnP/NWlQCW708gQHaoMLM+2tlsJ4JdZpfi9Db2RlPlHCXCnPEicK3cCnu8IbCov2pQLVDj
Kgc7UEn+0Xze4jUHkedb67Al0dS2iWig/hanpCzk5zowgnavBZLG9e2n/++8+jfz6nmGxhf5n0N5
jijYu9d0/NbM99cf+lu4ABHME7jxWKIj7eUY+kt6DrTZ8bBhChNZgs+omDvi7zge8YdhY0zWEU0g
TWeC/C/ZAtbAWXaOvt2G4Tz/qX8gPTd+eu6wmrpMyjmiWbybb3ftN6NJzIdRQ8BaeFDcOhFtPKdP
b4TTxuqLFpmNJw6KucWMMq7Y5ADZKX1xJQ6k3WGooGmqjXqL6UzXfzfjM/kdvz+UTH45ygIoa8RD
6j8eCYNEPpWyBNhjq6vKiyCb5uJTR/IzQGFJmY6Uj/ivNEjtxAe0oSWQESuADIPogs+s8YwHaTh+
3ayr0cu991OlhecxqntQn5E0nvOItBa0b6qaNhOrYuxGDrO9C+J4X2owPFrNx8oTkIhAGF0brYys
t9MBn7+XNu/g6YY7xAU5QkPhZPUVdw49me2BPgFBWoiD39B2lCTBrgdyeGsfdEsHOsW37nnNdeB1
kb/3TU2eKqzGLFx0RFd8QiasX2nOSoz6Nnb9JWBMVMU+YAADD5QZZQfANlkKBJISGbGexV6VwGm4
qP2GeeGNzlnbNvHUHHiXGdsOTf5rrEfNReTOsHITiT6tPFRAX548tJAYuIdx60m6DXIe1GHQCEkl
TbCmqIZxeq5tazwVYbTRYmAxi6gzyqtmi2fdSiDBY8EqVwjZog8mPn1voXdOf8fZrT1MHU350kNK
vu5jNZxCb0KzGWaXZqQ/G7BogTjoXSPc+KlmA45hlSCqiPACDBLTsiPjxb3qflpdFYAWjIV+fu+o
yYMAZDVGekdmt7TeJWED9MzQ4stEkIo9BibTxKx/GnWd/LLIKvaDWzlbTOTFpvJaOM9G41JhAwJc
T9CMd4MVVKQ1Il2zJh3EjV4xukDntgQk6T5w1esjVCxyS5iPHUKSLNGAuv4hMpBarIJCzz5UrSGf
Sq9MvtY92yqyorTqsZbxdLYKczgBM/Y+h17kbuygrdeYHmA5ocekTMBrZcYlgUFcd3sz1T36TPYr
0UvKbb+wmAJj7UTMRgRMf9U91Z+xi6uj08tuDSBYbO0a3R5AnQLqBASqqZh9tG3ebDp9MhdhE0fc
0pj4gk2vUjlCY7XdDw5/yUx/0haBD5QYl6TxYoYosvNkHL8gvAzu6jyyV/4wNDu7skkaapPEfZas
9tkse5GxN5WbNKuyt+BLT61HeLIqzdnm6UjpL8w69+iUiXUh6NoSBDeERLYvXDwFTxgtKLnJJG6J
vGqMo6ic0lkPXMe9guwgadyz6ISNuDiyAefqodeblrYi0VgqcGej6SCT8QP7FUJ2D08j6xtgA1Vx
EhngD7gQdQrSNgk2SJwBN/noaJiZ+fO2PrMDtZ2LOIhVrEgePHyIztZLS3dP4t47EfXTJ09NAwnR
0t4LF59E7LJhXlUGBCxOwv4ZtYLfLCrfhRqX40w20IM0cNBD4EMjNJLG+1gEnuhwqTYQ4UqUbOps
5RVxUwas7AVINAwQhmqj/DTSk5oLMSq1L4ltdLBuZDWUKHA2F6cssZJiAzYvMrP7B7chSAhQRkQD
OhYyu2Aug4nDWIxqtVSltmlg5ahV1Uzu2eU4OOYRWApw2ll+C9qivsad1ZbrITOtu6Dua/IlWgLN
PYv0yNhPyifCzrVsZXSxvdIR/p9c7lFAPcYYHdTkNHe9GUX3sdmn77DDFU++g0s0HLt8lVc97MGq
5PAlGTR9TdgTYhaw44L1v9W49zIeM+1DZYVTvxxQjFxNq/fjtaeD2ILO0rjNxtZz8YUAqvow5kb/
DAkrYzZgqKtB3bwbyBaaNFdjAIXvd6ebidIXeDntYyQUmqReNY+ORcDigglh9ECda74vGQ5fvXHI
jZ2kPLqHhVCRvza2abZk5Co/kpUIjs9Gz+Bsm1mqQy+fviAiqgmwxNx31/owHMld7x1ivCyfONMU
1cgFMwBye0dJPg6cmfrK+S6uQov6Te2BXGLWzEeEQmeuyNm8SUYr2TepOazrngRPzoZhn3hp8EGl
yuAf3HSc8zzkiCrYjmDhITd1YkkAtsksAPfX3skIHYH3ejRxKuvSgBc29KCwVVt3x9Z33bevbQeK
+5jrjYYqw+KXVIa3Zp35mlh6v+p9jMtpPVi32GirfVJ53r2wIoNPzV/NWgpuRCe1LgMGaLT9HDlO
dqI/DV7xSrNs6fIFqLUBJU+urXyypNZVZSfn0YHTaUMr5g9Mg3kpeNDtRR/7/Rl+GM5uszNXeTSa
iNP5B9tv7WPSp/VDA+HtiCzfzpayiopn24FJr5jMHMGVeqsmL4ftXJd8yrS0fOUudawlMPyYoyPx
lL9mrROdJNg5HAE+WmPLr3FwOcjiyZ6Vk2evu1EjkhefvbA2Y6PFgF2mTr+5CcZ4Iurq9JPd4ppZ
E9dF0mVoh2RZksIyTgjpWsYifuT1eA7xEG2rNFbaEioNAjkZpTdKOL4uMFp2oi6abqfXUXcf0yFw
tkmSw9iy7MabELdE1p2Me6yrBoXXBUu4jQcgKj+OyKE3LWulVdnqfF+g10bm9qQ7fLQcZnSaHqvP
plGka90N7Pkl2uR3fi2Nk+Q44ymS48TAGNTXgrrLRArIyJEbxDPTF3r/Z6kZ+ORHepAlQ6vqkBBY
5S146jR7YQEBiFCEBz26tLLOryA623OZJOMDwtv4cciUbq1caYAXajJ2Agx6rqHoeVljnryD9hit
Btx9JoJ/dJwrQYwdyQd2bBUQH8EvsKlRKzTW3mufDPUnX9Q0js2kiYNH3zMXmA4sU6y0Yo2nvLUX
Td9Mez9h7QC1vnNPbU5I6qKKsw4ApjZhi/eSREEsn8hJ7TlHkmVTwFdbUp40780Eb/8D1o3c3na8
9B94atFB6NwDwVqUmXtQScObALZBUe/gY9rDakAcASzJs6m/yszyH4fBsFdl7YEotZPRPfpNykEb
iRlkVrpZctdgVhqQiXqQ1Qt/uDXEGJO81nsf68AH3/8WopEin3y1DZxaPnMy5KiyGRA2EVxnLSJj
4pVRe2T/xHNohxmHEb6BOdQj7DxgpgWbkGWmh/q+8hMyQFj8IK63OlfHO11HVnt0yZot3f+2dfRj
cTv+rq2jhWIi95/bun3Zv3zX0v35B/5q6YT+h+EwPkBf8eYK/quhE+4f4PGwE+NAFR5Wnn81dPab
KMlAWYnIaNZl0If9pUO39T/QFjB00eFIMxb4Zw0dAvbv26Z52IbGysWxjG3ZY/L2w5whb1tVeLF/
0Ot8OGoJ4Qp9aqbXwXLSz3mhGHQHLQB90GRhyFstSM+WlTfPFHlklAae1O6N0EOfG1WjuretNril
hAbaxzoehteohT2Mj9Gqg2VQsGVb1mBqNx1p0usAf+dtdNr+oWsqC0vtSOz4IUr87LNSo3NSbK5v
0YCLHqwKkSeL1jdMVlslz0lr9ftIwFAB6pitk8iqWSkWwmHOn1vuZxwB2ZdCJ3AgyybiDQb1vkWD
eU0DrUMCyCLsa2tN+SXU1F0K5JAFQhEnkN6t+sUOQvV+CCmuiBuJvmoWhsuFCB1WdM3goWRXFHnD
aMn7BLvX3eQ1Rg/M0x6/ermmPZRFAj0RZU14VpoZ7BkdeeAWpQ/hoy8t+2RGSZqwcp0MATcVwOJE
TAkybGgNDhEKz8ZohcPS8nN/Kz3UbCSeuNnjaETRpXO6PRuVMtzFfRYCohH+waHI3+ol293VlOfu
Yx7h5NxS/GUeLkSyR6grzY5kaBgjwLYZI30ewe8QbO03HrzlOdHCFQ1btCCtD12QzsWz4U4Lk6py
mSEwPTZEpiwgY+AS1UUFq2DE4rUJlNddlZfXOxAh5S7VdPkp0gImjyLOs3JpTy6dTYbx0/B8DS3y
wMURWdbOuYDZxQA2SKBoOBEkz7oB3a/jqQ8Zs+2F29mtfzSiEsxYNI3YmoOQwQJdWNCuQmIf1pks
mgtg1maJMaceFxBboWj2AwAfaCEEiia5FS3caAjv/bb6Kvlbup3eTjUxn75Vfu1DEpx4x00ZuUs0
cK9FY7naLqCavgXdkOyVVdTrSYyJxVLRVS+VIfx7t28UbI3CwfdsNaSmWbW1wezAy2+Ijf4ytTJM
brVORJN6mACrlBncYq1ttx7x39d+9KL73MRJnn3m2zV7m0imJubaDmTpaBL5eMMO7qy7DHrPoQQQ
nONbhyrZKjB+vQt02DDfhT6fEcw56Nn0aEtyYvsC68SyNXCr74LCwIOAmGZR8ISi4sCmNbZ2upE5
hl5iw5vlWELeRYi88AqjIZQVarPUq1lKawSbJErJcqXXWMfMRWA0WQgXUoPYDQETUTcQ/5b2FU7Y
Dq+sc5oqO1iOekOUuF6MO+x0XPfZcw28mv56VfgNd6Bd1DqxXeQZr6TsLFryACppMrUHk9jGNe4X
b0/2bH/qWJiyk83Tbe10HZSPfKqPrqy7AwzQ/Doa6BdZ37pwh5KivWpCPkwRD2ZKP80O+p2hcQxk
fvrZB0uyStC0LMo4kU8aArBz1rNJJG4yWrBeMh4bO+XU8iFUAn2yxUJ3k4EdAtPypA+Bepgw8lSX
3oMlvQkkKtRQPNhaSX5hG17xWUfrvDSSZUB05zKJdYWkgpDSHU0VMF3wQlztsn/SLSta6QRC7r3S
ntZm5jK0NxPzSuatXHE8UVUSJYEJ2s7X87R9ri9ld0cYFpu/IYHrClnxPXwk+4OXY1jFsJbhr4yi
g9e13pPnAQWoejcbOKQkZ4pHVhl4PSfQsHrSDfHkh9NFp0mGuYe1kNlV9iUNK39XTra96zSRnHoD
Jdk6lNhXA3Pqlm2BD7yXTJLBKdXnHPTD1mty/0jE2AuWXxZ/YayIbsmnBa17u4aTrYMi5KI89BlG
3GBi4gIEN+Nqm1bCg+prArs56COuuaWQSWCsHQgv04pT7ETygoYK0KLuaARFppgoW1Nf635VrBLb
62hY/fxDXZIHHbVhNS5Dvv4PCZkBptOBEE6H4mKoLl6NWag/oXfMWK3a7bNnhPajVw/FQ11HISVk
rW8ywOt3Co7WPtFt9otZqtGS+mbGoRvF3WNsW7DNI2m9wNIBxGDVPUbQurhDgiFhXDjGBT91ChCM
8BqZ9+MjfQ723lwz4nOrRHsCkqBO9OfBTo/AvKhEpkwBfY7MLLygyE92MRpV+OqdR66w8j16Yytc
WUlrYmxoo+mgZ1W0ydMkB7mXBe8iyLHRIq8c+ZG83xhjrabik8mUZieR5tPrG8MnXJzpcrKq6clS
lglgKfEYypGaRq1fy3fgo80TTtL+xGgB2wMsp4T7rY6uDrv2R5IPzM1U4nYZ+7rFIUL7+h4Xury3
JhdRiSzpGTiY6h1v9OElgiDwZEWMLxcdURFrIBiQR01GcQl35cFp2of2Lf4obKw5C0mvXbw+SGh6
g5yk8S00CRJ7E7+3HTMgTakt3Y43UTrnLE1vkUuFRfpSZ4ByH9mk5+tqTmfyW3KagjmxqXkLb4qs
OcipmTOdwmjstj0xT/0w1FtyiUJEPjS+fJXZqptzoeBPtSsSmQ9dqFXgAkiP+u/a4/+lPmZD/muC
4flL/3+eyyb9tkb+6w/9VSN7xh/sNEzfmwXWrPZmes5fdbIn/vAISAHF4/2Zn0IJ+7dCH78mM3n4
nK5nACv02OP/q06GP285yBT1eV/BX/gPFh8/bX+BKEL8oVbWWVG77g+6XkO5tdL1sNwr3NuESBeh
c7EIADtTQfxOJz1v9r7brvJZPsscroWwmfn9sNtUUidb0TeKvYcx/zwx2jozGxI3WnTSiutJrL9p
Ve7//Ju/BZz+tOXE96DPiludLecMBPm+A2g0y/QqxjR7iFesNXtqgWCRDOic2gG5bNEGrrWGHWs8
9W5sPv36w38SNsw7G+yi7P3RhdMiff/h+IbkwCS02E/oWj7nWY4gNwPefKLdH65DMIkb+qbf/cr/
5hJjPcWBi0GBe22+bb5V2LeyTZre90AI5MZwz0Ki/ayIZZgWIm6G+1Af//EHzi5VnY+D06ljNpl/
oG/2ZgnQksqUjdhRIUNpe0O6RK1Y576l4b9T7vOvL6vx03X18Ci/bcjpH/G+zIu8bz5wxNs4hdSh
u64cwGZ2tBfmvPXAROj3NroD9irG2ccQssexZlyB/RS3oqq8fhm5KTuC0JPetR0Zyi0aOJVqgeJG
YgITw4fR9H9zF9AN8/N8d9N7jmGwt+MWJCnpJ4FLwawblVvb7RzPCu0nDZlXcJRhRqJdWKKYyGuG
qwejjHjDAwF1cDMX4UgFiCbF1CPXPSB6sPb5WDkvoSUbd4E5g3sJ1EZ5zCffOONAQ5eldDPL1wUT
8nNOggtVb+oAcutMSveF1sQz69yc/E3FAu2sNR4onM7TURdo48CAmVdhEKN+nENJSueTr3inkJM5
gbZG22omR5SVw73LKeGuYnRdYpcgZH+fZKhKr3VjNtxyAbYDqBiSt2CJfigyCPAR7gB7ixSCZLhr
baHsh6EY+1OhR1m8JGC0XygSFCHIzQcBjTLP6aDkcK/1COQFEBF/SY5e9dwlZvU8Nbq1dxXJY8sB
0eezn1sKwIsEESnqaUab6onAw9k4L34DiL5sMsNc5Cqonq2oHa5arRlPTotuPJ5i54Wa1Cz25MEN
z27Zmh2eWwMGhQyc4drZDb9pBfhykWeSDxRFHNxg0IC46PweIWnHdfQnxXVrsKB3gi9t8mtx6+vJ
eXE1RNr4osUa+hG5RrQ/rb8Ug4Zy/E1O/Oe9GiWgWJaRFffdHZEc8nOWYBpZUDpUz+aoKrmVvcqm
pdaMaXQQXhDn+7TW6rxdQMD1u3Vrm9H7SOEG9yvO01VL6TWscwpvdwEexH4ppV89R9Df72n8xUmg
+r9VWY66xS5i7owBe9bSDofy2JBomIGyLIf7riMbZaXcN4a2KavnYUjQo4VlOtUb1TV8SSIyrD0K
ceQ8fTX/rrN6ja4X6erb9beHlpS+zgdcmnreijCOSILtF/r57b9pA2JS81FPODemaKfxuz5EXqtW
fQjZqKslN3A0Px5uSxbPjoyjIDj+D3vn1Rw30p3hX4QtdCNfejKHOYgUdYOiEnJoxAZ+vR8Md/eT
qF2pdL/lskv2ZxIcTIdz3vMGQS1er4d27DGcxmz/DtWUgL/a+ZbZA1hjS37VKdAbh+4nk/oexzez
QT5f6XDY5SkdOHkD/ECZJ8I8G0XngW+SdlzGxxb/XWM/mX06blRkTOFdTT8Mq79ywFvpyLvwQtI3
P6PCoZyfDDWAKrdzcjNOGI48tbz+eN+W5bBvZVyOq9nMALN9IPPKzNACOCS7Y2nzUFthvNVLdG9Y
BtMuYEihYqXPRvQeO0BP68rxAQ2GYTyEAXkHXVTpB7cgHT2uw4Sv3ZiIoSGZoWUE+b41pdrUhEWt
sHUS14Ybd0DZqo3gwg/OB/rjgGbcakeLYUyizwfPGA62X0XFqjdlla/Mar5iQB99ZlQrrtwi8Y4o
ad2r2iwDEoFme7oQ6JX5wvXChpphBe3Leu4+BwkMgk1rUIpuWNzBkbku4UgIeNpgJTwvfLTKFvdd
YdjvujhC7tGol1J46RW4rmMf1GhxZKNJY9E1mHIRSpU57edY8L+sOJf1Hdcca5kiOoanZITc0otT
wdTCondEFzwWU0wkixf5BZrlYdBYn8bM/WNqi5r4m2dkc/BDh2x80ZUfPaaOy4FZyewhNcz0CfEH
GyuYHIvMlzbZJ0CIZ36N+zBiApjMXKPVg+sgLElS/OT4GPg6WYXvHJ18NoOnua3Fh6IxjPlsju3e
PwM7xMJgTS+lcc0jIeQINml9nKPBcbdNmR3zoA4vRqOObpo2jc8iP3jAsVg95l3zMhV4+LIExWNb
MDdNe94Tac2c804tkiMcCfmhN0L8ZcmXNS9rJhH3eChk3iYZSFizeoNUpFGJNfvSO7fDqvGRMcjy
WvdS97vZlo9F7NebSrc2k7aCICQbrh4hsbntYMpmheUVvvj2x1xY/P/X3FjNOxQDMvwY+GPSrCBL
htVu9iucvAib7uGVt5lxgWEVUD6wDhznzoneT55fHRK79K+92DIZJXX01wLXVpItw/a50j61SN05
/oW1qB0yMfC1qiBoMABrbQ4LO4+wdPLb6YyJoX9l6IlroajgiWPS23428zS4cEKH4y1zZxaN6lkp
bURUVqSNZSn12FJsorgSV5YMOEuVKznTUzJNHwfJX+N2aChQHlnWOmd0Eq2KHr8KImAmEDOmeeC9
GUZpK23BJnPzOik2kcw475uhOUwxGWdriGhtu1+cUC6COjfWKZpWKChcJlgVez6mIBaPdx2SAfcn
qUfV8GArnO2XGeCtX5+OQIYgYbP10Kmw9OFcxzfdWPrlqq9HnJP73iTX2oENSVRQ+7m0IFyuhNWw
IiSxPy9ezv3YJg7ndOEkOQRwVeXEbneISY8YOUEgff2zROlg3qhiMKMj9gBcXx4Ss3OVQ8wfpl7f
dAO1L7L+AEgvL6ejxNOrpPvFqUBfQq6W1trEb+l5xBIwvpZAuXxZmDaDowwzj8RQa/LubFXnLYkL
LraCBKTHkWJUPPrm4AECkKd37LOW2KFEOdM9SVrOsxsLDlZmkoA0dYMLEXA1VtoQvaOH0ZvxXKjM
3L2wZ8tvORc9cU9UIFZhfWx87RoV7ON+RErB30yVkxhe8Cj1yLLw84abXBHS8WBhoVXD/4CAu2s8
O2NaqJPljSrER6vcmbjW+9p3uDAbjqr7cPlG09Tia+qLRdcEt/vKEIquoZMzWODGQfqRbHHqCM1F
TGo7Nu+J0vLetRKjvx9cnbv1OhnjKPbv8owRCFdVHQBecDWqKdlNWWJE4l3qUy2jJBg7Z+UJyo3c
hP+RmDZu5HAVkk03kko5YsqyL4yAGoSoSfOIpUoMjaIb1okRT1v+W200M+Njns71JV+/uqvgpp5l
Q2xg2hAkR6OLwhVZElw9k18cIoY2GDNib5H3o8PnUO4GsxX0NV5wjsAhJEfRuo18jnSrifqdMCOx
QWlUMCDQ6gyyW4RDVy7uSpsjZkUZQpblgHudyKhIOrfIvhqJ7ex8nK7IoK8KHLkUNHN24IgItvxa
NrA5c/id2h7PWNcUBj3Ui6CrzWunIAl5AJ5z26k46B6aALVxeI+lKbHJXKJYZMXjVtv2tW129iX2
FuUt3zb3cqnzIzdfsbeLJXvPIBvRL9xtFOSXfWbjxcqrujbxj3hXG27/3FTSuoIakeLBGJkUkMAq
eZCXG3e4sQpxR+VXblHHmV8dN3SOljUwNsW3JUjxqC690Q79A5bQXxyQlvjK7tnCO+T5I4742H1W
FNrGUK/J9SFXcgJh5ASJsbRZcV9xGnZpdd4raZy5Fl6Ll22Ws0gZbgQX+KazImfEhOGKGRJGJVM2
psl6oOze/LyNWrqk77oSNAA0HHC+pQCCeNv2MzRPA248lMPOqegfNAErzVL4/vw5P3Q/BDTA8l0Y
5iY0futNexiEMbFpVVcfcuKKIeIwTHxgIIxXtq1Fde7aS+tyOg5//twfWn+ei8jBcUlmgVnqvukS
aclzK2V2dMBFxYVkjyS7aHWOhaYXc35VRTmBdMecxWpYqtyfP/3N6BGxL0plSVfMBuePeEuvJh0d
9ES41YGMIhqQmVnBg7+cuqnXctoD9PI/zbqhLVkqb2mTefdKZf+PqPyLiTbgmwXo8e8T7QWxu/yi
k0/fZSH/+WN/YnbYE2KXBnkC9wCUAIsJxl+YHRTkP0zHQpH5F5P5b8zO8vgha/HBltS3Huvub8zO
En9QbcCItBiIm3JBg34Hs3uze01kK/aCDtoOaytw7DfAlsJufR6jMr3gqkumF/yFyWIqbQ97RzPG
tj9gAtiM6XRISPQujLMKK1KnWWRG5aHCTHhPdPj0ubEi4g8Ns3bWOEcN87lGffVFNTlFpevR+6tD
2UUuaXLczeNk3xuMG/0+YngkJfrW3CsZ2JhTxFGzzQj/iHFHS4zOux2qfhDWlmKgqad76yTfd8nw
MJ9za8yTaTXbBpd0A6WX4K0EI9k12jBjJYfCmRCfRzODj/jCHYju9e9jAqSqkckybZ7cisLuULql
ZV20DyAjLolEqW3l5hPUxG7G2LQefHz3ka6U5jlKiqzfQmn9xByy2Xmqnm4cmZfeep7GlB91J2P+
UDNRTy5Pq+q/DfirDShEwHb59w14mXyKk+jl+9if1x/6Sykg/2B3fSsW+Hv7wTixyaxmzVNe0yZ+
G/vj/yHQWi3BP2xPLGf4K/6CzMUfbBOT2vtvDP43tt9bCBIPjMUN0ALcJTfqx0tNadiPKm/FeQkt
mBt7iIpEHxqHWWIYm6VbYL45FRWposIYEccCRep6iqEHEptJ6Z5gvi42gB+Mf6AfuPPUsHvxVD+P
pOJqpP1cOpsSyub+mzf9D4j4ct1+c+2DlvIH4zPu4ZmIMdDb69hve+rKZoYpGAGPibg01g7cuItp
8AiBBvXIX6+hf1W/IeH74ZE2pv6o+3AAchf/RP7zb/BaIyHn3IDZcY5/yUXVeQaxwQMqtH1q25HC
rh0460DTXz8HNIJKr3t78OwDlfMQ7pxoCRAJvYTaYR5I51yVeNrPe7nglX5JBbOtSnqYZVr2QJ5H
N+/tsOSebQW3PO4PVPsiC2kLFAKDeY0VKr0ANGXeteECGeQMJDZE4DgvXVkvfaLyeVSAcUG0bbxw
kSefrvCRE9OnMm2w8Cq6tu+x0yKddFrmBo2wWASjhUivsRBNTrZBPzt3taCRxfFg7UVMh6H/B0zu
TkirSZvbbBjcygdssOlFklNd0DapeqZUBatzR/4MLRNfbyEKAgYOI+2LW0kVX+u4oKg4IRfII2P9
rlFOjDW3MjD+l2ks2nOJNkNekU1Fqe96k1u/l1YPytU1LesvahdIUXrOcEd+qHwwLAKjn2pfaCB7
2S393SlkhDQhUl+aGrfE9dBg07sOXYNH5/UC12B1zl8HC5lOUJ/wd2CVNL4J4Wi7q6opl7gVpqcJ
uXul8wL3IHzsJ9TRfwKIo0B6rRL3NsaOYl6breIlJRNOySvXxhTrfTwikjzgslkUW94jtZqTWLyW
xMhBnrTTqfl+oslAky4dKc5hDeHwOy9fibfAOoFKMr4/mvHzQBmAo0neGRz8QGuXcTTOt4ZvxpqB
EJsXaF74G6XgBW/bZmIT5sEyM2pcb/Q2xMnmWzvEJy93lCAGeNTTg9vJDu5HAPeiSEO6jNnpq5co
7ZzLaYrcRwOnt6txqPMbKM3RC6yY5IDFjO2vE1l6L2WUDU+1ZaZ6J2aWLLCOvhm4JBdjzEX9C2cs
oxvXLv0pBOPgEZv7truVCSTwjTN4LBtC0Hm9Y0L06rXZaXBmmA0G/ISiV5aYVxOF5WzhL8B1+wlv
F767xEJO+HVKMXR+5p9F+rXWBMQkhYkZgstUfV1FrJFWllzQaOzFAzHOfD2QCZRLXve4VAPQi8DF
vKp+5s2wuUizZVMS30lUKUO+un1/wtDR/bIR4K7yghNZkxqU0eeeO4wGINjpFmeAIcXdJA2lhmDn
qAOW0JO+sMqeV+9VPU/BTiOdV4LdFmxfUWhsYWnIe/KXzwm9ks0DpYdhPBo9Yp2LTjZGczNBuQlR
SVgcvyQrTcG7BG59dhdCgj3owmgUtinAffOwyE3naRmQMaXjXWpzpBsLgogXgVtVcyAGh66Bdpfd
UysPMOS0kDNt8MVVy5SGrnHZFF1j81v0uOCZkNHkQ9Iv4Zr4VMXue537vbxOw4CDwo8ItYDMDUwZ
uz54k0/DXyOVilJ9wCO7ST+AHo5RvXL6qPtsQTzLnnDRbkXMKAQRwjXdC17NqCANyIYeXqcIaDLB
bzJZTsdWeXznXd4wXcVzXj/5faiyL9R+UuJWMdFTbwtzkPKa6QkbdyV74hDOwlL6hVzBjTPNs1gS
p4kAYHECwgXb/JDouV0lSeRflZYZvHeGPsTwRdx7Q6TBPIuqfzdVk7HNujbesDAWIIcMbisnZhgL
H5gdBUAlAJaYnE0M3eeAR4Q7XlQ2vtcJhjuI0nd27bglchFi4EsOmeqsZnr72Dq1XFuF+cHAFGLV
lSSDQpMgCAlhjH8QmYw+5m3ofdER+dUQv8rrDtyoR1E2bbO80bdu5UUfHGsotwWX1AaBqHWHPVf5
QdB97mRpYkzhzYDIZuc1N8xxsrVXZ+iYJYou/M6j/J1MW+iKZtvtYL1hFjBoaNBNNG+xp6qvmdBg
ho4XwrbH6PaWY73+kAZ9fD/Y+c3omTrdN6olk34iGNdEobofkiq5j1o3fzcWNoEBTVcu0h2qgjxT
8zFHPbFjyJusBoWpKv4B+Dwkg1U9cOnU70unqONNOrflzk/M6okh4fJqiwRHCNfpyej2en3FVMZa
QWYCfYDM+jVpvIbMVIhREhCfKAkpr8AxPXsTYxI/kbVMObBp0btg3VJUez/HNhfTAqs682Itd5FD
oERY1XtTx/2m4TO+T7MGnwqNDIohWiiG7VR4/ZXq7PAeCZu7N9oZYMQI3LWRGoweJ3JUr4y4U+cc
2NPBLMvpbDREcDYz5NlObdOsO2nTkvcTc6GydR+GZJg/m4C+50hB5/OmbII/HSj/tUJ5g1BQEtGq
8V8nNwCLaf339YmqCvLB8jo86q7GeAHz27U50jahzsI8hiFndR4us9ifF2JvOrjTUx0H8hUjxSVY
aamavqmK7HCOvXgEukMdVj8jE+JgqDtJjfHz57yhd5yeA8bDpJxqT9LTfv+cIYZ91AaEcdnA9Zyp
JpgDhvhMUHTIgfH7DwN0EbxOOAjBW8qDYA9j8+qi+MxBk6sqts9OToJGQiT7zx/1YyGLmwI5FtTi
Jmzyt7QDFQVebWjTPVouLJJyofE5Y4CMxu+q89bDo+O3n4cIl75eEJplw1H//j0Kv2Lb5gXe/8uM
6fUKKmMGe8SNtMscLJl4vT9/5hsMi++OD+fDloHCzpf3tlifEIZ18JeJzGaMCfPaMCl+OFC5gUuN
/woGIvzU2igG/m3ifqN/e5FiGebwnk2IJBKax/cfuiptZeo8A7vvk+YwjoaFfg8n259/zB+3Ak8B
5CZ7DE0ancn3T8kJ+cXKtnWPUYfzyZTgWH4axvz+U1Cf+zBUMD74wdnB7SypHIPPcvJodBO8pqQm
f+jnT/mHZUlymoXvPd0O7eabN5YpfOTqpHKOMmRUmTQwVFHbjYwxMX+EdlTrYf5FS/fj+cWZzhm2
ZLpZ/OvN6yuTIZzG3LWPcKPd96In23U2B0qRPkdbVPoTwK7bziyRn3/UH08WIE7MNQF3rUD+sCOY
gifmXDvymPXs7hD1JUla4NRzyhDl54/6h4/I4sAElRocn8u3h6WHuJVHFfJ4MkZGG1mdz8sUOLcX
q5ylg9PLqvn5Q//p87lsQSxwQZExy/l+WQ5mUloxVgFHMpdwhykgjOUmmVIQjX6500+A8Pd9OeQp
iNC2fbJA+GGnLQZtJucJvm5t4K9SUThEYnpmflcPc4MuDZdPbFAok5lx0VVQa7VXgxp0uMOuxKa5
qJhQRrL9LOD3UnXOJfNEP3OxTv/5a/lxhYM9klKOsypepxCbvn8tZeKMyYTtAAR3JDdk4CVY3muD
+3JI8f1g0EpZ//NHvvVm4CDEjphdtZiW4Ij71jEkysFLQu64o+Eb1Loav3xMZLTuYMMLrsyFGMF6
TyEwqD5Xz8OwMJ+sJNB3qpUMYVXUQ1yhSkr2HSKF+Ld3PTZCcA2XSQen5FvvCFOBi5It5RxPdKzU
dNIPIsLWr80xzyfyzfwVjPPD2lzYfewGoByWKMSy778ElbRL0T/Nx8EO7ZcWu/10NamSZaqXuezP
X/8/PWwZ3QCEQxD94RbA9xGHeUXQjSaH7yYts+DCbH26HMes6ZJ+/rAfLgM+GcMTbC6s5cZz3uw6
xneibkNzIlNtmfFHCfJsIqZjusSfP0guRlffbTmMc7FV5kbgwy080e/fYQ4lXruMbqkgGiZtJj1c
vzb8tsveMZ+e2/M6XSbddmRjijnGaGHz2rMgQuTLNVgpfRcjdCSxb6RZwplshp7mMVM3sVV/DkC9
rJ2ZL+jHqDKa4xGfq5uurAKm4z//JD9+Pzig4IIiudcgPL0thZKSkACvaNujnDG7G7GXOi/w99v/
PtkTjxEHOZBLcjrOg94PhNouMmU3EItxbEwXsoxM+fyqUsHWkIyx7FL/Ej9cbq9vviWbaw1TZbY+
FFrH/OFbKufCEqpx7KOrtP0Fi5jh2Nhh8HgCRFyvBdVRc+68q7SWvzjp5NslYi92zhYDRJ682GO9
DX6xc9wQMeVMj2SuZTjsmykeGO1+cuceHcKoQ/+jK7LMJtipFe1VsJDfSgbnyUF2ZNyt8IKY7swT
lWDOFrxGNd7SWJCJNa9mxtSwdN023ff8/huPXLmS3zQmDtk5UYY/Qoai69aBZPbYLMsrx9WF8Lau
EfVxaKa6XUkXpqQzaqCxNsRp7jwDOMLsUQ2Rt/HRRWACYS6UD5MB/e0I2nDV4Oay13bi3lSTMOZ9
5WFQAIpdzpAAlDQvgKXNEnKZ0wer2G7qCyKSPYFKsp7HTTUpQpjLOTniXSDW9pA7PUJ9EasA4opK
nA7s2xzG6oXUzMV/PReIuSBZiFx8Hhs/AxQ3UvZLoOsFDJ2iLL4ZJs2/PUNhfAsPE9A7QKocH16J
nqVi1LWdlfdn8TlkIchLkC91jarZa3EJk+MraHkywieKGhr3qdFBBsHK0He1JouZqX6VVxdZpIbu
tsUptNjgPbrMgUVRZ3fVbHJfNH0nFJQHyIyZiSl55LpVdufVov2MWwefYsSacv6CFKi3LxslgOi8
Medr1mbCD/LRYZSO/Ln3aOpsTN1kal8MvM0BRKMHm0uyLiNFr554PDgIyFUHR9bd+ySyWlucjvmN
5EOH2MeOOLYgkeqNew3haobLuzBtAhOPQbWKcwvKczkOTncnYIJgesNyiW/oVxHAickjRg6vYfts
GJqW5NO+g4Q41yVUIVdyhDtzxAqCqUgjIb0x8S7sIRTITrUB8aDTSPquXpmzRNm3817n9LArmQSg
jFFv6ubhlVPkJw4LrIx9V14ZCfTy1zoAzJ7VN0cuUEPs4td1FK5nTSTjmtpXoG2V/hp0c3hzIs++
QnBO3vPHWLEWD3YqnZckjONw2/Yt3M/XbeUu/r7msmdGD2LYS3kiPY3I+x+EFjAEQXvB5iWEWAaL
rsMqUr5LZxbnDu9VtgtmjldP/xEb8xGFV8IE4XU0I3z7JXSspZAg6hQ8rvKwpBbpgsQ2wPOrU4CS
FiYI/On689wekDEGuyJ/2GMescrMRKe7Cm9KLEeCiG1a1AaThnyyebEYrthYYAQySm6R6fGHCBPs
ZFfnsr0rZ6H0h157Frm+uedk2Z1fBRqdnM7FEl1c2uu+CZPpCwINlmzqK2nfTgImyyaeqI0t9t/o
FdzHjAHQicbAFawVm2kOHtJ2Z3lPFOYZ1B3ES1VtrfJkqA1cQkIcHtcc4U56zJsWtH5iOourcFPO
PpAE1rjHwjQ1UBsIOT4gzmomCnx8vfH/m5P+Yk7KGcBN/u9j0v/jEqjK78X3px/5m6MAEYHexLID
4JYl3+PvIakQZMQJm/moh/AIwIIq6k9d0YmjwE/5S3e6/Cf8DX8OSU8chcWkkoudblz8FkVBvnUt
AzWAX0S14GOsxp/3Fr0olNcyRALiFUmda2YH/tgVuBhTSFfmefU6pE9fR/aZRB9jPsHjZpqfnSb7
8nXMj/0jM/8cA8kaBoD3SghIXCJecSvs0zIR/boekRnvbIzaCrwhg+mAS9toxOsSe45iOGsYI7Qw
seauL7v6sswn+LzDkBBoFfh1CZs01Udi1QbzDGt1Znp2GD6ggOaINNz3kJ6HPbpCL1qbOtgQrIo1
TAFfuEg1uTgOFlUPeKYTp5NASDTQtI/LEdLgGgSjm/Mnb2bUEG7OtTJng/Ni1ujRCXduh0vsyNjQ
Mu7GRYrSUxQEzGVJ2taYjmtMEjHtDioyiotIeVdB0GGC3hJzuVeGUfE7Uf3tif7Ex9zIF5fvws4O
ddiMu3TGeQXAqOQXM+oM9RoNxAB3Myyfu3ESd6MbQ1SvurTDPbpFNIn0VJKtFU3zihjbZoPhzvCe
kcb0GM5YA6+J8cWxBx41xtZh4/BB7dDs5fswT9XF6AhM0iUecrbIhq0b1bgHtaK5GKtK1BvP9kYs
XJamDfGic4Zix3sMUgY9shuDdp+ktup2cduYsLVZ6hvD6ifzVrm47WKiVOzxAA+ZfTqaiVfaeauE
THYG1yQWeADeNu7uJtaRq9odigM22DizREPv7+Q4jtsRut26iOQQ7SbZIRNoorp21qLNx6/IKcyX
2cF7LXPYjbslXm3LHTtx+mMovwuawtkjM6rvRdnE55nb5e+JIsaozBxI1MVGrzvkQxyZG9l410Ux
IQ2R3FvwWjzg3DgXLBpup2EboRfeYZSnSVlugmvtqJpcswbvf2VHRyQ02ltVVpHdY8sFK9aJe+LQ
UqM6w0NbnnWFV2yIzQg/sBsaksFTEXwMiwHjBdjwQ7aPOiUfQqjYZyM2ZzuZDxgMBGXY3vv28Mkc
HWMzTP68CX0UNqgfpuSs8moLrVSkB2y7XF9c4MWAmXXs+M9LrOAe0qiLcXk7C8GwUUJOJyHL2rSh
enAYXl8p35w/YhEUbnoVTY99Qr5FOBPNRelhBumqNog75p7BkbvS5ZVyUqQ+HQY7CSyfJFxjkuVv
RBxW79xIdavRCFDiBEn0BLNi8R3qwvwus5n8MEOo9wPczq4ig5uZvI1tPwr3WydW/XrqtBXsQCrl
yMmC7ec5M6OU6WBXXzcFYvzWNTHMENl0RuJhtdaxSlcDpPJVGXafUhOfL2sax7XjJ/YhxTttXdny
RY/Tk5M3zhoeRqA3wSC9JtsoC6MQfBVqFde9ezO2RkhA+CpzIKg2r03df7fir25Fen4gp3+/Fg8v
40uSfCu3Fa8/8te16HD3mR5oGrE4zoLZ/+9adM0/ENsCm1DRAZ5ZQAJ/XotSknolQLWQbNo2PqAw
Ov+8FoX/B6FI4Jt0oafrVPwWde/7hhY16AINw12CcgvM8UN6lOkG+Yy9irwn277uMeorMBsfBH/n
mqF6cFHbUXMbQ+j/RDgCV0ucGXe4LE37koKuXucJKZF5qxfHkjAfN4Yr1l1gEDSuh/q5NU1+D1l7
7NclY+8mbXTNBLeGDVHFOtv1qGW3tYDxIw3oBnFQjhv8LKc99m3Z3ZxaM+U20vcYv4kv5WwwBI7t
0cbuLYF3gmwKQVTbjS+ktEwvnkXiw0Jtpj2Mo4FCGe/ueechbTw6k1F/5DBMX7ponHAEoFGXfjo9
T7CP1gEuHd7amubuy9BEYiVrovMiConbKHZvRWdAt67yVr7rLT1nv0DrTsjt/zCF01fgoo3lW8UF
nfn7ggx9M3srMIfAOLV17+fGCs7QzjjbWmrQpgAbU7wepFruGFkENxyS8qIc5dIDuAB86yQjemCO
SZrAnQJHOAriy5kQlCvZ29VnUALjqVROexdPBqSNJE0vOYkEwd9xlz/meejvo5j8mr61qmvfb951
HPcHNBwXxFhLIgfl3otJC1Wu+vjNJrl5/XTfSqGXfN9vgBQ+tG16ywKmwIMC9sOYAK9GPwrNurxH
nhE+i+Xbj7id34Pw6huDueBZn1rNGS6u3daOS5gAhdHNu9ZK50vda/NjDZkNZhRow3VU2tkRyx/n
Ppz4l7Kk/CLrCgYOSrjrGN+ECyIIaDT98DGyAWaCJMkfMzrWNT7o5iEpx3IfG42xzwbL3WDb0kHR
LFjTVmcO5+ZsfS7d/mJspDicvMJx9Gk7Kg5rk+gp22pnlFuzDuKdkzzndZAebbsaP+EQS3PTWeOn
uiEb6aS8aTox4CuKW2o99LsugerCpsyuvMFgM7VZcsisz2aRpM2KZCGXVjqdieuxl9Cu0Nf9JqGr
XFUeoTmY2Mi1TBCPemWp73TJtwQdIUkvi9hSF5Ofy6cJFtkXJufkp5TjotVxMBE56JnMx5JC6wDs
kZznXWdehgvNy1+CZpwMWg9eIgvbRcVzepiaOA1I3onkHYlB+rrFAOfCwiptl8z+DKd82ZtGNuPx
NrZPWPiqjwEiogvbboK1CUh79fO143x/ZoH4whh0F0QWX1e+y4BO49sNg4NGiHWUZ2Cqas63XdCX
e4MC6hHchtQTrw/WdrCsnaaaP43Sn9dt12JlYo9T/DlFTwoVQYZHMinUk6fsepPHuUl3Xr/Xgc21
2rvFO/xgg3U2NCguUyyK9oh4xEWFEy+kDGgW0JoYoSHeu9Nmk9mYQPJRSaSaLu04TNYcV9NuQDW7
HKhVdmycuhNbpzMw+zF7xe/Ug75qsmq+PS3bOlXBOlmKfahz4oKcjvBrhXz0vW8U7VOQivapxKrg
KmkTwkkhW9AcW2D5H0sTA5+qMQBqMBEiWLPv3b0NZdnbZn5MxIypqmn789d/QvP/d14tr99a/CNM
3Bkkk8uTwvyb8wpVH2P1uQnvZFO7xqZjSA3CpYz7FD3qZSPwal5DDTMe0inBCZIov6C+1E0Z672P
aRQmUuxB0kpyFR79bKhfssFtplWgxjpa16IJn6nz+TAIyMWZgrb0K6h9GUe8+QAMsPmzXMm9LN/i
qOWctY0AFLrL3Zk8jVToKxKlop1yQ+J02pJzBjNWzgu5aETKGKsc0ujrF4LqnXMxuuFX9p7FwTyB
K2pPXLijzo6xrPtwp3I/fMi9RaMV47vpv9Zh/8oO8d+g68vLB+72kPDjTi5PXfa3ax/nzKSZ7dG5
q3rHKVdj24ZfWc0ogJqWdC8xJ/NlSizDdU5zuu+KhT4qoWchJU2GY0Ws13oMZHOWO2ND0a2MB2RS
wT4YyZpZN6ovr2e/TS48KIU3YwEFaNW1Y/t14JrgK0rsj8Tk9mfmPPsDzqUz2mx7zMq9N5CzU4NH
Qr8hL6Pr+/BJxiLF/tTwj8Tyym3IIG2HOXQEzhTrZ0gE874Zh/AM7TH01NIrfeg2Un8REYmFBLrY
xoANqRRb5GoBxsHZRwEBDvvOUq2srK7PcnDC55IhyBk1AYy9ZeuFYNWfG9J76fsy/o/wa0NIEo28
A9ya+k0ByXkdQFv9bNbtvEtpeZ9ZecMXOy+WE2R5NakXHkmbmi+XjC7U77Rrd3XSmKtJFtkDDfOM
Wl25yXuvSD9ZVVGdqSjWZ8TZtbjlyGFt2AQ7x3psN46X66tUEDf9i4VAkfh2FQdALeaJQnAqB9+U
DZzVRd9mg7qjr+tI7mFeq1ensxn/LbWfQhVjUYr/EdZucbSjFKtfXNnNt7PgTNpGRXsWG4rMrDzN
jwq567jC4zzJ1gNZ4MRsROWuU9hTr9hJ5sdFEfqO47/7KAlz/tInnm1sAvTI3qaNUeECEpT55VB2
zrbwTNp2MBAL1qqVk52ei5Cw42Au+oMfGXozzTXpO3bxTo8VnESMf6F2GTLZB8ol4ZuNBYOlN/vP
yuFaYX3FhFCp6oBbc7u32bUHLwd0WYH98s2MSfcEtHOATkFkICTleUvQ65Oo8bSyKt+CZUSU8aqF
GbwnHInFmsrWXuP66H0ij6LYNMOQHXEYIw0eHN9Yudas9rOScXUpdWgHa6jF8SP3QPLYGinu7nM9
Wj6GZ0X61DIsRruZKTfCOgBIeV1YnAZEltbxZyPwxJ0xjEuBg9zqaPqaq6otXESMy9TeQsa/7eBP
m3zcjCMvr1peVDsuSdVh17MNMBacl5yq1rY3KEvLhyjqWhTiNrfOLFLrY2yBxeIA7NbZOQ54S/kT
TLdRR4oKOefK/IhFIOdqpwp/M3Gym2sDiPcicsbsCFs581cRsMiSNBNXawehwXtRzYnPeurn2xTR
fb9CJK/vGmrLA/BHQOvdzvNX6Wb+md/Pxjbviww4zQ3JpzObedzaA02835L+t3ab0FuNqNLhCyqq
zCUqY9NhamysnDokuNua86+eN951lWJ461C2ojPNvHKdE4l55XkMSyTJT2sug4A3E0zz7ek6+6+z
/VVnSwFFL/rvne0ur5rk88t3re3rz/wlizH/4FeYDkpK7FWXAJW/W1vf+wNQxiUAUiwhGVBJ/m5t
gXWh5DFwYqmBlSJL+7u1lfYfiwYEjBaXKTrS4LecpN5UiYgsF79VdGmo5pbBOh/225syGrU5+3XV
H6SEtwxhPGDugj1JcGH3VtCuPKcpSQHioN8E8S8FrW/uaSa0kCF8tH/w5eiu34ZkKAX7H9P6bj/2
cth6E/JfgcXcBrfs4vDN1/IPvdQ/Pgp421ywAl7d8iK+qccaK0W/Ujjd3haQvCDtjiuL42cLrK5+
0av+06N4lQia6NwWwsL3j5oF9iyTbXf7/P/ZO5PluJEsi/5KW+9hhsExLXoTgRg5iaRIStzAKInE
PDrggOPr+0CZVpaiVJJVr3tTVlmVUkRgcH/+3r3nznN2mFkno1Wnvh1mfzz9/le986x+v4CregWl
Bw/FTwK5WUHZK10uYEhWIKI1+7buR+9tVl6U1DG998YhvIo0e3TxovnPZB9/fziV1voU4+569ztZ
kuPYaeGJGo3wNlY+p7vaEt0fdGQ/X02XHoLt03gBvUH58+PVlEngSNXF46EPhUdMoQ2ghHK589Uu
b6s/Cmd+PHK7/ChcJ7xblL42j4l4pzChg27Dlh/GQ6KBn0O3fPUd+w2zc7WxyurCi/O/Tb//tlpd
/8Z/FNrfP5Hzmc3xnvrFfO/qjtMihwPfjAc0SDQvGQRys8Jm9/snZb1MP30KQDXQ0eTN02X78TIS
RQGTHVHLwSF7BW+9cZmsbV4qaOwTTAl//2m/uor2Pz7t3U1DuZN0CfPhQ6AmC5QPGbQK2EC7prA0
zERoOhVffv+R74Uf369j4KN2gbwX8kC+W8p0WnjBRIV+sFIP2kAjysfEHEEeN0sAdyxhpt7d+bTU
t10p5DdvMIMzPbbjmPTNQY2h2o0zneF+8tuv8+wYJ41Ae2MTfELPSTPlTROCXrvlDwvTe6Hc+r3X
VHqSjDgmIoh798QFMgF2MvAawZMSyDoMdvbNPLtqZxiOydzEYiwRNBNEzqKF2DqLZ3PxKdqtoL3G
PAskqE3CG4Zuf+dm/dsn0/3Fo4mYGWk4bzgYwPe6wTwsga+55XCYhxSmT+pGqGPnLTN6DFddIh/m
zMHiO9EfjZpyIfm2JjROMuUoomoeQALBXoDlkG86XZvUyG1M7kxgbmqEVRfJaPfXtrcYJzxvJDyq
YYgm321B/8K7GkHNPA4qiLehk3XbXhj+nqIXd4XTBzsGPOeh6CUziBJAbOxCry7dCwJeH0aCq68L
oVGUOFgZegcQ62QMN03oL0fy4FaHFWF4yJ7iSzPV5hPOIqJJa5KHYzQphXbuBtw7m5CIheMAoeKG
v7ne//5p/fkFQdRMYcBbzx6MUvvH13GWiTu603rTZXoNejXdEjBxsrL547gQ6jOOlfUfv5J8Ippj
xIAuwvD3etywnxVujGI49HF8sqTYMej6GtbisncQKxSh9+n3v/DndZtZMqsNgXEhKIf3ckeZhKrm
3gyHXJct4yPYIQmpO7vAJmH39x/182OKHpCcLfrwKHKJG/zxYiaji8JBNeyCgXIvGqOzIOSP/h8u
4C8/BToEZYoDefP9LSOv3KiGiQtoeL2JpNAPjSNjtODD73+MtR5Jf1yp+TWoUjH7+kw33qspYc0s
nFMYsc7ANqLGkvnem6uEXIu6oZ0qfUoKHnw6x8m5D556Ozk0gp7oH77G2h98/zUoYSAWWC6C8Z9w
BR186Ez5HCUB4+9w+Zb7eMqHvZgGDj6OWMTJqmdidszmtWwm/64Y8umQuKa6qpbFObsFh5Tffyf7
l98J50/ARCakZn23rSTCMIw4deShTsb6ZPbuLjRJVCM7qruOZYv30cchWXJwAhVv6JuRUOWtl5l2
FAZ1Qwu4fC3Jx7nGAxsty/Q85oa97bKhvdc10VbtgIwPJdR0rnV5bZjDn1S5v/4Ba4Iiky7B+7/e
+39UobHVh5UOJi5qqu+S3meqMInkIWUV22JUzKMYUua28r2BHauvzjpdXoLM/yh7LzyNbRyDXOjV
LjWb8LbBy/kxEMvrgkLg7ARpuKc3SIh0kRsrvbnc91nX/qHmex+2yW4FvvYfv+DdwjUNxMglCNkP
2sgTUqHD+jy4IOTAs0XD2v5xRk9v8tw8OY1eW1PiT9LZ7xkQPz2Z+FuQ+K/Qjveve6BZS7Q7SgLT
06FdQ3/dL5RVH3whcSCG5remVPMTDJ30q8ScNqpkmwPTiAoHPb5K5N42JYHdKGaJ+7GmCk7T2BK3
bpqHmYn3FpyY9apry2Kp9O99Bx43/r+IdCTs1nhRLeWal4C3y+PSNC++Mu89bHBbzMirrCWU7h+u
+c+lW4B9EzkOFQKZie9NDaRIk7mERP/Q5eVTHdNGzMvIWGDeNYvr/KFO/MWyDVqIaSd1/ff+9Y9P
qMQ5VPcsOgdiIN7CLCCj3VL5RhB694dPWk9c724jn7T6URjeQvt99zJ3cTIi53R5kvrkY0FmD1zS
Bb0gHExGMLqghWR69EVjj1nc7xeSX+y+sGBsFIwOG9NPc7UhodUa5yj8R19/jofgw+x3pAjEb6U/
fOHI6/1hg/pee/70W13gnhbiZETJ796aUBlyzjIeWY7h9d3oUPdoBmOaULSto5ZXM64+ohmdo0S3
FDfQ2SFm0gQyqVZ+/9N/+TBhe2BnoW33k+0hQ1fqpor3F1LiEJmt721oCacYhptk66Z/Sor+xabp
oRLiNqPZ/1nn7oV5kVTjzE3W/XxIWiveLmOQ/uGM+Mvri40DK856eUmo+fGphRyRNJZo5YEzMnB/
5O6RqpnHeXFgnCZJzESixBgZuit3U8yckG5AuZuVcbEssN9+f4l/PpQHnsWpkEM5avSfTEgTEcpL
KtGcO8BzCKP3k73slyutNAEGlWVsW1kxSiXVYtMUo/mH1+p9dPW6QrMuelxs6nY0E++etYHBn+3U
Zn/QWKW/tH5vuDQXk+EGVqhbwadrPG9LWJUJR1KvsEXldUSYm3kLEh8FIDmTQEWmK5U6cOjsYRit
rZtA+fz9VfrFQgNoa53pY1Rcx0w/3rKUQBLt1l538OaY0Ec8/TshcSVQy2d/uCS/+CiSmXFpMUpH
wPG+95MxGmxR8XcHBMzVm3C0f0siDX1jwzP/Dz9rRWrjTllbaj+tagi2YYgEoju4dtbf4gDx9o32
44u8H+gi/qvR+OGv1eOf6oBfLGJ8Em0RSkSfpta7Z56Od5I3I5+UOSZxngyx75Ec2jt2N2wBcyU2
AqLNH5aPX15KztfkqXkWlMJ3dy1JzHoIU5fJiW2pLaGs8Dfzyo5605Z/+CiMMD/vEFQagLNWf92q
9PnxEQkK0YwJSusDckHI257GRoFiU0xL5FbxmujRSzvyqMnB8TpqMvacHMd5t6DLrm6hvvJyZWQ3
hqeY2cmj3So01kBdgzFqy9KDS8D454XsauOqQAEk90laYsqStZWlm5qfxNTFI+UDLZmLxnrCVKkv
XCMND5lGq7lrQDvmG9wQSL5HGzdCKWbX3mMEnL2dg5ve/kRAaVa9ejnNEuArnGBSskF7J476rOjT
B1k2lj6VNd21Q5pBydpB9rKwpM2zcWDaoeS1W9VjcCXIr4hvibYr6z3/bEz7CqlCMW9GERZ1VBdK
JFeBXxNAiGuhyfeQGMt7hY0/Pve10QDrwSW/0Ulv95ByskfI9o7YzIwS8hM6lqTdBmODYQvWJUSX
qtV1f5krjpMAv8N2Qioqp7CIZuVqQoSVjs2LysD0Rd+hau2ordy1uMpQFr/4MqZf4kMW3i6BaPr7
1gX1iXBV5vrDFPvqvs4E6hFwzKF/ZzJuJRsDneV4ooid910wk+ck6sRrN6JNFpQJEiVH3bNF7cp4
bf+ZBpHnm066wUOeduV2LqsGO5dIlbXJUYoeq2C8pc+7Hwlffopbu/xUwo25G2pv2sSIgGFXE5vp
dOHNWOo9maP7OfXrO+JPN0oQzQJyPjvYopiiIiyqfTKqs4MleGu38iUvPAHlg8zFMZ+dPY7KbwJm
CUExWvIdev/gycncEQeGygCe5oaKeQF9FiYXUrTzF39AYCygJUClVC9L57lHhWJqFThu8Ec8msT7
QiLvPrhh1e8ss84+FGRDbUccKxdBVaZXzsT94LSQbSR483lx3INrWLdZhlgXhUp8ipFogIcrRooK
6W9LdgmijvzltijnUzcQJZQt2uU/ipuC7tI8if5cYMaK4F+TIzxAiMuhKW0Ln5SmicSgjDv7IQ7E
XWWk886agnS/LP2y1cYwRrEN8XShdL2Lk7J9rgNpXtapzyRtAFU6m0P/5hldDVtTtVFAw/rgN417
6ktmgn4dzyfiku2T1H6wo0lxtq15DyLXQt+rP1UoQT4BcT/6rrjPRv0JBEK9m8yQRt0Yf6qQzRGt
WlTBSY1+vVdGF0eLa3wswiA+y9jJIi9pgp2ZC4P70C1kJIZLRHZ2e5f1hvrQJX1wJ8eZfdGRl4Nm
EFfOYJmwdb2CCGiPgTNkx0xWFW7iQL0JOYwbnU1MJqNCZcOit2PT1QtDOyrNHkpLk4XDx6KB4bOx
eXie4Po7c+R3nCPYTFkk8mScPrdc+2swIRntEbgpQWGdCJgGD9sMzd6zluCC/0LmLS/ELnYBb8hL
WMfJJD+jA/Blx5Q9RlMQLdLuP4Os2WMnDdAP2nzng2/YzdcZDEx7dIrSZp4f9L7a6Ibos0vD8IZ8
U/gBjHVinF3jTHvWlDRpu+zY91ypzVDUZbQElfqIOGH+YJc5QuWqLrLTlKMXd8Osu7bQDO0b8DAM
sTuacWkmzS+eGVNP0t9dY6nN8gINTv91kEHi7UqdNFB4gEFdzjMyPoEl7C2kuQ8gCvgah+9YmRFm
yPmBOVP11hOuSw5eJa3nmmSeiCOaexPWNtyNVf8omYYfBiqWj4EW+Wcl+XsAQM07IgG68wKyiSw2
EG62cOQTXTjGIDmG3/2gRp6E1Am7T2kSdF+7ljAyuEDdJ3x02THv46E8OfNARLk25ZPbdGiv/WbC
hRW71RCNCwKSTWkbZGUzXo7wm7nEHtvOaWQMH4FwsUH8QoDYF5ybqmPVYsoi6TRRpKRNiKICN7MC
srEmZBiNKZA0VYwGiXVLy/UZNKZzEubpvVml5Hv6/WjvJZfTeKwBCYxbEDdhCnBu4at6hXpUcMKn
qwSlF0nIWOobs12umiEILkWK97112uwgCCO/V4ON7IRKpDt7hHXd5JNsn2nd2TsaZ+5NAsPW29Vg
ufbLiOR0ahAeHHzfT25KwGH+tnVT94aXqOOl4u7ShO/ORRUKiOFp+6VXSX8rlt76KDOu93dx6qKJ
1g5SLqqBUunC4NG8hWfZfgGDX/fb2lvIfC66HLg3Fd/RnSv+WgMsnNWL7vxd7roo2X4ZdNt/UsBs
YFf53ddmNQviaUq5rF1dxeeEbsRhDAf5LZykeyOWziCeogmTmzlzQTRNHhr/b6hkRTCzA0+OIC9h
smJ9abEtEy8JTnxrpEHXbYCQ4zIJkOVIHLKwtVrARzeZ28QPrZcmwMHH5tkDrhkNMK+IEjOW2Nqo
gCLSxVy6S4aAFOjejKPEGNVFX/HjMQLND4GRsy4mcXZ0Wv50axrJzYiMgxzEwKUCr8Hw3ginK0lb
jhFFDSFNnAjfBQGUFcLaTawADCTJVA4QhNpm3Cy857SxavmkNU3rwFfym58IdxvHujxZAEh4ykck
78xcbPc+q1L1KJph9LdTw5csXRPH2tC3L06eevdGuKC3a+spvdFeVeMDEXX/qVyVS4gqxkeznQto
Y9xuu4+DSze3iA/BR3qyCjR8oe9j66TISG+E5KpBs9YfTOIYUICheTFmgQaLpj1auCoXp85M60vP
mfgbmwWvpmXOD+AL5LdlUsI4Lz0t8Z1RpSRYtrT5tvGI4WBDv0Wiz/SMCVKSgQGWlXypCCgwvPhO
pBy5NvgeO32qlCJnL4Uw/2Exup6l1xM8aaxZ6U1Z5I21rZD2fCCxmCau0iX3Gmd8qk4eMph6G8rh
rYFY4DK7qHLQ2hPw6ya3HkWypmtM0nr1VD6S9WDP3S2rxUKKdt4i4LZrGFR97o6vNooPl3vm8+y3
LZfFYyeXB3MqSDiEz2B9XOzSuAsH+ImZ76lXmCbd7RATTT12dktsmya9gyxrVNVBchN7HQiEcA1A
WUNlWMcAtOmA97vGzPLUkQ5s3va44Fnjm6JyTw2kiTcqav+KM3G8R3HXs4gRaEXfdHBGBsJO8LxA
3bmOqzY5qLIkXsKruDVsm5cOUYS4NeAffvCEbPdtLeRD36qYJOT0jWQL/idk8G0Uq9b5Qrq3CwMM
u2tLEGdkO3O9dREIHyyu14aJpoiKoec9HJxK36FNWwOOODWsDqdHm8jtbWk090MorhTOHmaRZsZZ
pu+jaQzz647+jzmm6pxXLdZLWXg35lTBYPNBNqJAYrwOvPZq9oz2ptZufO8RsHMK5wzg7ZARB2jV
DBs7vOInNxvOSusS7Pyorsxk6i/rxK/PSQpHi1KfEhA8CrkoyUuIS+WEvAZPcaOcbwqPTZeZ1oHd
if9wZLerPaslck9cQLcTT9TbyN7MufkSTuucqcEYRWf51MWNz7QMjO8RZJ5+CrBM36FAm/Y+kGuv
KbsoBBmZoPppjsG0vND/qz4Xlb/47DlcJNsQCQs9J5ytr7VIgTIW8kS2qbNRsWHeFJVo93AtGXxZ
YxtRoU4fEEqbByfP5f3YGdhzpzC5GyUfMrqx/2E08XzTmNYbDqXiJcQf/OjJoTxmmf8452Z1oF2a
UgdSykF/I9q7AYx/lQU0bhrLPsXOYn2Biz7tCRUyDwMUzijIRieaFC8jeei4ggpahQnYsAuKC/GU
C/dQu3Oz53ViAW5wxm8SjyiAEOPOmypG+2luhXUdVuGCaqESH9t0zoHmhWLvsnZdVDGq5TXR+FYr
7pKrIL/vferCTT/0yQ7pdPu6MGoiZBBB13WX8xhkdZkQ3zLXpGS3UFyRJxJTMLd5v2WAgMhusLej
71HQiyR/wdVWnOGLHgdyBPONK4zLRufz7WLaTwTMVLAOuz0irHw1QgJ2jAGmVcKNH8qiocwQal+w
BGKfCobsLkDdFRXwyS4kWKRtbKa71F3xd07v3hCa2JAJM4UWQ4tyOWndqCvPNdh2EKEWvHBefW6T
Ob8pc/gZmw4mOe9dT1LmpkRxSDACPuirMB7yTxW2mQPoh5oth9CyTQdtp9+MmUEEE8nBl5pmNqc6
X8HxG/u8OIfAf+5cHzRV7s/HWA1bFcjiCrQz9K16TUkXDbx7Bjzo4OVwSd+X9FvyIUGMhp9CZqac
c1562K3bKnXxt+PdI2ARL/lGqcH6NBNgBLXa/4KS8zVGi/hMxVo+l4DpWLSk8UA0hrF31JjsBn+s
brVHxVLq3mLojbecnIc4bSmH5qPCApqdDaeZwDT4pvSPfoHYl0XDa24M4nJBymq/uaF9gxIQiwpm
zbEkvZRnFI5LVeX1rd0F1a0H4avcZJoFNE+n4Rv2FPNLTZDLty6GTrS1Df7CDhUAGZF5c6+FHUyf
eioe7lvGIacitotdwgCcUbZkhCx4AT6zW9I7W0ipIiaYhuSpidcwjrrgZFpUqTgnayhUVTTDNznK
lTOix+qtILop3chliJ9NmVtfihSr26YROApkN8fPdoHJcSvizEBKucTym+G2RgXOUIX+binc+p70
YxYGiWS22fvJoJq9CIk3jcY55fFI7ZECB95Zc596Y+FSYzbxM2Yr/kzYziAv8UMUbiRqk8eodvRQ
RIoY3maXu8ilohqVls8hZuZDc2If5EW2uAPnRrNWQCwnFKQJ1g2Lv3kxAhCzYqL9GKUi1MbB0GsJ
MDAhBfI544jKU1MQzdBXFK1ljHl4YyxsddtyHuNn1as03SQjrB+ylN3qzR5HPhX8KYajSTjh818X
01VGMm6wjFnZdgENDrvBIkOWVA6vOTghebAOwVHFll4Qlx4Tan3voh/DiJDltHtQFmQcMAtUr61F
F+gGmNhs7QcXs4juh+YeinLRcguZt26nuOP3FRiEcuC5ZpFfSFQM6lBphB9XoRrUm/LojW5G223T
K5C66cdCK/tQE+b5hPXUvy38kFzxFX/5cUpbqY8zbfj4Roz86KOtAFHSahd866yOuXmenmuD+V/j
llvuySpjbYOU/DZHcBWVQSwgiwR0qIzTS7bhy4J8xhP9muUyLw/h2HcMMEJsMAeQdhiBS0JBqHe5
nQtMoUqcp0wasJqbgYrOTUWbn0yvp4kCFZjIsg3kj55XHWwMf9Zg/4JAa64252BEVmUv81LepMox
t91aQgKOt4dNiTbwARGwvYOBaJ6ZScOYq0bntkqC+RItU/a4LOn0MNlC/dVW/38N6h80qERSBPR+
/9Uajl6Gl/96/R6Eev1Svf7Pf1+99Lp8qem///W/nr79z3///Yf+FqH6BJMKtiCPqRdpByAE/iVC
Jc4UgTytauQoiFNXtMDf9kqHoFO0DoRiCI5zvP20Z/+2VwIkQPdNRxb/MsolXJn/ib3y3UiKj2d9
wbOBtQ+D9k8CqJr4tr5KC/TqCasVdbOoL5M50Q8Vs/ptkqCK+8fl+UXnfO2M/2Mat34g7NDApG9O
Ax1Jx4995aEM08FYPF7QOe9vTUNhcVsxY7//lHdjoPVTYCWDgRRMpNDRveN9Da40FXCP+UgbLDtM
63GhaHpigHzR7kxjKjecaOgEdrlxJ6ENPvz+44E//PQzLQasSCUQ2fJt3it+xlEHaP384diU5HHv
54n+B4uZecR0FRAiDRKKQG8OJnS9kBu1scNZqG/Btm8lI477hojcZNPEgb6SsKmoPSzOzsEy0SW2
C/7dstGsyU5pwGOmtqJf49JoJ/s90LB9BsypQF/oUc0Y4Fj42FR9rztXntt9ijPcsTE1I42fxKLH
0nSAFwjKQ6NldhBlmCm21z0npo82NrAPHFvi80RK4Atc88zcAnjQb+na0VF1qR7LkWaDzOf6MrZo
/UBeCSxOunZ9mcZm85xmHKisxOQPTnNGklhHO8HyODmGyqerQ5/BbE5cKta9hBGStaXXKZzDaqJb
lTbSpp/FHs+5CiPhzInO7ZYaDnK4NoMSmyLTZ9qD7sABHelPwxbiQbCRXrpcAXPOjrFZod+DVAB4
kT6IrAb8NqM/H7zOKunILnwdZ1CPFOA0ivLFu+fu0PGQLLS1zQYxkmX/VVP7bROfwUs21fohHeLm
82gu3JmOMIyjN4W8Q1Mfn52hJgYN6+eRoHH9No2tfjB7/og2e/m0jjQu4znhvJcQuAXHXT7lxJhd
zk0TXlZVwBUJ804w9a8m9mVvXNhF6APtZAtoF8C7vWs6u7ijKRLCsUm8bW43/VcR848JhRqKxBz7
z9GYwXXUYuy+onfTdEEGffCysTw1ATdX+xyo5xFKYiRJG6mhTcjy1Mog2AxEiUCgMOaDYcXFXUJM
994L0u4avyxOalg9r4WpkREiq95XpWmyaFgNvOtOPcZhs1yFHc2JFqvzgfTgYGPN/GKOWu11XKwv
u9G5N0ZiKiyQ/BaPnjAtlxReflHwKCowG68Wc5AD8ebiJhHcie8NGFETrwpQATdM2Y5cV3LryXQL
iWKZ4jyPhtlAJ98gi76jE9p9dUNzuaKpoh/sifNqDWoIskhX7I2iHkBFeNZHIMLQjpJy2VsE4cHy
4D7m43qp10e0BCryuhbI+6XQDJC6hTtBDawPwuL5hyKC2inBiIUp9vNkyJE2bF/dJMGbOYamArpf
0QtBj2mfUuk+m7buPmGDGx8Tm2eT42XBlMOEuytE+QwqX70Owm+vsajxUM54tOaUG+X5xoDXT7Q3
beUIcr8m94ZplPWxziQZr6Bhng0ITvTnimXf23Hz7JAIc5E7hns/B4DuNkYe4HWpIYwROyOhrjgY
iOCFFdH3HxekvASykcbdrNt6AAyKf3kKtHxqpVHc6WagZaoSro81WDCfy5y8scnMjgOnDYujIjJ7
d85w3xMjH/DUkqe61bT0PmHuphY1NZETnu1014NnJ4H9FBShVXifVVNPw9esH8XnzKpJsWUQs9Ti
SFvfqHeOaU7jle4muJlT4ozizim03nRi1g9WoIctlGZmXpY7kwrRLdj2UCyZhM7ZHLGbGX+kGuvr
sQkpjHnCzoLz3WBK45aIvDvDHa9F1Vb7IPXd26WnQ+b6s3PduwmJdvF1ZXTOqv5IjjR701NlFw/S
FdZuLGOA5UJ/yYJqxEM0fitSuzoZdfJVjyI9pYvH2YhmwGWD0XhXugpATAyR3spoWySZvJiHDso+
QNIzLv0wsphkbiFYJVHSJtk1sj59ZYTkom77JT57eXA2irYjhYEhx6YN4+7EnKOMbLp6285MXJoE
hWqI2y3fEkbfAeV67R9GKfQ2FPWdrv1sB4QkvMjJs72SXj7tvZQXtssr6yLT8bwbyVo+LZobyUjZ
PJm1oY6VT5RgOzjBrpmQ6LVOwGtZW/kBbsF6aqvMC0YJIdpt655ggXDvCV+SeUow687m2n+V7TR5
W7cLjWVT0SyNN0k5qKPdZj7jlem5buL+ksMZpbdtjqeEEzn0/dAr2MK8LtKxxLM44QJwE/Y8NvBg
r+CFcsqah12ObOEOHYq1sYaCqbEaMRXCfMhhE83PAWpUOvnFfFGDtCEooCg+hyQH+ltv9jRODQXz
zvfAGONYxH2ohEOF6HS3VGfBXjC+9U8t66tJ2Azz6U1XkNVN5zpurkQp24tpiRk926Z9goUsIydN
easktJqi29QNT6AeLPfcev38sEC/oyVZKYxm9XEqI0cZzdnqveWlJc/1ZOtq+dji9kbZLkMs7254
qsZYf8gKZ4lUPK5N/hYXICnVPO4FrDMO3zuJo+jWl4jVm1hbI2GNiOjMNth3hqp2xCssm8l1dITI
LP/ke3RiAlNPexFrtUFnz5g+JXBvTKrbEqbBVmbmdMoyB/I9pjh650n4WBK4wDGOJ562bHpC0RPv
iIcQV3TXIOwXk3FXDXNwbXWLPkMaUGTTuWEqdh1nzlcyaq7TePEvw3mwPTzt6F+IjrTdqBJpcYWn
1Toxm4L3Q2puf4HszCGr2td41N3JX6NCSnmRwjkMtjmHnde2qqoyEn7tzehkTHVaOgY3LZkUYCBL
9/NUjlkWkWWdX4ohkV8rJ/fMK0TWChOsVVuJ+zlUpnmc0kJmG5MwA9K914BLP3XVF7rLzRZd5VoX
tN0tiNwy8jpVN7tAVdmFMZe0j2Lt5z6PX5Weekf1lxCxG7HtZylJ7GwYoMx1EMttDsf6htlgdlzS
uv1it4GB3bbVxXpvsAauJRJhmexDpbUcc1eSYGDHLotzC5g3iyfOw5ONDsAs5KpYYBV+q0uYVi38
4Lu28Nd3oKBM8OFSMOdwV7JCmhFcTpfzZsky485oWliqKnPS/VhkAIMSOLw03fUaLePN7Ze5HZeW
phg3yVrYnfVIVfhX8dVlpOHklpbf2tzPCflxU36fVa3hirPW9o4y1Lufi46ybC0YSXxUTOHy1GZq
53v1JeCu5ShMScBqM7EY9ytlF4ECY+HUJaIS1Fdj3NVJOD5mtpPcJBWVRu167XWyfP8WDAYdY3W0
x123LspLpd+GnJokC33Kk7DrrA8sg/U3JjmNioyEHpikTDx7yZpwUtE8jzQghcNKY3lMM5N7Z9HG
rrcEk+hDUnn6wlQ5v39UU/R9eNVQbH1uJao0ZuCUv6HXfPaHuTzZ6Ag2a8jNx6CaGfJopnnzEje7
Oic1wsomfMc0vem8QAgsTwXImdvfHyLei9E5NqDzIYuA8xIDA1agH49KPTqLJkmM4QglpDvTk115
jhLnaZd3/W25VjSLQxtPcWOepSZ8AUwIF3tEFPyHAw0su/fHtr++CUZJLCn+e+3R2OAiBwIxHEVG
5b8F6OreoJRe524MyrSgIExDrizE2/mDj2Nrl0v8PcvQPCdxzYNZM7SU6Dgu6qntPo0joaTE6M4P
ExX3/g8X7p126fuFwzmDUxO9NL6Ed0KpwCfmWRmOPBrIszZK1t69bnnRTCtPb4yRp46tiAfMUjzx
BTPyyGSfOhf13LzkLXWzz3zrr3S7f+vn+X7k/PHgu/oWgNzzpVCMvT/4JmPHM0LA/bGqnA6ea4gQ
SQZjd7lMhjr0GKrJtyqXnXYcNp54pILKWw6vOOR5TRnZ3+UTw1lnNZePsdt8a7PSvw1gx+0IyVmO
sUHXd9MNoMt+fzndXzyIKCoDmhccqjFWvg8ccEfDaUs99ce5Y0/DINrmu64ii73RM6sTdBoMqo7/
pmytjhleqL1h2S9B3j5NdeLsMpdyyXCnJBrbqrlSvS0+K7zvV9niFBemWTnPtijS+apN2prRbZoG
J4THRWQSELTPSIKDHZjkxyTM3BvTwjjaE0l0h/CIBNh+XPb1jDZMpFTz8CFg7q4rjC1G447ROANW
19dv6JxMF86EYDbrSNZYuv3UvVNTnsaRBYwxJzU7h2XOJUnBv7SI9Qnpk4qV+HutPtdLd1uX3bqm
hGvZXlDQhxU5kt+H/ALgww4zPpNhxyIUeeyoQS1aDoli/JssRsLogyDFZzxRhCowu/TV5SpL4CIR
E8SWJAcISAjaTOi/ZCIZR8fJUStvXZh+UkT8oNp+bGLBhLhz2uLke0uZnApKmigGQFGcYgr6ODJl
QEs1zjwrUBuXivvi+4CXeNeZFvdETd+b66gdVAy/OKlxO84swlj7V8esD7UVaSpFPsdp88jpmyU2
EPIJjYu3tWvL3UrXgJlVhagdvscLBHQ3v+h8xO6Vkdo9Kqors5h4IpeBA0UKmehxyMpnv+f8uMxW
+zmYSsRBPfAVDpUIJMICOPJ5Wbj4bDrGXZ+j6bDYOG4Lh5ySuEAftg1c1CGDGzQvszaaFwGWnnqf
UB6yPbifzhD0a5JacKk7sIjjxKHfK5nR1xVnGew8zsmcWY2G9WxXpxg9me6raSuWckaeU06ENy9J
dSJpnlMLzI4NtZN/Wzk9I3hrRNpZ282LKzEwm4ITVmtxekbQyJxqM6DZf7JzGkpdVzJC9jNogrFg
NWGuHEROMHAyinEl+9vGXXhHpDnSFp4t/k8AQQgr1oCZoFrKjeR0iBJN0EVO2RO7tqMrR3IEFrtw
3ULTiuXS1RDHysruPk0Ity6tiTYL47/wMrHanixznxl/woXr2UAPNY6DLdN19RgAvdpAs8z+l70z
WY4bydb0q1zrPdIcM2DW3QsgIhgTZ4qiuIEpRQnzDLgDePr+EMrKTKrqSl13XZsyS7OigoxAuJ/z
j1feigDhH2tuyhx8yE1Zkz1VLd88vqXLNvUIz86d8k5OLiKQcWDdFnZ8q8NGB0SlO6Fu8Y9W2jo4
r7/1ZPmAWF5a82DUxfoZ0Fp60Nev6rSe7yJHzdcAlrza7TTupq4kEzIThFLRQwMysi6vKWxytUkm
q70XVccnU2eMIpe7uKkwVK9Yz3xCK8qjytALrmM6vFUrKFEX7nwiP3m+RiLpnS+PoTEBwfB4t2I/
XWKPYhAPs5/b+wviU5k8PiXlUyEOB59ibrZgpKDpvrAYqAp0zOcxQl50gQe0mGy2wWrZbAEceetX
II8IinmXNwBCKkm+dd4yXy983apwmmOGEUU2dOjFoFcXAQdaJ3RuDMA+ewoj2Qg7fdeOEnCORBJY
WdJLDtPCX4TRDtoqXvgK1ihYn4zIgVmIc2GT8qHVWz/jEawA7tS2KvnGxFNp3xq5Yz8y8CCr6B3Z
fxyyVcG1WHn7spgWQJk9qPZLnIG49GKYP1QaX/PI6IqDtqpb0FRzrLHRRxCVIDUaJSgBmoZVK7Ss
OSalAdjTImrbmquF/4LfXC7JKQe7rdbiIsp2vgqxrOOyS6JIWJQMS20v8t33RzMFumxW3UpVo2AR
iGnPTW2QZoVF5OwNfftS62Boeh+DqaHurM6qNJNbabFphbEYONw1CJm68OtXMjrI0RKtf1Yu52yt
oEQDlNHdF1GRnqPyfNS3xLIC5TiM50PGd3p9nttuPYb7qO5PRV+ASPqpy8ybd/w4l+h8SolreEpW
1Ju5ZL0FWNBedY9HwlrG/m1EVfA50VF84XUDNurW5yenppBVBzDS4c+JVvTrMt56PghpnFf5Q6kk
KJLFNem4uvF0uRv0AQiY7pnk1uXIB3cCRJWajagr1myuCoUapPUZQ9oZoZ3q8HP5JbyOUzMJW6zD
YeJkqKQck5q5kQ/SByA+zIWozgvNlWfbYIgl277eJoyHn1AQE6PXUQu8KRXKM7h3+TwrxuQmB58T
dUGrZYkkMuIce6l7j5h4p1hlnBz7F0iQKnuLBgN6v5BqqU02MX6SbEjEImsOFaEE3e4QIzKcDCw7
5VowNZgmKCg5YRVhLbJ+vUj3BgVmbKYRq8LA4GyukeMG4PKWy56H53LMTi7vBsjRfOpqK/7IVj83
a7bRuk/0EyhUZ053HaDNh8ZlatcWBWQhe8mbKTjeEsn3KPdRwwlHNux4Js+aJqKHCQPGq1FMZXqo
LLs9qqYARFyPyjWeA27OzEmXMnI+yhQREi79rdn63A+EoIJOLx3odDW487W7ConM1h2/riLaq4Ff
PagY8Oh3WRPaGhJtficjipGj7ZfigACZJaYhEtJwq1eJjrsJL3UGBuInBfTJezAUgm1IqvaFqQQh
6DjNqCWof/SZW0Y7pW1WcMiqlnGiriMmSEwtGznygc9evlznBpD65T8vX8wZHl4PNH3svtiKOxUd
uHWolmG6mwx0Y2WC+K9WNV/olKkydm0OGWnzZFuNi4BqsYnpapyFjUy5827q82/YRGpnm/QssBeg
2EXFaBlspqoDvp1RosoNyVPjFUACf7E6uEWm9qNnfVq6VdayMjHkNaGzsl1eLK9H7zhEQ/3duvAf
qvIXVKWJnQey7b+nKj+mPYNEn77rkf7jp/4RmOMQBUtmHrVi5CGsced/cpW+Ae1IHt1amkUDIGqo
P8lKixp3D8sVKxeGGCzC/Bp/kJWWAcNpknoBDUfQDKGa/3Oy0vLoa8FYRXANNnNDp2nk/UJMkE+S
j3binC4NBx0U5Z1N0PR+mWeaBi5VvX97g+7+2eaz/oN/7WzfX5BYCEI7UKl5ziU+4m+WYepEjMZo
SvtEAgzhy5K7bvERNzqF1+7judd/FRz5r15vNWT6rH/YNX6gLX2arXuf9sOTWyfOZ2yn+g1qMpS9
NkfUz/+09wv95U/jo17zETEHuCScvn8vOxp64jHXrVNeKuojXLy19rDSWaD0+s2wLP6zm2cUMkf2
9PDzl37vY/r+0thpeRo8knr+yX1GvY+cBcLkU0/hx6HyGtRFms0sXMr4l5kyPyyvl1fjCdTJeGHj
ITLthz90Iha3dKfUOqma3JLAbTrWHpUJwrzk4FLpWJlZkxxLlPFkinWJ7F8svYYYm4pUC4UBm/fv
/vkO7DRyAA8On2KgHxjwjAzvsYgj6+Qpiz/XpwHvis4Z/ud/9loUD6HS4RHmwfnhgYozUxQJ6sWT
2dOei/x+najL6WFEff3p53/W+j6+/67gj8b9aduuIPz5R+sjRv4OQddonWSUfOuN3t+OcA+/UA/8
86PDi9AqCaZDSYL9YygK4J2FdbOwTiRkUlruSS4Sz2m0UF9yxv2f/0U/+O3XR8chJoSRDNkPb+GP
TadehI1gweBxyoyUYmxT8pp6pJFSS/0HC1ub25+ttU7z0pw2J4N5AI00D7/4Nd5rCb7/GpS5GQh2
V+f0jw9MZOjwhoyZp8kbjKOZV/qaK8V8SFg8T2hLbNg2z43OCeZlRMV1+fLaDZUL/x/dcv/qE4B+
Jx5t/aQpL31/buTwNFOZN3x5ZTQ9CHi64NKgZTXdr0zq/+qlKJNC6YA4hhCcH/BPhNldjXPUPKV0
hj98r5jGZsJRjzD+V6Wa7496jm/LQgPj4ocn1uCfH1/Es0iC2wZHDn1OS0BtXvOJfEg6yhTaw9Vf
9qum2R8xVV5y1YELrmCeM9q6f7jOmnzBJq+7/lFE7FSWh4426Lt+eqDLnoJxqONya9r4ABIPExDQ
ob8l2Kc+UVPBLuulTrtfWq6/ywkyWHnT8wAQLkl8MzEmm1QnNfHnj6J9uWL/+pavETZUtbo8iJew
F67G9x9/5aG5nmCiqeoT5U4srDh16mi7WO/zkSarcp7iEIVbV6NZzpqZUDn+sfuu0whrxvfH74jJ
grM3siFGF7Mc3ibUlxiXkoXvldFqnLyiy3SwK30tBtFj3/rcJt5EFi61ksBQw1uH6520an5u069Q
kTIA8Qfp1icvtkwktryBwZzjeIzTgv5D9Cz+M9VRWhbSHNHqLJk2/3TvJkA2pZ84eVh0aUT585ii
ni+qltfweKedHjdFS3MDzD+LaILCt9Fv+qTmCUE33Xyaa0KgrjSiOByWCRMt7xBTBgIQR4tTXiTD
W57Rr+g2mKeOpZ6iwveYWjQgPWrUmzxOX/XZ5yOjgdzJ80B5Knq+NBxXQ+58RlrI034peJp1v3/r
9Wa9oVkgPpeshV/Qqhp72RKgQEtZeQV/1oZuGlsy4PyVWM99mxtGn1lWwGoonFu1GFZERIs5Wbyj
ERZGdLdsfabZv3X94G20GkwcTQzvD5yf+9D38fJsSCzojW/xOZUoXZ51lEtvOamzNKWag49WJlqb
2+c1OqqZ+X9p0WweYGr4V8qMxil82fqNNQoKpy63XMVNjaWA8g5sZkkHtmvBvKGLX3UpFhlic1BW
8+Iek3Uw0dBM38UgzmeRGasxYHambSFw023sqqDDMm15anJT2J9dJ+fdnLOsQWFde3MVytUXd2zW
81KTLrJNmEEaLo3J4JcBss/LbQfA+ubUCd+/WsSrBXfx8DloJcLdGeeZF0YYd9QGkpL7ZsgjkjL0
yuRZlpnmP/dQxf2VN0DHTRqLaaOvmcbD4FJeNl+qwAaadUyY9BhJklssML4p3Weybu3PTjIiUkDK
SYyXPevdY2wuxp6AHCrBjNixXispqydvSefrAmhh0/ZTjdFWA2Xb6akA7itqeYgL0uSCHggXidBS
j6DAkfOEKDvFB0I0dA65ms03dCdjHbaSugnKnOqO1O7NcMIpEM7VMmPcFDbpXknTHHP2aCYjJ0+C
RfTV/cDKVwVZNJZfa5Sr38i+qQ+2gRifiF2MQjOWmSkcqSJSay1DuVWi6XgT1vZ1p8i7ftfbs/MF
EbUOakB3e93j2NwhEXRV4JMVtNEvNe/1WN/42VoWUy198hqjY8GOQQvR7CTOVUtr+kmfB+IEvF45
ODnLYTdj+8cZpuoj4qCYXnYsv68A9UTH2AYGZl3yMXqRjaU2V9VrBrs5sGivLXACw/A6jML4TC12
9q4rtW3LDBhIhpdd6aG65WCK4PZBD8a81w4E+TWHjALMHTE489cIT8A20VLtfqao8gU9BqaamQaw
pkL6n7VQzm7efXYHi+9HumgYdsskHGWn77An8g952o01JYLj34yoKMo7EhCBiWiRH4ivpnrKDjrH
JQNx/eTX3gMapPaGiTluQ5OxIpQq4oUsWq7xNcew9XXTh8XQs3DXs4b8ox4/NLlDGJGs+h3c1xxS
m/ulcPv6xS9SA24Vz2+vkYgyFvwe2BuQ7usYWPngl+TsWC0FLrHgE3VjIzvXrl/diWFs7op+4KHW
UH8Mny9lzRperJ7sXTaGbd0MRnYiXoIB28DT2YactsNb3AkOpHrx9aeZCkEjEIP0nzusm/HWGydb
bPM0mSqgyFbIoHQjbAUGfMOnSLemO1qxNMw4dMsPvc997GGroeDbsOrT9/o9oU/kkOTpwBHEacxg
Rpj+HdQKh3afMcI5ctGfZEPYRTiCF+6tycKQbut586lpeGzD2pU12FFRFZ+Muo2Z5yipCnSzNrBn
UBXclK92lnjNt7mRVtBLd4i2BNf00MKW+lp6qiXJJdfsj5j//UOX+P0epSagI3qUdFzbHZPfezlA
M5IeZFtpHIcRQdj9S7FolBemGAzNvWck3o3sMuz/RZpvE6VaKrqcZTcjFfiw+HGJrcC11Adpd+UD
DOA3o1heJsPSb/PBGPacq2tbt9+hUhob442e8PgNfYB6jEeAyzu+8RB45Dv7gRW7uIhhkHPUVUXv
HsFLCWiaVNFAiTuc42E+9rHaD/4kThZh/deUL5gPzjKlWtCh9tIDh0+B5CbwhGetklO1nfShgBvq
LEQJ6Nhb3RofSjyy4Rpu9MWSWoFVeDF/r31HnganWQyUP0bqBFjs0hBzRhKocVE+iSgFx4Uf2Zus
9KzjrOTvUaOpRzXE+b0+juK6S2P7NVdOHoddkdCrAOqVBu1sxje+NafX3YS/RANNdYKE+KnPRqqa
U+maFH2n9nhCxKtRCz+A1V3pHHk7LI6j3ExIimkFRZU37ZKiMp8c0tz3sjKpqkwTogvncbkfSAIL
fBmrT2MxtONW9L2VHmn+m5B01LTaBl6kaM5wJoEv3E9G+Gi70s6Zu9QfRAq9HxI+WFbQi67I9yMP
z43ihv+my7a/HptGXmFigDDPegQwlHeguwA6Nw/0d7ZXuRXhzGiYLDQoRlfe09hFs2GVRdRh9Rx5
n/JpMAPU6/Z5Sg2OUVPM/oBxSIJDGyUO/rCoauMaOBO8b/Zb3dt6hWtxIOrqa204dAX4VIzu0KZZ
B8si3eTCPfejmz5QDtl+GNGKPHs0Nm4lcrZwySbEQTg+IUSTBHprydyN2Sg3DfVoIc6+HLiHBgGS
HWkyRdPDW3UnF/YU7Fik8+P1TW8NAaorOqVdYxpE0ZtClu88zezcoGoqe9f2rg03RLkmBgye3W8R
Wf1kg5nDF4XJ7k05g5PuROOMBEIUOvLdDHqoCyJiXr8tw9JCPCbLPO7dofmGQjy+o9zU5JZL++FI
MDrGr7quWogoOLLAcrsuzLmdb7VCZcS7OBH63JiZPV7maQoExWUUSIzW4J2IE5oDzXLlS+LMNX5x
OJxb4dLiGURNVdxWflFg+cDkc59oJp9aAYBk4VJXeFSepwQjkvUfLPS7zeJXWChhvsAq/z0W+liP
Q/Jfm8/4b0j++cu6gU9p/cE/4FDf+Y286gtUZWKWBTz6Ew7VhfWbIOwKYMAnrO0dHGr/Bka6av9p
5rZYlt6hoR6dHES6+pwsOhvf//3f7xQk/Q///fcMIuq03kEuNvsqEAjpdMiEfNABfU0p+hs86TOY
DVHUaifi6+Q9NVrldrE6+1AWS751sWRvxCKNB7628sojUnKLcNk/UPCUbOK8Vk8znBjIkMGK0A7e
Pk8FOwNi6iqEoyPA2qmSLTWoD3Fj7q2cSNkIKhEKtHpWY36nDLJMchV7HGOsRjj6pzDqie31y4pF
lsY5RNP0TDwOFYKWpjHccDHj8sZSsn+qTB8ijrFoM0NevQmNZA/P/JDV2TezGVoSbEYmqnl4yGrH
vmqVbWFjz8byAXnyeKzxbJ9mN5E0rbZlfoV0ON1kKLbPs3LcQwknus2yZThaHfrUoR9N3Lv1anHl
7aTRmfbtQFlztJEYWLFno2tJMBFX834RnYCxtfCS0Q57Fp23LwrjoRG6S9eSr1+XuX6C8ikhwHzU
lyAy2zxZL8/Wi3aD4NbkgUE9WGE3b+OciCbVhjEG1JAPqzwt7Ok719bcY5llyDTqCO8duu/dZMRT
hZDQRGFh94xDebE8ooJrN5QCPfuM9x9UaTuUUrjyU6XXBr1irb8Rs1lHN003G2Jb1CjQ/bDVEl2c
ZIVd+LHqTLjQbUrwgPYF7zdzHT1ho7bsRsylOFarul9CYdesjJo10Cs4sCc8tGbl0c7tC22rvNac
uEZkq65Ko+/2hmtPV25ZVVWQkvt1O5XV8KC5gxjIZiE6YMClgtArIOjPPjP7CmScE1MM/Ut0hTHu
UbybEbZ8o82p2WgbDeQ1pla7oeesu64zUFfiNwhx8Vw74B/qXdSeTBUkHLtRNTjdJ2hqm7YHTJEE
Bfd1qmU5duS6yxSZAHl5VbW1R3iGiV5Sqh3F2II6eWtpuuEBDYUxOx+UGHvxqMmZji80sxlKotBY
s/KMHdimN9HallOfKaZrRVt803LrRDhv9ULoH2uvme7V1C4la2bVGjsjZXUJcy2egFxsPwq1sQeq
SWepPSe5neYbY3HLOaDGZrrOdbDhoPLbN0ql12pwwhAfqiKhXIuTpG0CXJHJc2RXdEtoGUFfIXFQ
4naRypG7QnNVFI5tUqNdY4k6zoDJe2yn2jZdiKQNlTfOj12UuDR30OfxMU8LH1V165ivbWIZmyIu
41tcKe0tsQbelkygJnQSvVKUizXimk2PcpS4FSiCimWfslndOX1XPfsTso3AZZAjxGfOVlmor3cH
I8uiA23WEd09Lskfds/OG8TDZG90TR9IQtMrl498ybG12uYwo7hL0JHixnwYpVvdtR4RCDRcUZ8n
SZjJZEwpZzOdoGUNqFNKnL6D1P8hB391ITqwbz+7ED9+7Yf/ek67OK3S9zfi95/8h5nRxZdIcCDd
GFw9JlTgnzeiZ/xGtiY3HpcRicUwS38RhOI3BwIdjyPCUQQ6a5jcX25GFlYIERdEkdB6x/93rkSk
lO+vRC5kJBSQEK6r62uDxw+YaoyDvqgy9mBIn/GE7MlmJiY57GTOJf001rBud6OpP/SA6HNJ0AJF
5OmGL7bas3iwF2HRcXcdKUKPvsf/B1eD/5x6Q3GVUNwUmOnos21OdssJWlIsMdEAe+jRu5OjmI3R
EoKmKOBMzy7swKLqdCP9Od/YTTnt28g6Vl4+Ss7TNToLUeIHvWK/gXnvyFp3MjLr1DNNcRHJoNj5
Pix8eRDtkZOWyjXk18rGe5AO/TjUq6N9qnpFaKNWyHDRovbBxmx/5kfoEO6EK6+aWrtPoybrGWfh
4jswwOtFzVUw9ab4yHkrcQqJ+SlqZnM3dz1VNn5PSZ+/rH95gaseAMFJOdeyYue4tqyCRM3lY5zY
9o61vgkzSnQ2rmj1k6+nH+q8ttc7UV571rzzZDGEWivqTSxrKpP71Boec+CXu4hSpfsIzgPTvNNZ
OkLSkb+48LRl44+0aZCcYG2Nhkg5h9jQDb9zjnhrsEKr9vHla64bRJP5ccyJ2SIw8OxaxKDpY4L9
apHDxpiFVWxcDpvQspVFgW+8WOdB6whSQQ3MFeUsA0D0sPdVNXywegDDgFgwfatJg56LbDbLoOsr
m8/DHs9IQtAQiU8pXuzNyN+yzaPhOapmgVyq+zDns4UaQ1SvncrmI6o3lyBdhizAlm2s4+Mvsjh+
INfHpEfbrYtrLyvbm4IYTN7qokzcAF2scxuPvUPcnBZttIRLPuoi435u6wxVqMNkszRfAVwAuABG
ne1qmb9bVNYfJ78IgLzNEAn5dKY1AKmc7iADr7ToXjeHl7ivyYXhaD5guIjikxpEIe8nSPT2cxfH
/atQ7fgtBXW7dwjJOGVxaz4StJdt2FfHs933LRogWfKWKWIurkdDvNIgPt5ojQHCpMRXeMxXV6m6
D0smlgMsHVAH2utbDPx6v0F8T0lynIxPgBwkkcmo2DptRHkAhVtjuRcYb7IdSQXEShaVUq9JvNQC
exRw+7bXAL6CPOuI7eBT3toQmNu06qW4l/VSEAWWiHOzImXhpJPTKBvjTtn6J5j0T6Kjvlqw7Heu
KJu976QNEIGbtN2VZBK4ErHhfLQj7ymOmq/CwH0TZC4GwI4Wm71dSOndJoVFYoNPKDBhTQYaZM4O
/oU4cKmwuenb9ERipzqg5SxZzx2LioYx7pVxDUK1xFdeNHVxOEImlanWjA/dMLv8Sv0u08boDpNa
HWBKBN6Uptz00pl2pMRczZaZHPJ8ke29sRheieBbZ0Thds9QQIos3+L+Y8ieRG1fo7OPtu7q1EnK
SN+2zaACbIPaRm8c76PVlbONqfNUCVfbxwCDV7lXxEHkGNrOXl1B/uoPIhIIteRU5C8AJhgts1ad
CD8nCnIocSevTiNvNR3lhCzdJ3WZbwnTkoGjkP54MrfCrC3bY7Zal+pxpH/a6uHX9TK+VuR38g5k
y/LUrr4nG6Hu9SQG7RlBOLXdp1Hk8abEXUVYyJoXCIZO6ktzIqMBw+TkbGqSRtFG4ryyVw8W+Vn1
tV6YLbkM2FQZsxmixMa+mLdyR3qcVF17b/qd+UTaP2YFB0VyYuuJCudmwfp8MYT5qzdsyRjirclV
Jwx++II6+Vrk1GEnF1sZHQvdbtUVgGXIG3D7+RvZY6jBpOvu8NBgyEALP15NONas1bpGSAXzVuJU
+gaT2HiISLAIEWt157QYX7lYnB0h7nKPlBxXXBHVOOSGi1sOY/XwBf4fDx2u//5MDIW/kzjsYoI+
9uZquktX+11XedlV4eIMThaqBhv6PHQu2G21mvb01b5ndJU4oJ3DR+3nycFR1rQFQBYnZ8DRQv6A
hyBTGOcRJPk0rRbBySgeIoc0RbeP3StF/QFq5S79NqbzWMPJeBYuHs5eBZK+8U2jPbS+Tr5Thutt
IybzrsNDpdWTMYf2amFMVjNjKiYvzAuo+Xm1OpLIqx8x40c7NbanqSzbrVhIarHrbiKYuVFbauua
M4rBmIA5zJTd4v/u+UN5iO3urfVjnJe5+r0sLYA2CC1aOrhu9A7Au+vj/YiifIPb+EaiLR36yrwx
S4PEIDJI7xWK3l2n9TfxnD1AQWn3KslIHXeINycylm9jcRO7pO9NTo57dAJRFHBsvbOzl75D5+/H
eJHkOITdaj9F9z8DT/K+PrRjGjvHJRtmvKq9iOutwc3ZBUY6mfBEJD0B/FpoE8XWqbyFPOoI1fwj
Hnpfe1G9Mc2bFOvPsoGHMUIh84r1bMr1orC2Lh228x7V3qPtdk62WSR580GfF9aNJMqMxwqjTsAE
TpiI0PHdkTA52QGrTntr1IaWbAhcWj6azTh9LGsxHd0h009jWxFlP2u45CWqGITccy6PwskVR39R
8R7IZNjTsghWUHJiernmfJ4zL9swz2VHKfzRDKB9ygdvGdNjKUpMkKa9xTGkCCbw4rfWGEnPxaZ8
189eu2N91HdmNxDfVFYcr3mLgDjIZ6ixRMTxM0t4QzgO/URdA70CdmDiAe4WS4Jd2CP2upG2MG63
RZHX05inrhnLZDsYXaP3gTFjYCUEWYqd3XO3BR7O4wyqgUKJBfr1CMJWxcRp9pJK0GQeT0WSawet
bR0Gv0iMeSBMy7/VbYI5QzDpNiX5lCDsmrqWbpPQp7DJ2Yc+9YD++oaMruzeS7r2IfMz1Qe+MxMk
ueYHkwU77ToEV/tFT9CLtvmECFbg74Va6ubhI3lbPgUTvn4uM6+0IS2mGWl2au2c3r4yB+yeRMIO
4xxg1Tb5+TQiZ8GU+zjVFLt52sdbk3igG2t2VkpFc4neLellP1ipJT5i5sioIiKEJoxH00NpPVuV
5HEZRJh2w/DC4b0gJuidU+3rv1suXPPs2gLrKPNWSz2kmCdc4XmyVcNI9FQ32kY4DARFhpaTlLfE
9KJ9hQ4ct4OdXDe2ana+KoezGl374MCIwCsh5bjvi27EpQove2VVTrf1+dCOHumAclNU1vw2RV7y
6jNzf2ARd08R1dlOyK7snnvgLGcTxTD+16WwzdCY3ZehRMU7R/DITmxbbMCQpwY80aEzZnrRe0CU
TyaycoVLpen2Kd0f3CWGf11k8/wVdepaLJnqnzlP02OqNH07t5bzQp9mD7PRwTDttDZNLj4Mg9W1
7OAT4TdGvYafcRRuctwJWzTe/pU/4WOyJylPeHfUzQwt8tCDcJAvrKYws4lwr9neP2Nbn9rAqGsL
hrYeoKKwZWxbg9CvsgYjN6m12mrwmTuCidw3A0j4jFpnufGIEXtsFHqukPM8+4b3vn/yK1G8EIxR
xPDDWNlhk6JjSmf8ERMoYWw8ryfRxs69uQwqhHatD8YieAGieAN9zTvBB64z+xNtbNvRCMU1EDOf
F2W1U05jX2WFVh0mwSze+IV6gkkzd5rotkPTZrdpDBmT4WK+yVzXOHFIyA1fQL4srjQYWDj5zLyj
UFprm22OrWM7W3oJHCLnNqjLnu96Z2WnJmVGKUqBatIfii/UhdnYTopEbdOWzjw51OoNeCTxwqbw
p2tpGKQ7q86qd5el9j/7/y/2f0RjbNY/AcRvvv7efe7zd6v/Hz/0DzDc/g10HH+LhZhXgIbz7ylQ
g//zv/CKAIYj+0NJYNqrPOivzd/8Ddugse78a448ift/bv5oEX8Au38Kfnur+utvSiRSWSnT0lGi
rQqqtX3iPfhdmKMmUMjLs1lSZJlcL3lnUPkamIT6zNWZAFBrbspDihzxazJqXhtgiFZPdFQ4hzUJ
7rEovWgh/tU01kpw59boeuc8Zb5BCHMBHmf0BUIAw+y0HSaY8cUiiPqm89w220jDH3f+4KU3xuSZ
YW5T8RA0kiSZBo44tGfbvEEIRCIsq/FOSK+8y3NR3Q1KjQ9+5RgZuXhx/twRGkk2ReeNwYRh50Uw
Fj6PItGMoPVq/6FIvPKhM4ZnB4X/gRMY5FV34zsHV9gDFpruYYrNaGciHL5dyHzfasocjnnjL6Si
mBQlO/q0JfeMWyglXvFpTLPps+uWLanadURH9OLgQmqb/g7OIvkIlD7OoUC3tTFjaez8xNUfQSWT
B3tysq0UFlu8JoDZO4zqZ6/tP5RFOiDS0g0oNkuaTDFmszxVVGPitp1+zyeUQoHJabsn6ik9t2kF
WFs1dv9KfbUiYIHPkCjHrLzxlEx22pAsx65Ey0qYuhlvCum5IfVweMAziqJXeILG7iK+JaM329H6
iwU6sbnxcQHvharVeUpYWbE3pTeJXjr43Uo1PzJ4jiRN+/SAOrlx62Hd389GW127rVBnqovmPTSQ
+TmzzPqY+frwSMtHQSZbruVkADU00nUJdy15DOM1pQhi1+qutqmiorrXmPMeh9kaPpm+UXybjV48
GZLeOyefqtsStyTyUHfHUDm88F5xT7ZT5d9xn5YvZpfKne5RA10NAPiqypcrnHbaFr5zemtV39/q
Q1Ofs4k8fx8vZEs84BwjzdJ8/8vqD+3CttOhV7TFZHmeGG+2xFgm9+t+nJN32xL1HzGrl6KWO4/M
poDIsc/SkN4JohvVoWk3N1ans6FVoqTieqHIq49JrNI1f9pSYpCdm8Wy9kXceHshneJrRiDmnWgY
ldM8Xm5zki6Bre1I++LVa1ZIFPc6jjpF7hU4DiR7lTou51eSHOldIAC6jDIqqwr7JdVL8bGbsuns
+DnTsdWP16nb2KBCTSvvMWstnzBUAgVrF1TYTuMn7DX2rQdk3K3YsVxR5HTFk40VWc4vIDOuOgBn
fcWe7bodcYatiDRJq4DTvaoAqtMVs0ZZHx2MFcfmXgXSZlK10E5eoG5myfKZY6S5m1ckvFoxcTmW
9pYlXly7F8gco2sTuiuO3q2Ierli692Ksjsr3l5coHe+29PH/gLITys27zg5MD2rO9XXK3ZvO1F5
HBcJmVJewH1C9G25I+tI3GbIj/UQCGalAnIvfnb1CoLAdeqIoaxtI06StFk2S1m/FRdaAURyujYv
ZEN6IR6yGQ4ilj10RHahJoqVpTAvhAWJqpAX04XIaFZOw1jZje5CdMQN83W7K75zINTUXSgRyLuV
IelkEwNGxOrCnkwXKgWscuVVWKOa4WGgNVzuawCBtDoujdFrmDOAvKZmY0kjV49dNsXeF3zWUVJR
G1cIZX8oqRFs3a3XUJK+08ZxyN5mt2n0/Ip6o67j4oLt/c8c8Is5wMQ8+tM8w49zXaZV/I4T//4z
f4wB3+96VPEOED/U84rl/2MM0GnOXnsn/yK+/4gztOzfgP/XMcByLew0K23wBwFgid9Yfdz1+STU
aU1B/HfGgvcmBDw6wsaEQKCibjAR+D827UYjlS921KqbsXyL+2KTFL//bSr6F46glVJ/N3X88AI/
8AvdZBZlM/ECXoaiiNNu9D9jY0997ORvP3+pi7793WvhOMB2YJisoDbTzg9a61nvybdBP3pNJBii
dDSbGhoBGv58LIqt/UqgDF+jhJDAQVyJ79+zurBJPj4S5dDG5Vv9nQmNAVSE715FXSyu0JCNXyk8
xdR6Hjur16yTQIJ1KHo/izoC5MV8ciytjp7mdtjhfLCPPdDBXQYSTTcHcczVQBAAsQgeqcpDYEhH
YxdW0vSHjV2UbZI/tj7pfcSys4O6CBdrUu3+H3tnthy3kW3RX7k/AAWQifG15ipSJIukKMovCNqy
ME+JGV9/V4J2tCX3bYXvc3dHKDyRVYXK8Zy9194kLlvjpuzFRaFi/jRPObfxUHuqF0jwZOogCZLF
jUcDesdxg9sQuNvxF6My3Q3N1QKQEbf+LX5vW94TSFsvNyngOONpNI3EBhkGpCzg2NZlaTcR1Iei
uz3+d9VYWaY/WzUc37b+Mnj/RkH9/NbGrBo0nb5bON5/7M+Fw3I/BOTEEcoBRQQ5DVPrz4VD2B88
iQqf2f+Xu0PA3YFpjNMA96A24Pxr0XA+MCEsSbEdU5ONaOefLBrf9wxtzYjx33uWJIALPEzf3ySW
aml6+H3utRjyYtmWydRfFepWFylx0/7ylwfzbxYQ/cv+NanXFyPCk0sLpkKXj6uvNX/R7ETOZIMP
6Gw0YDMOE7uCbIko4uVdtMqSW3+JTA86/IDw/f/x0iyyOoYNCdKPfpPEyCzsI5Z9XUnaZaCMYA+2
3pv2Xg8OUfqT1pCbClUvDc2f2qn00vj9J/cE5hrtAsXdqMVP331yIZOoRGohr3mB2w3X+IAqGCXx
Ul8Io+DlpgJ3wn/+yIIx8vcXZaiQuYhKCozN9y+KZDDsozoQV4clC9URGQ50NBfqJjhdX2p4Ird2
ohHPPU7p9hgDu/jqautUbrg8h8YlRKP2IkTCraEThoCU2G9cDhAQoyg3rZtBN0d2yVJp805twdma
EIzKn/jevt929Kih7c7F2qGtblGS/GEr8EeyeiYvFoheMRxkfW6fWT8povrtZD2vFPkp+2lMIDf6
vz08N2B60B7ghYMfvjHXMLlhOcq6YseBOAlF/NiAnP9mplNzncGBPzo2vg6OBNwr5rj/mUf17xMT
zjHkK84aAePmx7kyBAFq+2yiLWm4GKL0hJm1/TYamp85b61/M1AwSTKzfO054ET7/UAB8daVptlb
Vyp906NRxxDihsTC6bF6Y6bM5trERsnsNNGJ1x4UBdiaGFPSLP6nNke+bilNm9VSezf/NmoF22/Q
UJ++9kiyGjqWYV7diq5AE5+UUDX/+STxWPaYl/zf+5ur0qpTgjzkIK6rA6icwVBBQZqqm94zq5tC
4dJFh1XdNE3CKAcxaN0VQ4DRC/0RtykrXaobwx2mx6hxtHKNlMzbLhuCvdVRX4hjtGO7ck6ZZY5f
TuMlQJGVH/7zh1iVHT8sLx7iYJvzn0NRyP9hiqRYant/DqxrGKYUXRBkqNM6bqauqL9oZwdYl5El
d+YBorUmJwNxOrhlpM+neoZAyn3Wxhm0jAuGESskWchX5s/Mz/9mFcQgj0/WhJf790OdMYl+cIE4
XckG4IGsj5nycP3FMkOLDqn62cjWO+h3s5hiHaOaPRe1KJ7jH4+RRYdtw8zm9roa1JwO51EYTPoP
SSehNzVKA5SOu8ENFqo9HlvIquM4B2S+ZdjNZDl3X2U1MNLhHWNVZhLASWHh1GNifUQtu4YLFA8E
EZaI6maGFEDYGcQJ6kLWHXLrnzkR+QQ/fiw+Cd8z1m5bYEv80de9wJHl8j1H14pRsg1q2gG71DPS
+0bmc3fC4ENTICWvGTmIY+Q0GYYijKlpRQl5HvxuE9MScgCRimGPNt07AIwEthe7LaGrcCNniY3N
CZedKbFcIPUejU+kQkQk95KhpzZjNMfOlowpnESmMJkZaTv29M1iwhOx/ZFKR2Xn2pddfOO3RXor
Cr+6G9LQa3Z+pUzioUgierXoL9xb1Zz/BvaRGEvMK9CB54XOy0w37uvsYHe7dHNc7pKO/fsCbKGg
Q4Rr/aFBf14ACsZsQuBoSxPcg7wLBdsz6pe+hL8B+NrznoKgiTX2NcrcjRJDg7XGiRTMGzeYOaZ3
wv8V46Xyt4gYuuxE+gD5uE3fkykiGlSd59C37FsREWpFmTOkYRgET7gxCN32qAmqK3VHy6YIhNFt
i5Eqi0kpieoaEiAeuu0UEHO881Ocg4hA2HYzxog397qrU80BLLl4jGgAI9TwkA3y7irHeWsp9SRb
+qY4B229EA81u0BLqkhE74ri7C6UmB/8NswJ00Sh5N3C/ct6dmYrpqi2Xcre9OoLHLN0/gjKtLk1
JjRdh4g7MGESdTLRPYuSmIZq0P2GSc6tNpHAA2UmqaLRXUR3oOrUQQUJiPSq/jLCN3q1Wlhl1M+m
HR5G8etMVODWSTAAesA8D4I0wl8KcshfK21dawh8+8pAmX6P+jAlUyKOyp3Z8/VsY1Jjj8SOwEW1
vGHLwCpMmt9hOU3w/gyDTiAhJnZjujj0kqh+Nhw/ydD1+m2GjKzMg+LZG8DWBQyAHCPqrvB0js2G
WqTnUwhHuR7qgrglRmIztrSwyM2g7mwQM7Yj9DCoXw1IOZK3m6UlTsdmLnw6P/rwswB9qLKMJ42k
oLoxwchJVnsDK64/AnRu87HGogkW+tNktHxjqwGsmGciRwaPVLcNJPCEqFZGJddki83UptwEtMby
6i8B6al4mwCQIvlIKzzs6Kx3Y0Byx6aMWr56DddWiR1de9rj3XaZXfstdMZxE6GCmPZdjic71eCK
CevtyygAQ7ULECq3B9xl2KxDnl1gl1ZxA6yUGepvwS7y6+fG4c1x46huONZRbEcvsgM8Xt0AahLP
jak5ODOQqduuG1ifWc5ClBrwzaKdZXX8k4gUFIyf2giMmJx/AHob/hxZcvabEuzUdA8k/4Uiv/Gu
p2IXbGmo+LdRg3818KrpEUUJm3pisKKuayRnOJjwDpuoB9jzhNe0RfGgH2WANu65Rb5OuL1+t6il
QCBJMNgPmv4rNnCB5odmPYtkuWure0ja6hRFA7CHpbPuBnLBbmYxYnqzSIYSAnF3n3DdkDpXkuxE
tucOW+Fu1qdHLujOm1XMfCimJK+UxUTbQbWdHlP9V4OaMfhFKadPM8OD7OfsooG2Dtc5uy0qjeYL
LjtOv1PSzo/rQWHJMG1epjR33+iVAEZs8dSrhjczkR301Za5JgFzHDpXjWHekU9nwLgKzTuyHrPq
lmHEd7emYJZVw8bTVsheQt4RLGAO4VVFt3717wHVYDfHFY3hOyT3/s1tF53lUmHGOTet0m5dfoaY
tmqcp9vGUDgR1wMOUb8BqbMpkUHr5Ufqow+t1hTUvDPbOB6MrEkhh7i9/XF0Zv82Lhz7Lfakyo9s
O7zBWkxYwn2jxCRUF1b4a24gxtqU6xSyQiedDsOk9DGInafbqfHq22P7NdeEF24QPoc7/jaILDZg
yFSsbZTS5TmLQddb2r7NMiDPLt/0XdnCqObjVDcApd1HNDroUZDM827pOpAIM7Ljdnp4rt5oM6LU
vslscuj26cBx1fZTmrb1GBnxqYhD7oCWSyNjg7LJl3uf/92ir2cAvxMFOgtb3zQkHpg0nwT3rjGh
ZQmdXZ7HufMWFyPPFBcFn39dBDJAk4/UoHgqeUbeg0szDMEQM6x29csXI35qVCscxzqr/gJ/ubpZ
eT4c9xskspJvNREwWXM2cp4DcMMbCt3hi0G87gNwPfdt9eZnprYZgzvABR45zHilCP3YrCPRnlKr
vRkTlgDH4oy+RzDD4gOaOmofgikUIz5Z/QWRtMDSJKqwORXKQujbLRN5BFxH2/3idhyKhI8IcSPG
qHiiBue8rTweYZCEsQUdzNY0+dbzSJOQxoaYLSDbYYogc06C+gvOTCZ6Y42kgkWMW3Yizshw2KMN
ZAt4wvrCC/4VyIQlmaIRV1RaE5m5GbnSPpPJZD3jt+Vrocc0PSzAAUBt69G5bpvzQr8Q1pghdXgz
n31x6uC2FD55q9iXd6rvucnop6YwUAS7dLTyZaf021nZcWhM7Le6R3OFJTgKbnMAuI/mMgOm9eQi
Dz3+OR9Rf8RylGRMLmH7rI5xqxy5iRnyPQMcCEichK4ky9RrTnNCBXDvBH3uPE5q1PzA0QZhYCi8
+ainGDX818FLOZlcW/PePmdNpaGGgT/ml4L2UrHP+1g0T5STR4ZImPGgaW1ad0m6rn2TSI1jFVks
8hxFIn0lt4GpappndbM+gPe1SF/cB025WRdWFXnsOOvYDaOJbW0CV3OavGT+VbENXdfxaSMAPaYU
Ao5D2djZR6/3GSK+2auT7SCTiiMYy38MiGIs/G+1R0rVtlCDRhSUATm7tfMWudRS1lHhThmTIhOh
dUcllInclNYdPggeAlKnpNq6ZWnhdXZKViJUcnibG0ERQjkpDAOs7dyqyK6oN4nCxqjsUcfFcBAi
n9ES1p0FcuXEkLOeQWLB9bNyMlC3Xtiww3gUlQ9VzaDp04rVnpbPPXTi5fqO2TANi/y0bmTRXldA
zF2YoyuiaIotcnK9fXcpT0l6I9NGb0DEAUeSEO56gASwqSKU1FDNfcIwy16/27TvmGYS463EMDpP
jwWBdChfuKrhHpk5+DkRn5uocRSLI84xY5faarI2irPQ8gS3NZlOXT+U8b3VpmZ1LllG70A18S4c
ov0gZCYVo93ESqqeO6fnEBIZWfCCt1bjMCf9eRGhPdi98J5IYyvuhXR+i43Q2GZB2qLmbcyNR1jf
DVSR9FsEBHjjgSbfSJcrNawIyQSe2B7TpGZH0jHT246SZ8AJZXZfgInwnAEf459yxoVwlD4l+Ln0
EdBGTdWhCZ0QG9R1+lHaLX07ds3izM1+OpVWXc7bvAZ4HILR/hZMOecFV2B+pYPBCEPe2iF7BQBs
Xhq9+F/SMKIQGeCivStIiecGgyH9vKI5SipF/bbJw9F4IumFr0cVNX8iyeQhrbgYKoAjxXl4zVLp
xb9Bx7wr9JFu5ahkEZTe1UrfNyNzRl+UMziDN6MMmKpB3ABbNRVvD1cDxSZRaSZHOPJOp3UzCWPW
7cVJqgwWRMCSlAU1DUa9h1sGyaKhr13/68UwMqOyvsCDqVnyOta0yp288IZ6mjp5MSj7JMBcjOTU
uosmB7AIyWtfxULSjysz+8wdjO9V6yVQ16Vsbn0RsVotbiKeB155u66bQZqxONJ0koi74OGIXJ83
V+JHoWhz7EKMBM8o1oHa5iR7Vh3rnmqYQl3O4ElCI7sYlXMgXZj3vSwVOxB3u/gEjDj53R5cs71x
6p4Z1xnQfh2wDLfG+wkDpkqvAwqLrPTtMyxK0ztzYZvw4HO/QX/aq2OF//BAdpsAWNB2zpuZwSCA
tVfd8IlZlajz8Eg8SCLUmkLBTaJw2Vhc3GlkgJvubiG//ExXnPmwaDjq+5EZ8d43N8LISJWsMAGN
FmS4u3MnDrxy/Byrfvo0xe5yG+OD/1T3EbhOZgirM7cdsmJy0ZN06ham2M52bTxoehcGziUo/b1U
cjqJyDF+62vpfEUkvfyec6r8VuVTy3F7REDOuUrcWHVr3hJvUh3JKRhfbd6u2vXwUVB2NGXa7CGC
NheHGKY7GvvEEaRu8pkecfREdiDxKH2Rz7usdXRbypnvAlmHn2LDy34j+5vf5JDN13JSLgO8DqXB
jTUnPNba4jZU6UYFg/tff9i7ufknHR6AIdo9/H8bpu9+H//n8rtqf5//2uH548f+6PB48kNgClcz
tND8vuvA/ujwEILn8E98XaEzadr8pctjfZAU5j2f+vLKjqSl+6c3zP8Q8OtMk39DMdSk5PcPFGNS
fl9ER7dG75bKLnJ4n66R9WOFUDSc+GXvAMziZseZR0nEMZzLsps4HJybyVTN8BQ5bXipzCTuz0NS
dte4JlflCAlRB0wTdYLwPgsSttleAulnFIqaQijnEDu5BkNrHr2sBCQVNCmsc2O8I5MrljuMKeHz
JDAUueXwllszzIa8eB6a0HnqcCZfWxU8V3WU4n+pM5vJpbOxqQ5zj5RAgHsOhMjZU996bN1KYhro
zNcgQ7YGqSwRj2U5ZpdWDd2+KrCquDU/iBPa2OOUm+4KbqzakWk9hguOnaI1Agh9imBQaCMsiFh7
FKSTlBhMe8rIJR+sbr+MbbBdbNJS1geVLSRNKC/+le8/2RqGDn8drQHxTKYW/0hnL8DZU/TnJUvt
rSd7frB1ELnvBGqWdOMWhAx/HtIFQEqZ++Yr2W/LR7ceAgD3cJ+Jnl1OXILUeTB6Xt3yue2XKaja
NumC7ZhUskfIEyhcdQlYrM3YyuWkUr8vdqKOjC99T2ye36WFDk2T1q3y28A84gTKX+Ys94jJiHrr
VVEi4fg1mfw2nFfTvc/5+RupmVRRZBNeiCGIvxp5O93V9AiO6/tr9btiZCvcQfx5FjlHts0K3/Zc
rxwP2IzKY8/ZBs46WOgE+f2+JaVqXy5DH2+8LhG3kW/1kMv7DgjRrStCtpcwtwheRJekJG4SDqhH
Tt0wgFKab9Rdquyy2NV5UDbFuC4d+kOXROIVkLHvHqx69s0jQ0XzlgvGgl9nl7Rv2x2vnmyDtnWS
PREGzlMFoP1FGTJ/ims1vzZ13N762O+f0wWrTCyFcndIdeSldProhqix+HM613KTB7NzY9R82b6b
UjfMOgdHT8WHTFEW751FtOXRocu5QYGsLUeBbpim9fJlKcf5SGZAwKYg5LfRlSTbEINeVIB0lgn4
gEiT7BCkZhffZXnF7+LCUB/cyqVUtbXlwDe8GVTlpeSJZO1jSNYEYREkccsqI+unM8OPhVsk0xb6
in+08OWzn8WSKEI/Oxb+ZABSIh8v301dUvhHTNftU1fZr0QI9LeFY36GYzeTZEFjAnVzvxjLfsjy
j9SzKDa1luseQOCH9F1EvcWeRFA5mYSgknpf3S9LXj207lJcW0Pi55nn4gG2snXpaW9SbGvAhwFB
OS3Eo+w5JSyX2G4IQs7EKLdj7shPE2yIjYNDcMJm4zJRpxETUgvCphQwnbaYvLND2Q0TcVqdDn0J
02Xbj61xbGoJGQa55z2y0+wGKZvz0DmR2FPsBp9mei1VZUquYUotIrBv86BJ+t04md4rIMvkY2hZ
ZJWpNGXTqM4KUttuqUmCK2Ht4rKwqjhF4SFdAnP4mbelCZj0RqogExDp0qDrMIn+oO4b7wmGl6R8
Z+XyaXIwuCxpQyFV1uqymHX1YrjOfBQNycR78uY4H1PphCaAddGCM53DfRBxCV27Lx2Y1iwUFiHS
o7kbXDJ6xrCurvG0tJ8DPr882+EypWc8kl67c5cIbnqYxlvqmGj7MhA7Hd4SB8++Scl6u8RexQmh
rBVEIBE/u15kIofNVbYV5A7cDNxsgIUr7LPQ5Fzk+PR7t5wlJgLOonKLv/Wt4ma9V8ksiJduvDvc
qcZzRgojch8B8TAYp1TyEnlHkdlf1IPys+zilRyzQWovV+GiFdy1EHS+rCtLk3Uhx/4iu+QVM5Tc
dgsqgp5FNW36p2lhjSLGi0OvYbKsDqIaWDVmdhhVueURPII6oxkUNtNhFI+Wo18Ifvy0I6KYd5IP
8L9Hcxy4nI9GUN6x288U0ADl7apq6fZtXy4fgZc77zzI/8rofnpccnUD+T8clyoFX2ZLIHuelG/f
H5nWH/3zyOR8sDUQxvZJ80WerkURfxyZfPuDFJZLZrBlA5pZrfZ/pgO7H9h86KHB2ZWCH+On/jwz
yQ/8p9TkBCI46MrOP0oHhtz7XZeNMxPdNUmbDeEBrUNa0d+3xUEYNgVamJSEA137sbAUeruljbiK
i0GhEIYhAQbLN73YPYdi5jbHIhb4JEQx6LZihApzYNHHMFo5VdQg3q6sUVG64dJCT43acZEgwkDJ
b5O8R52HSG773Nk91e1ZwPXMmSMcxXQDaMSqwkKq73Bo/v1bkFjVFwqNwNvMhfrmkLZcj8aSABIr
FvYbMSJcoIPCKLdVSV1m01fCr48CAY4iHsLQPyKhrG4zVNUPounAVzJ1xGZkrQJe2EIdXa+lRWJN
76k0uh5FzaCePHUfiTKrLuAQK//iBh4tCHjXz7kOswQVRx0b7xlVs9qmAjfnE0X8rNfX5XeQphAR
OFNd9+PsC7hS1wOqyuhPcojlp5U6W0pd7JYmxVi3oFIcCbp0m7UTkLq62k1DnmoM/Za2PSL6b7+S
DcITWFVFiS60y1Bz9Capq9/2xJVz7azNET9HBiBvwFkhq6Pup9B90i0B3VHsJem57OgTn9rOeE0/
k6SdpiafPcgd+j39aEqqWklxU8ZefCcJYLz1h5B6zphMH9MwGc6yCrJzmXj8jEc4SLJ5pwEWZDe5
9FQF/+T9C+VOB8k10nVB0etvGFfR9MBX2ravFO8p1o+ryGbKBEVus6WsfDUKwUeoVlFBPQBgxJ4M
7nLr5D3PZUx1LHJMBAtBLLNtOFvP8CLUKzS/h1OdFTG6c7e15QHBF4eFAY4YVG6+N3MogxfkiI/d
0jpYwUCRUoSk+sxxJ71CJeC8s9ZOkPqgJ7IZgFMMWptqDwM9wxUfHuY64jeBZuVP0rt4b7Gubaw1
3Bg0LUjIbmA0UOvjmw1kRy2Lw5Y8o8Kjw5B7HlXjOgIETPCbbnMOgqnnjaQEenZAp9TUNNV4bJiE
Hlg+Whr4gAXKfmrLdJ4pN13KVJcWMpBjxX5giNKdZ1reVnXA0cRDWn42CIOhp0dK5XRIlp7iUaGL
uZI9kMbFWDBiQovMk2myecly0VXBQY+TOZhIntVfkS8hXhdODwrbavlla32VkCvauLreOQ/0VWqb
YpGqKQutQzgxKCnNGt5d6cm+doNCLR0Zpe5yjSKaH6aIqVAsAl4tQVWU512bEubacuioaQJSzX0G
zFq5zEuX5/neytPFHDfB60H+LFqktWWSWEnzZS1xNSA44h0NQqqzY0U7gV6QsanbFOJbilgWBLBu
3q2VdTz3lMhiB+fl2kTwTKQMSasLx9qwwnygE4wrU/efqWPwfELdqRsElbV3rqUtTHleK1xEjAW3
S6NDfLq1d13VCGY2ueHTb++9NpZIawdor4ZqZ9bTaIHqlNfeyXWUeTBzomsITTJ2khQPtSHqis8r
gQqMh6Wl0LMPmBThhqMNb2hBw/dYCPJwHud2qj9Gaa9BRADmJbS6x0wX2+hz0/Mh74jfY7sFFfiM
40TaIUQ0tQSlo9TFEyzgAyN05j8ScdZ8yWDcngLCeY5hF4tnTzLm3SwfQ0J08Rk/tWQ32CQtQWOW
Cx94yjSH1wgEXxSxL9ZzaKJouESVBxxUlgVFTmwgEMq1pKS3NeZ40OXoXPck2kSwNFvhzJji4M0A
n+F1gI9saTiZI9jS7VTqphi08+fUmUdqSKqgRo3LhfFitSCJ10itkRu5u1nLaQm+1+eisHg/aVHT
NhgCPXI8CzznxU4Vv15EYfsVMBolwdhhdAe8BEkU8EkTukg3dk0joLe0o2sd88hS+CEEjLxLqnb8
ib+fvqturzpc3fmcpl72hhG62nVoHOR6lLNY31aZFfcVPR6DWbcPG83OlLpf+b6kpS2E4N27yAw+
herPqd82YN8HugCYzAzrwXaZXaSTBil3Ax6vJGZ+nXHF4NsvYE0m0pkbR8WHdWWtqthyjyPykBcr
kSUItyias88ONrFkm9t6lbJ0voUdU6LEB0pBt2+KqxX3ghir8msZT/BM61pvBo2pN+dQ1yLXHu+4
6H4hHhRmsM8VGF5CHJcWaTdzPJ9YfiRhbFbUc4TYRBVsOTq8S3BTlG2H1MUjDp1HkgT5dUmxF5nk
GtI77IzoZe1mk49V8BWVGsue9VRBK+Yk5myWmGpjoG1It7JR7teqLF5oDKlLEE49FfDZH0EQuFI9
07c6V4HeiFq3zJ8RDdU37DH+AxYhM2TuDvKgGq4zDS3+O8fUHG8iGrYDzJJPidc49PPK8JcG1psB
FRanMrHjqvMQo6fMgU1fWIUBIrWbz23c19RyA1WED2ZsV9sg6D6XuM/qum0OBsWTB9zKm7TwHkOB
POzz7MJIYJ+oCixJllUVrKro7KXtcjeTZi92NVC5nXDFUgJo4La3cRs73daVKE6W1UAYSOwaBp+d
yUNWiiGASUHiWo/ODtN6lm3xFdGkoAoTz4fZhchyguuWqG3U9jitBMiKm07ay70/dd6F9Du2uWTC
ITgZNRer0fpkW0P10TDd8j5ZMv/iiZDmrEUUHLbvah/5xGdszHoSsMtgLimc7x+BkZnQCgxnesvt
KiXhrfhkp3jWb/Omta9NFpd7Sv2jv7UXFRx86Cff2lkFv8aQljBpgcReGGT7xvGSnc9F9TAbKQ6/
ARv5jKBvX+BYikER4ibsZZt+9FWMyIfn5X5NO788LD1OypmIL1R+46eAaNJDlnjq6IXjLwQXoNhJ
vV+jZpofY2cu6Z3hhZKZRzmvc9QVlkPM8afEMT0V0290U5+ReoYbC0feRz+Jl2uxzOTOeX1xgLJs
H8MAAzu1EnsfNe1zE/TkUSuXk9G+LWAudUvIEpXR0yGLqd5HnBsuPQ3nC0A94+QEVXvOgt6+reRi
4vgCoUskFBdDl2rQ1DT+3gjgMaesWBtGSPaAxXXnceo0lsy6ZxOACWQPJRlchnvOlZyvUQUOCNzQ
SRitOuK94swKsXg3EY15cjCpA2OajS8tbrddSnLDxwWsS58UYgdWznyE8uLfIknrPoFJN27nos6b
jeF7/NxIW+/XbsgDziVCLJduKptjmnTVa8rxHdx7j5GD8S2yZ6FC/+SN0rgz3YZUS8rAu8y3DxAD
5kNaZcV5ND3vzciK18nQJRLLy8mdVMDCDY9hg8oLYskMFeFokgG5dfys2bL4A3RwcjaiKO7OQ+l8
reMIWFQHM9yqTR26V1rnOVXyLVQm8emkvU2v6Oz3nK4VJ8HELJG7mBlSBtt9pl1q3bHyK6BCFehg
qqneyWwneSxQVe1aMUM1GXNrvI17w7M2tew1M6Z1MZE2u84xH4cxy6195ORq5izeUKp4TEKL5riV
FnZ+8pZ2iL6y+EeHOBUNMAroXABwS1LtyMlWNFNleOzc2GBhUokLc6MfX4ysFcjAXBRclJ2seKfq
jhtI3Ow9V1Ufk5Z5kchufIHxk58XdyYyTpE0vYC4pTZj8repl9BlzM1PYzT5DHFZVLZxSWA/D4KF
tEiC39DpR1qYdEf5qP1sxEGP2tf/6GZlu2XzCp8KWE8wsGBrbHruLniLG/SAn1u37k2aXtT8LkZj
LaI/sWoFGJElPUW8hppZEXFxC+/DLgCAWQPN2ky0DP0vIQmqiJzSdERBZoyzCf7MsdQijx6qkMVB
7GMb5iZqDRNuELbZXn7xY9ABBwGYwoWirgNmqZE5xU0DrbM5ZJVJ3IW5gvoHsMpq7/ScQcFIc14r
R8gK4Fxs9qakIcb2Ymrh+qqJ4iwKRANawwNsN85nf7nxP7xLj//KZ/1eoLpenbXwFs+DzpD5W85P
HxNzUXdJiqAroGdfVNTaPy82OYKvNvLO5oBCjdNIVTo55dVRByn+5zewBkT/SxK9vgMf3SV3eIJG
eBc/WOQJ6rSqRXTRyUH3qKWFZCvu+sAKxZ1ltHHEYTOsj4lM4uimq8OlpB7VhndR2dGgNGl42hUM
qn/+WHQr1qFTRF0DaMT3FYVS9iFlRjs6vfsJJnb//ZRUnEnXji61ck4+fbFwODKG6GcpRT/IxNdn
wssDMPTx0vBwfpCJl6ht+xKl78mZEcydUquZAU+1jV+kfCHxDDRjkdgtnjMvNM6WPn6Xdg7CYrCb
Wtzb7kyxbWOCxY1Pnb5B101Upt9WSdpY6nb+P/4SNczQAUmOnBB3/w/PawggwEjDz09lONCgCeYJ
sjWRJbqj7gROs0UpUe7dqW3eCthEj01HraKJucsn1aQei7L5iRfF0jWf74eVyxnIlqQieZK23A/v
yHAaY0FlEdN9ofm0WUX2q0yspcTTUnnW199Vk4krh861lh+UI1yRowWOHMV9W+s7GE/2Pz8q+e/e
mIuslSQ8SugrbOKv3ipvMGtVqCY+1W7ECTWiGJv3xJiMyps4Fcm2fKrjnEY9Ak9WjAmZZnYh12V4
7O0hQKg6oFA2TcriG3s9FwNZJewU5OM+sheO70mEk1pjuzjD61pPGZjMbANdOUdTxCVgoCgMfn2/
lCbFSNDWmqQCQxaZVJggqaQDNj3oc9zb6uQg5YLa8cbxSAP6yfekjb0/fk+Ex+Myo25gu8GPvrbY
gmwDWMc4ypg0R4A0C6E0fq+vOqv+ioU/uAXaNBhPpVgonkxFzNuak355mgKXpxVJ1M5AvYiyRfTJ
X/Kw+HPyckJS1vKQFITYbEaVUqXpxz5KTlVEBQxFJ+KsPUYdnc5X8OqOAPIAE2EeGCFcCN7Nsv+t
RP+sEg0zlWnwf1ei77P8jZLd9zXo9x/6owYd2B+oGGM0opsf6MY928SfxkxT81tcyJ60N7Uzkn/1
Zw2a0EdTrwDUrAVV43/Vn10SnRxWV5u6tuP5/6Rnz7X4+zFs4RVHN49jkndALfRHW5YaMhxDrtVc
UIxBLrDzQ8dZ5SAJ5bk6cRkTQhNEBiI60BbOniCp3vjEDTb9mnuuYDGayPHi4lQUQRKi2YKr8dxD
FCUoKkjSh84t1S+0grwvzuKWl9iK8ptuTMUuMNiZUbomxYVMd9RaWTDsuiEtb9O6IY6kjGuC7GdC
gI/FbB2jUQcxL7GosTGPKvgyJLP0T74JJ5LpNgOcGifum7NwPA7uAEtT3drbSxfywzaIaj95Gzoj
foWF3hanSlVZdKhbguJvOWHGXXQgPsu0dS+SeBQuZZyBxrs8tl3fO6DKXeo7Gkt83HhqlUdnak7t
8IR8VappX5ClYhS0d23HRwwmQqISd1nPdfjOFwuW+U2I8RrmejIXPWe10AnMEczp4Flbsgot87dx
zNtxgXOeOBzIORw6HFvLtAqzbdGrBauC23PZ2JS+MLCjdIFNiSz2l8a2dtBB7GWbuYhboRdGtYih
cPhpXy3pV25FM0lc247YHof+fJXYaPLsITqKbArVHRIB42yiIn0wUz/cLIEh8ZnbALfauDzHhjEc
I6cWT0DqAL7J1iTJBJj11cpH1FxBPb95NazMkZowwvA5pjfOJRwaT3arUIAcq9YuztQh+2NWDrDP
m7Ii2m/I+7OPNsnr4+xQFGW1oxoe3VPWJEwqzqedC7liZ3eOhEsXVad2CcKrQhD6OSyNDutPmPub
xRjq+zx1P2VVEV0lt8KHEWzkNa+z4UtMi3oXcQ67qDqeroyHitJNlbygOwgfclHNnzN0J2I79j1h
GVy4UXwm3l0QZOFLjNbxhLDLuDc4O3UbbpCQIj0lb0M3zI9GaiTLzvJUNr9QViI9KczdT41rlU+U
FzNrw2YVcf9NwbpvqaN407biNHouFW0mZJ9tAVqx7M7jtKjjmGfRCxk68iZYPN3+gfv2zHmzxZxS
KzAuPUCXb9Zog9MDt045gfJOuUcyiBgcFdCDgkt+VqPznDYeWW29LTe2nLxbixp5BMtmyUt64P1w
TzMCNdk0VScM4T1yh5nvus9bdY1zt3xR7VQeh9Crfx1F/Nlq1LDFA+Jf+KaJlaslAVZt7X9caLNc
Q1LbLqU9qecIucFrT1mt0C1b8VuK6+rGWEqu+U0jvQvBG8HBTuvfh6AJT5ZD0zcmXpBv0Eufgszv
X003zT8TLpt8lmOXQOZv/Oxzgx5tNxLAgr+wU0cObWIfeOP/snce3XEb6xb9RfBCDtPO3SSbmRI1
waIScioUUAX8+rfRsteVaV/5eX4njiI7oQtV5ztnH7nLWp+WUbD+eHDKPSfQ6baOau+kdB9hZqGR
rl3xs8athf8Bt/ac0x3im9ldHef6hN6ixbqhK4CrmJ1C6oWafIw0+o1rdNO2UUO7VjGOBd4XuQrA
p60Tw6SooFc4lqJ640ye/eIGhnMrDfGczeIxb43gq/Ya0HRmtBCB0Pugy9ntnD8F5DqvKuTsa1PC
uPXzHt93lhwjtw9uJiU6vhpD/ziXIc1kwmy++APo+lbNzZ0TR/NnzKOiW1k0MkJtpFUnyRP3OUld
b+13zKpXquqmDT2yyQ2p8OFVegCTGlQ1RmjmGuHCmtfYQE/Y65O33sFpWSqcrf3YXePDVgt8T2/g
sDofbXZOIFADDsSaXOK1rXESuoWvyChI2+AbB97ibCGS7ygYMjj6mmFzXzAU4+ApLXZsi2o40oy8
MFcpuVgRWiDRbRN9eWjUsq8pEuU8jjIOPxeqYnc3ZIuqe8m3gFacHlyDjEaD2PA2MO67Im/HHnGS
y1DyEqBMrDpmohamMCmVi/61aMcTh6xzgOIyrYAyooA6aAQIL+kRkxYiSTsxqMSJ3Zz7jAZ1UNPN
Wpr6S8c978FS/nRMjLhf80s5B+dxj9WqjfaoFvrakIvJJ2yh6DTC+94Y7tes7exrkmS9XE9dNeHf
oeOJHTpfcqO4odgmvIkog7imtcjPV/n8JTXtjnHGklPU+rkxxSMsIHMdAlVd15Q0ojv46S4DBE8g
bo7uO0s0YAvtlCAFlqgDAZJzWYzJzh2yeCNqYX3IOs/d55zZd3zfv+RzHT50dq/WKZWGT0mA9cNK
RXtShIS2gmbh8sZrQE95fT3eNLWZHAyl6Z3zK1/uXcTQe67calOb+LozdtZfO40qgOPOKtn2uOFL
QpL2xDOcNrZqGfJ6rdfCsvSquyo2vF1pE/2xQGutzd7UGxCt2TUp/mCF8b7Zy0EPdKZp+WoLkW7K
kFaFMSg+yd76nHcthUbcHq9HVSXDyu9VSnKmq1Z13xQbNsq4Zh3df7dgm20HSNWPuel724s83yQA
OF2E8A2xkPgxG63+7JuB3KvI6XgWmbgdaea1tvkcCSBs5EIJSKTGUaGeZi5CV60+CwjmnzqcQTss
TsXXKgxAV840DLHsfUrD8psosv7oGNzuTWieG5T+gFt3EK0mKAKHMZNQgNm0bxid01EhM+t6bo38
S5SHHmtnauwxsRnYjuLyPiexhhSZZ7tW5t1xYEOyHboyOjjE93aBZudlqMbbU/MyXmVVw1S11Chr
0oIybSLQrXULFN0J+vqL9BSWZheVfUis9TCl/gE0DJEe72Z2VXuo3QroKkSGXWN5XzqzvR8GmgVr
wHBw1+kBESZgfodcLPy+VZpS5pQVMzuMEn5lYTZnCpzvA7PfR31HVLsaVmZVkAtI64fQkHjgmjnZ
1aINV5iVqKfManvlgh7r5zLZxW5541SGQQ+IVvvSH6IDdRboiU51j5XpDv0t3WGnI9TXYBrwywlP
52BtIAeW+x4SG926wNpcMNUrLx2sfU3zDItw4NwaEgGctT14kq6dHeY8Rvv3rG9d7GOWm/KKQMcA
uj6DuDmiZnI/cIZ7ZVvRl6yakPUMLr+mNw6+HmuAB2PIzXhOV6M3WGszaoejrkR0AL5mEIWYw1Ml
p/sy8z5RUvZ8OSD87yz1D2cpHMoQMP77UWr9VmbfG/GuIOPHT/1+lrIs9zd8OQxufJtq9dDjF/5x
lgJy4+JApjUKgyaaHEedP/BYNngsMrkhTo8osi+nnD/OU/ZvnsMvhGcQUhbMzPHfnKesd8cpnNQw
Zywf/ouDgsOA6c/im8Rf2mKS02cgwwhuKmZT1zh5AA82UCOXnTedci7AYmsicb3imRyfC7cHZ9tH
dffhp3fvbwTSxWH+s0CxPBtKl3F9Q21AKPWXZ/sTC8dFFikiWHFnUIy4W4qZG/QQNH661hBhIyan
7vAajC0iE75dZIsuF6gN8dwH7jqMgvprJKV5y+9IByIypfWMpy609pPvxd+syaDY8tfP+KKY/iR9
XZ4x7BzsVZEXmKH9Tj10s4C6G2qpzo72kmTj67l8xhMSOjsZTHRfjBNBdKDeMSeAADo0LcQmkwSC
s9ZGjOS5OaD1hIMMYt+9zBDFJV6UkWAShcTbpMnTOzxCp6qPgArgjI9e+rS7YsbI1JzRsX+TiRQ7
+q9f1V8/hsB1qL6G6ca18ReZOJiMhAxi2Z9pE4sYoeLlprlk8Zy0NS4PpUX02MZW+fHXD/vOWrZo
mVS1LLom1yJ/WZ7WT58+7UqJ2/ZJfb5E/C3Q0mRbxToL4/Tl14/0Tom/PBKLvbnY7EAvhe+usxbu
9Eyra3MOW5ME+0WKjGU4MQZp0y2uUbQvx5xCDOyOp6p/umiWi+Lni4ZXiXri2e4ytGV1ePfwQbAI
7HWVnYOlML7KB+8N1zNyqDdX/ZZxDpMuoKspx61OwV0omuCbJBp8VNHkXmsO8ebaUQzMwFnU1TNm
LtvZpCF8a7IJ7cY05ipYM0R0xcFz/Hn4JwX6rx8UBB6WjQUeiGDvsqb9/EGZ/uDVkKONG2uIq7dM
yB5/m1HI2mWoONXJSVEf+jkJo/Zaz12Kj9vVhEWtMfguA+JU2HGSgOaWfPyWCSf4OnptGpx+/RGj
Vbx/l1GkuYggT7C28u1cxOGfLiefpJcpUunc5Aj1tD1vgMPNey21QwPciDGYeR2VIbRhkCNI02BN
R/e+h3O5p+HDhofdVQ9t6VUoxaVKPqi8ao5TL+H6Usv1TFwp3IC+o36ryZnP002ZI5zkfX1WrdHf
IokTSEysiBKJOUYAhUdagfeU5YOdJ3fJVNOiVg5Bd5Zx9yTtynAoowWiRye4zdrgDjNTBRXm19iO
GJKZg3tKkbmv50QTkVB4CSinLafsiG9oqnC1URtgKc5U1G5+wVsgHwfTCJjPLiSTuO8GXNO2/dSl
GPz2cQAQF/hEEX8GEyMWilBnfBoARmzwJdjHoqnbo9VF5dcMyAbfe6cqHjN8FMFq7NzkJDijryfe
hz1zrui2UxVYYU6IO8vS1rgtvYBdPDYoKl7xqsUkTBz8WW10i/stocjFauSBW41Nq7NJZCWUQflR
V2Z6ZYuoffQc6e2HKDfsXe9X81voN9gzTRL1O+Q/tC+tzTdozOp7D1PEWzPSwuZeU3ia7LSke81R
SpHkGYeQA2DMVl461aHmjwI4cUXDG12NAaJRzmkIAwCxN5AGNJnJMl470qirvfALJP5hMu8VM6NN
1lMKAfbchYDIkDXq99oJoNQWmP/je0QyScpkyih6Fl/TOGUO/torQwcVZ0/BUt58sacqlw5TUzkM
rXmWhawKfYqybt6P0SDjY3VxauZ22TyanNiPVA4xoRz4DGIgFWak+biIh8MYjrkfyrJQ3ZaahsTE
1c658zbF3hY0h2IKVIoloozktd9LhytK0a7EmWvgXrjzjTSPb8dlmJOsO86LXHBO0Ve7usxEtKJR
3I3irR4zf23EYOsogo3N2l03/WKLZR6MwUtRJlxt+5hdwc6rl2BqyPwdTp4NVQDOyxJ9H/sp6e96
+v+qbZNk4XeDfrfM3JiNLfeZGw7h2YPFH59qJ5BUkTOA6Lt5OvRIzCLdtkkaVNu4H5mKAgepsx3D
uWpiDt9XLfmgZWoUEDMo9yKDQUVTlmt/MNqKIY5DR/kyV6hMA73NNHre8rr+QAwoqo6OgDaPbin9
h3nJudO6Q739VarSPqjxZqIAAMUcW7QxmTmnPGFasxtangEFxXRGbUNLz/TuEIhRNxXlEvGWbXor
NgQphpOAclhukthJhg3mf9xQWUCKY1XPuUNesnAif0OFSVkhzFRpd7RwER6SLCj8tV0UnYMcycF5
HuICwLESbXSXx4rwlJN1WJ0qssbGlQnchrBPnCDkpVHQbq0ppXk9zSxMhwVcHcq5+XMrK8qQJ4cu
4ailVbb0ylDQ/EnU+GeNVcb3iJnvXGczRtnRNZwnPK72cPbbaGo21BHKG1rcuSUlFBrwA9Rw8G7F
GaBj2AQ0VZ2Aw2Aw65U3Z1eWTOSTSxnWm6cXoSC0uHh3Q60XMoxP5zMuEMwPGzp6CvQLFW8vNsxS
kVunNSYfH3vUnc+tSJ3DGCjMeGHBvBj9GNbazisbLKkX7/askfbuGZZZTz+yt8o3UGskzCTY1HaV
ZwehbWgOdZD09u3FXFqb6OHrOs8XJE/Zpz3MCJdgvNkR/CYfUfPEGnDF1hV3MHylIRwJ7JAKwZ/o
oG6OkkI2+y6nxqJ4sMM6ArXn5mq4Ab60bD4XngIN3z4d56rioQlYMCPXNnG2vVngvVoBBLDOivWJ
57Wk2F2v5lUMncdblcKKIWNdjHx12jLByVyLgK88rAbQAfw/1lRbkoLvLHcSdJ626DXHVC2zxQqP
AiB3c+jAcy85yy0BJiQz/h2li1fEAqKBl7NPlnjhYiICJ3SmLFyFKaHl9YWd8WNGrRnYPThSk2xO
2ObmV01bF/ljyN1i39emdb6wXFxm+N0qddPMPjVMTIYr3OEJDiwRUAo/B5Ozb23eVhSIbvpSILzc
MZw2mwMm2bH4oPwq6Q8oMdX3aabnbNtnHXZmzgEktTO8gf2uJRb4wTDjaoeCmHSrwGWZmwT+VYoz
+quoKnJv49nCXuq9PZfbUWrjx8xxBmxLu+ZrMtNcHx1dTIXdN8LEWJ9Di0tqq5YVe5t7Bu+oHmfU
CZSJ7soSg03talTKkTutQ0lLILr8E/Gf6MmY2Kaf5kgK6ysdQrh5KsZm4zFTNr9KV1a6dPElfnJs
+VgUtbeRv5ubcZQ3egrKx3zsO4jn/cGt9OgdZuXz4RSm1c/7FpZNc1P72kW6M+mHJWRfjVfJpNp0
HXp9leKWavuvqLgsIyyd/Qh8B5WN6fUYdtwFpu6xTDor+4ilwwmx+rIDm55b6WCcAHKEXzYNjCI5
GXGrPqeJaYzrMuj94pjRInyPbhbPezF0fUZV6GL2zmyZO3eallnvXPltyWSohW9441qpq9G2ctVv
8arxqamwzhhjzUG1mOz7cmtp/MebsbRDsZ/pLOGpuhoD8xRPZr+OWxoEP4DJwZqbYoPk65CB/KJ6
tL9DDbdYYO02ynchnDS10sMrhBUVWitsyMEzlE5M7cpLpHvDECkcHzpKcwQ3d67oLS0ifJocHBg2
Y34CDxQwQHHubG2WpE90E/G6tDaSm0IYQAuqPmZVYTc2yJuyjHn+ImKw1qdhkS6pOPNIGQzf+4kJ
KGZoMO03l13p/5SUf1BSFs8Tp6D/LqXcplnzp1TUjx/4XUUJzd889vDmcmTzlgwTJ6b/pKL4/qI5
42haRBST6NMfKor1Gzkle+km5SALt5QTwB8qSvgbGSYTI4TD6sJ57F9Npa13ByI34IhBXp1dLYc5
zMPvfFWgN5Ix5Uh0HDUdPBs7n4uHtGzjEzUl45opDMFFh91ry/hrZykdn0Kigq8Re9pnryau5DJs
+WA6df8h0SQkf3on/0ZWeXcQWp6dbfLyeYK2w4HznT0nIqQaW4rbVj66zZvH13nhBNbXtacRUjp2
rfuoNcd13zYkzX/92Jy4/nwMo4DVIWLv4goA5u5fUms/H8PYDBPYGrLuyG7vYwXOCXf6kEU3RUSW
cUPfUHBNVS2dT85E/ZN2o+zZIrX0Sc/1/DW49ES1IIhOSZn028Ifyr28NEqJrvHvUV/oz9AYSI/w
SOS1xUK8c83WXc1igOakq8hag6WsblMqQGlnsEbE0xDP4kqhRmyGYWYyEg60Fa0c6WvcOL79mhCJ
QHplGIcZBwjbUpVFsG94IKFa4+9dmrQMubRqJV0UpWsapbGcL7VbhhAGe5fgaWBaCids7tghBH5b
nwUr4tZIFx+kWGq8JkxC64JDIpMXyUBoRm7rVsmytwc1Cy5x6QOrL9VgRk9LmKfyeOMvzWFsn4Ll
rk86dmVeysX4AHCJOsW0UwxH9zpiFmS4NjcLVMnuYTEf30Pxy6wNTZ7mawlBHZdhYLLBwcS/VQO1
I7vR0eG0yvgqPVDJlRBFvpSizfj/n6yhSbe1DNRwhBhL8RSRPvmgM+Zba8tRPaMh3zJ3hCnQuWo6
t2m783xSCVs3mZ2rWgvs90mS2YqbGNNcAiL0ubXgAw/eaNsGPD0MpcrzPgb5FG5Tz6/vilqwvUwA
IAG1w07lXjrjAGZZOzPPgTBKss4TUZI94Rxq5lJ73BVmtovkOG74pkZHf6mlm+1pBI+wlNXNS21d
6MkAUptsD/NSaheVLfV2mWjmncQYOa+CnN6KNccgTSPeUo4HQcC6io2Qw1poxS9OvnhbVaqYKwVe
+s2Fdgatc6nay+qg+ob/qmhW9txB5PSyulpFFuG61XRp6/ODpbmP795jmhi5cwanOjCgyuPKV490
9mW6XQFUbpjxE9RLGIfGtcVkXRZf65yhJ+01It/bJuVY3B0razUChCMa3Nbcqm/6LhLYRjJ6Ew9R
jTPrtu9FfJqH2TmWppOPH326DHF4eXbzNhuOHNj3DIyYA6sz5BfA2Hm54YDUpRBAGzfbykHUxpY6
gQlriwWzqGdoRdPiCPj5kZ75aTr82HAa3FJJqtQCKKIYAH1+IpZGs0th1IARiLLB/UpUYR6APaTc
CmR9LVKVtThqnOYNCg2gIJyAnHo0m1vSYMUD9qRlMSQ1smLaXt/m8xCc7QG6H500EY8mltfGAcyj
33y2FMmAPl4ce27/QWZ+Th9MNvLs2YfMB6AztJc3qsXg7jWviromNlLeiAE+VXyRERcGbTC51cNn
k42+eQNbyDPPUazYQrd227wRNYq8DWkX0t7LUh7xyskbkATYyvyCkDDkeNaZPWPagOhF45ly5gKh
ILZjKGvcCazpzYP/Y7bLJtzkb0US0Ya3KicrcfNVY81q/FjTuZr1QDy8+m2YJFuUScz9VSNm/9z1
Fs8Y53Rj0JqJk3hFnUy776gmuiWZOGrCapDyVr2Va8z7Ce7UpuGLlcVheQsyrKvWpF4bbwOkajxq
et9wAYwyra4rxoY5S+KsuHYpNTqSpgrHs9tRxoP9lZa4DVJs8AmXugJ6kYkiWnMcXmpNQ38yYQVO
oVilXaBeGbg359SfIpiiPl2UMUOOY2JrynhU33zuLfkMYsQ/QvfLvQXVoO4Hv3TKjYGBYtyHBJLc
FfSviohKE8Fc8PJ4Z2F0umF3TjMhINT6Oi0VKR7CPz6n4MH7QhE1M+zRsdJdo4otZipjXpeWp6/d
Mm84pYwp/aaQGVeywx6vUT68baiFdeUYpTxGCDZ0A/UxqX7uMxwinGjauBFT6pXVVYG99r2eElTi
wjR1TRI/1Z6BycTqN/qgYVnHGVovfYR4w+i1rugo/N/G8f/XNEGg7qctx1+aJv62oh5Vmx/6ffMI
ashm++HgSoR6TWqd/c8fm0fnN3roqKBhn7jM5pYamj/sjBFBfA/IkGmyZ7LxHf5n80jaHq8zEXY4
+D/S9v8CQ8Qe8f0OiYd3EP19h2dh0mP3Z6E6HEn1UOJoHcKQcinoO024FkuibK6n7jpTzlYTNptq
GuRxlJBAM4c2WbtLKo05wnB2GqAVkSCz5gWxFW8FzKO7dMm0iSXd1tRk1VZ4OY9dLJ9iwk7hehq6
N9NpC5FtRCaSZzxj9YvNBuiurRam5Ag09asX16RyU+4Y7gQe/IeOohckrNPiLFvh5yfE7DfGt0IH
+rlwmkp/i9iNBvkp6111TptgKyoEn0TnV5RUt/BzxriGjukmMl8lxuCeB2lbFuyPxngyXI+A2ZzW
47YNCRcHnaCfq8o6dwO+UJ8tobk/FWlIJXMZ2le9HEPeFr6TB0urBCcm+GkskrSfmbbTbGOIQd6O
cjZ3FffFZ7ea66uEu87KC2cXB5NbfBTo9VvPit2NEfgewW5HvVyYuMTireTo9sSGm7Zq7/A3mQFr
eQrpVo/Gq+xLkhM9PpnU7FP8ADgrVpx8u+Cl7TOKPQNfcxCfxczUTOcxqZQ4WsL/wexK+7a7HFwN
j+yx6EL3bWjdJV8PRPnVTdyQ+jPsQlo5y7sM1AmZakmrRhdR7JJUSQhYkbBsFzqxdEomhmKJT/eO
g8QQyB5dyIEQUm1Db0RjC9OIEYQhOiRbVQNf/8E/vfxjCSl75pTu42Dqhgt6Mq34GWq/CzJsNeFu
eEyov56s4pfcDcmHegtWWaIbLtDXBNU10QTaw6bgdnkZGlJLQfZLhEvM5wIttq2Fs1wtFXMqaIZl
EBMRDV7Cpa0mA7hHkhOcx3U/Q3fFK7iaKvAEdgISaZ27My/o4qEC2kX2QhYzgWEjXPihCqNXsqWS
g3e3GmOwBGpBMiTxiA7sTeCyNiEGdXcTMkm2z/G4hJR7GZvJUbYjygdTVvn1AqDFWMK//44lbTrk
zzLPkc/wfowIMNBYeDw3XDY72l9ePCzqRXKyUU3WQi3HqXlh811i1Fovg9wZlwjc18FYuwajFRBh
tnkXZqN/fXlEPxiIEcDtdY5kyrg2OwrRqJZHA31RokCmdFwPKcVV9oheIyz3zcQjS0zyQn01Rfva
gY+hYNiDoAjJ3nPvLyHvwunwQhPlEf029gdC8p29oCASp+RlAfYGWowR9IO7OCtfLs8yLOchOZST
m9Vr6lp4sl7rc5VRMmWdI1FyKCqLHltv7y/boqIau/lRqgV23ZTLR0peZXlPclSfs5yixRZHrn+C
K9afo2kJO/wgEhgLCrxoLlhROuH2gSpZoS6sa7cyrWm35LK+z/NCKch9Y7mmLOYiK/iDYbVvhhFK
ZWBVmmbCttCkDwqpmO7ZM9ZbXz0wNdN3IxL9q8OV5tBfOYCtLdOaDXPkMpSUIaW3rcdxx7ONjlZk
mxTHUNUJ+APRB4s3K77KIyClfJh+ykghsABeT5KUvujbV+kOfUzZpK2xCEbOPldhtZuh3K3NMVli
k7L/khsOddwlN52XMir1Y+jjhA5swYVtCyV4MbwB177pGry6qgDhNjceKTvJvtnZeFG9KLhZMs4H
zWzzoBhjf+naHEHdqhvkUvibjFls0O/HJMnp40CTY2ui0/hFBAEryNBxjAjsSt0qy3O3mKhtDqDS
USsgp/QxVsJtj3AYcT2XYZqu6SxM7hc06UM5AhniaMHOaRUUqf0MczvYMZCYvrlB5ZxiIbNDPobW
V+Z880uY0ESzw4ieX3fCz745mNSeBs+bADSh0U05Q7UmM54RacULFJZ+U8M/avAjwlTAEknEFi7H
taVrxX/T9c4Mq2lbA2n6RjC74BuA2/wq9BQ71DEPJsrn59h5xTzb482nPGGNkcE6DrMobipEkI1H
vgddXkuE3Syeg2sv6c7CpxId607qbucQbN9Kg7c/EYoPz6UyHshr23pLhMgR6yIcewv4Mav5/ew6
6ZGW870cfb2biSVv+q5ob9RQgxQzhviuHgWryRTgWDPa4cGq649Oohh/yqifKaQcMue6LWrTfo5b
p3nhhC4eS+Xepd7YkTpku6iSHhAfyvJjTRMzQ2HQOrcdvTQHWp3bLdFj8yOzA33lxuHTnNj+h4Fx
xb7Bxiv2nqqbiO9Hy6FvFJzmC0cddBvBbGntu75PGtyTbeptSzM1r4FR4XyPO2ne92nTbLUdmNsy
F9YKbJTQHJ8kcWSUhdrcMMdUn+JWV+Xacgcv35nQ5qvD1IFpXhuWW8LK6Zp1qE35BPgmfM3syOy5
FTrm7ZC7A/AFoz3SJ8BVDVTkk+b2foX1fjhL2/ykRNjdtP08yRWCWOuTUYjlNcMiynTdyH6cInro
JrDd94Xly++cx8WnCWh296alWY73GY2chBTFXBwTONXrthMfKcmI72HkxpvCL0BgMKy7HqUFD4s2
z5Gc7GngaHYrhPS3ve0kE4Hi6lspFfT3Ocu3sTfZ90SXx9cw8+NNgiB9F7WRd6sHhUm0qNOqW5lE
s86BERc3EDDsepMyZr/nzO9tAndQTAVKhhKur09tX9WfskG6a69pn2OmvqfCFC+SW+KW4C9+n9x8
tezkmKu8vzYmz/2oVOJUfOfo4LDi3trGRppe9Ymb3DphM9wMgTigjUuiZTaAYRP7BZPrlhmCSqXL
K6SR3U4h6G+S1h4o35sMkDxcKtArrysVNgdIuB/inLFJwjh1JezGhcctC3xLZbnhcMl1YLcupnc/
4k4R0XWSuJ2/orfdtXYRpiH4AHbr3IeJ68PDEPKxwanAjb4eG14PNeDFrAlrS+y7gikmlNln3+ys
q5p8BX5nTca5njxEmqp6BFs71kDm8nJn11a20VD9+21rLidx6XvdaurT9K7S0BAL3DhPJrjNq6l3
FpmNHxzJWtywAo2QCfBLb2QV3TvSHPeYlDBLSdttr6iC7gj0U1K+nupebYemBvOWqgY6H2f3+yzz
zY2I/SMqD37uIpmewQnFPjS+4SUd0o9IM/GalBJpE3wXyfPYRgylei254/bOyW8rfdBmgj8qSsMd
MBk+BzQaBWSkMmldDoPBh1VQpGjDfiWLdas9gr4kCJurMqVFpguqct8qvMttxAsfsfw/xnkT7PDY
xfmW26E6hGCsNthvycnQPWFybCU76NegQPPU3cxM2q8adyJKYabTcKWXlnTSlhSm8zP6JrjUqAes
N1/zjm718NKyfilcT5fu9TYIILkIxv7lsrVql472cmlrny/F7eXS4Z4tbe45I+01k/vhRrWWvYnB
ASzExHFTLE3wpPnGM3pp6zxzfytuZF06KTB0MHd3OcN0uDhe8zBUOvEfSoI7oA+MSKyg77EtAAr/
ubBsM9lFWLH5ApnsBQvfKmBq6UfQqPq6Lvp+S0VMpNd5H8b3PduAG7TllpV3chLwoSPJnNnJ2WO5
0WsyWM3DzPiclswk3XXFMF17veeduzrtSM12nbEZGm84OU0przSp3z1jLX1nebJ/SlV16hgOtuGs
N3RXdtQ2N/0XBEVzT0mdOFmjF9PVEr6wUVO7oGf6FQj3Ph8n5mbeSMvDDu05KU+k0JS1y6IZx7Jy
wR7h2ambfFXZ/vwwOGb7WRcV8GSWvJKuAjg41CvBia6deL4uBmFUX6ZR93dGNM23RjqLbJu0mTd8
DmX71A5TXQQIXQPWnn1lsLgx9PL3XeoED41VfmhhwKRXddkF8bVTm284V9obTYEwhcdcC0ci5igq
cz4ViNZ5Gjzg9wJBkgEjiYRaiaKO7xq8RLsFpoitY+216sO8UExcR4RJcJfYbXfH3e8ofxBPfjrJ
/83ggtHNzz65S9Fj6ETE/HzXcsmu/flgnERqmOxkIYMLARTc4STqZan9NE+w1SJh/VM+3ns/x4lM
go/hYswLTJetwrtJCfXuOEXNvjnUWKuvZcrWvWdhfisMXJkbuxm+pKXpuudkDAfnKAQ8A0RREiYV
law5dohLNNjvaopXLkN/yGZAjgSm7pcxBUI0Fg0bQBdfK9u2yme+m2CF5EDvyvnR9hcAXaehIWSY
hF5lS71E441KPvYMxfrdLC2AI+vaJ4b5aeY8UUBD0hzskhhYWOYknEXwvVhPVeBQTlRO/Vcumfp7
SJ/0o4OJf5G/ev78pVXShOikwdBqistZO00OWJYR39N0MfSwWDk47MME3tzEHxQoiS24IJFa+Bx6
K4RytpyFLySlX3/oi9rxkzmSDx22oItSE3outI/3IeWCHTKBLTwD3rScl+GyLCZgCybc8dcP9H4s
dnmgxRjEdAoawvurKxSc4Dow94dLbQniBFYlWXd8Pnz3FubUwjdMiMz7DGcoe/q3jw6qkd5LesqI
tFL48+druzUmKzAn4m0ib+0nX6lwg5NpYv9YikNDStVf+TLgEPCj8eHXD24tDtM/v8morozVItta
/LbvX7vCBhE3sSCrSPUu/gKVwJkLig6CXd5zbHatBU82LmVBNNSzRzVFPXDwq5OgPCSutp4uT+h/
c/F/mos71Cz/9Nn9Rd5cMOuHN9h6aSa+/WlA/uMn/9A4zd98FHnWSSZ6rGq/65sBYYEFI/pHVuDn
4bj3m2OSzEaNw8DoXkbqvw/HXfs3psVEC5ZzrYdV+V8hQ99/n8Mg4BdxmYdIm9SGvlvEXYxRSRcy
hClqL107M810tp+8/PSm/M2d4v3CfXmQCKe955GJwJb852+TbEajpTIG9nVBhk0H/bxJgzFYw8OW
218/1GJu/vmrszwU/E1qMVmeTO99gWxTgUjKE1DjmCQpsS6pYLNtB4EVnXBVossdKksYez17Lr3c
U/MPD/+XtxP9Gh2bgnQ8D39TmlvOnISZ6hL8UU92FXwI2fr++hW+v+1CksUqwKGZomWfFMa7TAMj
7GkA/NctLNAn7TkvzJ+b9cBSsjLn7tuvH8wJ36UNWOnxCFPm6gJ/CVn+37nhiUJzWoJPfnCV052o
rbDadRMRUC+8uDqVo/uM1kHQjrImCSbbaYhOsbElcV4B+ROUWMRg+xAKo1Wah8VxUJRaACYnwwvl
ueQA3PdRXiN7WC2c2DRi2xzZRzuvnM92rvbJ2MvvtbvM8IQ07Zepj1pY0hHEZuaXzjnthmjjpIWz
GViwXyg8F9eZnyjacOyAnKBLV9CTD4DqQzYFDU5J4dzHSePderIuHnzwSiykAlJ0IpMzhTYWQO4o
ZnA2dCvP5DQwYvU+4mu+GbCxQTKovrtB+UD2/Ys/h/dSwF/lfFCdOBl9SggU8hBsyQ2P31kxitwU
7dztwYNla8FAzutz9U2kUXcM8vS2nXxjk0X4p127GraqUf5Za6dYR4Yfn+zEecEJHp9yZrL0NAY4
Vsfxm+Mb0ZOuOXRMVp6f56hLnqRP79kQYu2LxgRkQYIEquLxMGdlvM1Nnd5AAVjDOIJOHk7qyktM
LNRKGJJqAzUl0VES8oeYQuXIUxdAgElDj+NqmKExM9A3r+rWiq0dXgHhP7t1YHxIi5H+usbi94Ra
20+NVYxXtLgPB9Px/o+9c2tOG8ni+FdJzTuU7petmq1awAbHdhxnchnnRUVsRgjdACFAfPr9tSRi
JNu5dR5UW9tPU4NzkJruc/2f/wEBQRxP/9zKnF968Wp9nUaKeQZcjB79ncsRiVeLtysKKyRTE/UM
bgaN+b2R8hEOI2dE3LIf9sAx5nd5QIDqD5VCveodbP99MF8dzqASVAcebJij+QqoP6yfAAoOvbV3
Rfvv+hYKifXbeJ1deYzlu1sdHOCvuR5OVr25eg0czprECWdhdaBbEfjxfsygibt5uDaLASV//5w8
3n5iQHF4q1j+YtyDJv2aYaPp2xyKMS3Li2vSu0syW8tIOV/vYD1OLfqLgFnA8gPWIBivXSO/DLxd
SPcTaYrAzs49jwrMwNvYpDlV//MiD2kstsxPxK2vjdhbjZjrd7sswg/MQvMHvS1zs4w42V5CC0FA
MIeHZZv7u9uet1PHmh4oE1VZRpMi3hgXJINXl0UK+Hig+GZ6Q9OEw7BBclEOM1F95Ra4QjHNeqnC
jLdeckU7aw/PwdLG+h5iOCuinA3NJtWHEP50yv4rvo3Gdjpd3F5PH6aQapx7EBLS9O54dzC4J7i2
vjv2PW93uV8sFkNSubuhBS3XONsqgAjDuDfQDIXQycv3w9gM3YFOAeX1QZurV3tKfefewqJ7KU0X
wzgMkpFlz6e6p39y1UNx5tMn9i7YF8pE2+qfbX5XGJX8v2AOo/hss9N6AJWdkTK90gvXhMK9zcjb
bWmrdVTgEYfFdS9bLW8XKy8inXl4CHyH+vCcsbrE6P72gjYHJr/2lNt9wZiGfepPFgyIGqTucjc+
hIgF6bP6sFZ7dox62vVG5K9SgJCpPs22Eeij+ZIc1f58tfT19yZj3EjxhesEXPM2e5v3lvoUve1c
QCmkjwEBRUMmw2pntL3xC5nG8vDGi0Kq+7q3LD6kqhNdoZAOF+oe2oGlZt6tU8BBmuv0BjuHvlSg
atooU+ZEA8l4jgEYxFuAAUB2qHREsZq8yWLnItpqHwRT8oABZsnQd9avjbVDvwmI25EX9pxr3wtn
3h7+0cMqO7NzCLdzxVh+WeT69mZpZLE7gNmM+QGbwroJisX+iubE6MKKNQZTMcoUrvzD7u+Ushcz
4QRQVHEXkO1FFhcImoT94h9aQqJP6m6lvPeoo93qh4U10iMgXipZCqaQmRGkcdF8c8ZQlYx7Yu0f
YqZX3jByEkqvLBmGwBw+mnMzmRRukEZDSjw52c29QYkJ7RE5jHvODzaDEvRgByRsedgS+ju9CcNj
QAXRw055198MBDPZiFktiwtn4djvoemg9dcMaGLXjGJob4tgQjOEdqZa7nySB0w0TPe5OTE3pnlj
BWo4mfd8/7NjnsV+UIyjYs72b+f7D8D0oPakf/CcTYre6w4t06ZCche8Waj9RS7uzKK69WlThMbn
/daav6Fqd/iUJfqIQRg7eBaX6/WbXF1uzkP6ys7JSy8mRgjLQGRxyDCe/5BHAQJLafXcgt72Avu4
u9jSfE5KBESIdblR40KL6J7M8sqv+L+T/x0nnwTGN7GvdA9t1sH95lX6zyvSP3n8JZieuvrVvz96
+hYzlRjDjD9NZ6bw1B69fbtPkQDXUMHfbkJhdSYnUdoCnCcok+Bowud7hMI6RKBQKjmWiBX46CfQ
DCWY9NQ9BqRriiwKSRQBkhBvfgr3BCbGfKNir0zCfTqM/X8iv3ezL7yLhWhd2iWTOFBeZ3Dsul7+
txoymFL/nvvqPg3scctFY6XOO2sgc5uPkJqWtXQcX4E2qVDeeMbfBTW/DFqGJGYqmrYcKJtVPnKX
fjIwIu96yZSlMSxDydlOuzO2GgNDRskSzLhCGw0ElecbEq9LmxaIuZiqbW4H6nIhqAgFye29saeR
P4WCJZkz/OTzItPOxH8WhsFYouJDdkjHQQwkq3dWmJALpKDrMHzWFTT8CahPBWTiAKJvXR8pIS11
evKxcEJg6SqcPhjXmAnQQKUvfbxa5rwdbg1q+wMHQqHA6V2b5sIBt6pnZ1l4RSXxliJnDlrEH2g9
d3NruXeqzuQhn8ktGU8QL7jlFmwdlg3LpUu6mLEtaTRiUuGQ7pZ3+54HLw980jSEnTHX8XMOsHgc
RPlbP7MvF2ry5eAzJXIRDlfWLhpbMMEMdhv4eaGPvo/3hsJYLIqqhbK7Twx/5Ft5dkXW3WRI23K4
tDK+jGFIoX7jxwt/WMYR/zPKpX4REeCDlA3gYshn6+LdDN7oTXa8cOLTtylTxN6nv/ZH3xb0anYC
ubpP82QjnoA5mcmputEMYs4GUr98pPJ5vyUhmvJa+cPszz90tw8fJFynpFHLBeIpYqBG/XHPdaE3
AK6vC5UkVvWFJ1v00iZ8+/2q3fz23zTeYPoQ4/jV6rexBxpJhB/bhZaMx10w1L5J4Rlkl1XtAkmJ
1i4wQcUWirf6HE3OtndoF3QyQ9VD3e//5c/Sr8fz6Vl4cRd0tW+AlTMcVUDpWIT3rV3QASW5lIiq
s4C27tYuCDYC6V1w+7rIaptk7crFW57ugqpafYvclWOTIqt3qVu7ANkIv9yPqIWXjwLXXnFsS4NS
slrNTQCoSY2HFhGVvLhYnbsQgNQUbrHcLmh9m3SXDfKnXs1dcFxOAgUYQwMuJRauWreOAlpBbTu0
L5iIl8+CGA2K/teOaqFlIuj4clx4cchyVrvUuV0g3elImwg4U2mPArvFVC+xWrsA6rhvMdldo6DX
uVNg0FMnexdQi1B0oBLAPYvVMpH8+gC0a4x1126BrojYS04XmAxnw+6Jwshz7+9YfUFiQodirQsq
FdwhF0GlnVDaLjh9Wiax/3btLrZdBJo1Ic+mXlqrzKpi1qVdUAxZhWjBE2YYhk2La6XwuPAND8HU
+lRkHNi7K63Tpdentle5bb/uJxpKn85ZERXUMQFvefr+mEXK9BatjEe72TWFCDxJ+cHI6WWzSOkV
4jPKYM97y47e55DomItaYWAwuuUcwBn2pGHnZ50DIiemS8KoVvuBIsNzehZsIivSWBDn1Wehe7ug
Q3cuaRwMm9/a0vGByGOVq7kLnBD8ZTJ3oIeOn3frLNhMCZbchDJx6dAWRYm4XC3boCpmH5oPkUzo
2k0AJyCtFDnoEB5A+Fj7R623B99h62VLW/dCJWKY6ieRsgkOszuO+ZEnuQPb7ju6Q8Lbfoyqu3UD
4L14Mo3hZ7Whzgl3dFRBfQaeZFBssm2OziwYWuvK1bWbQNgs6gRyrjJOoEXjIoyoz7rKrtaHihDA
0lEbdu5GMHRJtH5K7YLBDGgH4CKeUvVTtyyjCt2sRR8r7LCde39KMqK1Vfb9yRq7lHfqG//US7RJ
JoJe4j6I1TmrAFBXOl4yyI2gFCmyPXsIxFUANW3S0lxtQueOgqaYhvRV0PqExbjCdv1Tt20jTiSl
SLiSOxcuYs01WX2IJgAoDURdsBo1nGNCCMF2ZIGcL1fnfn1Qqo5suKxj9DQGPFhMWSlXSxE6NP2D
1ATbWp+O7u0CKI429PdnXQOQuoqNY2Abz+cPXR3XgAyySn6iXN3LovIDyV4FHR51uAwZqVgX2lo3
QlWsvoqHRJqtUr1dSp3oJPsljaJKkpj3A/aBpFNVgAkQt0SETtXv37nXJ/3vyr4+mtDBCgga75dU
ASZC8E50tZSgupojaw51pQ//FHed/GC1mmfBVXEaIKmjF6D6uHLFunQVXPlis9En3uIdIQssFwq2
cSFEPUFkjQQbnViduxCCUv03WAVeHh/gBf8Q0AFtIaLpg3kB5SoVUJeOwtFx//XcgU5qhJ8aep7W
GaCmQssVkAOl9hw6l05/jizzpz0DcoOofyqLj6mR05vgsD1ilCLzGsuL0L1ASaPKLOsZGKJ+BhJS
P6aQWjECky5VZnEoqIyuXQFRZJdOH4pBnhYYnmNmqHUVRAYZdAs7VKfsu6QCKHXJBgkGPW5M2AB1
81g4PL0ElttnvgmcsRCAlatzNhEQrRiCI5czAWqhOwBrsC3VahlFDXZdKFqJySvL06FTQLnPkH5/
6igqo/Rsp86Ptm9B+f4iJq1Ti51zCkhnVUZKwhzafdoGyaWrALTFamlC/HCCCBu84jGz2DWFSPXX
kbUHAFNFEGA4x8xYK1LEN8B35JjgHZSrc1kDqLbE1Cw5hUCpnWCYLOrzqXSbHDLwNE05RhLdU4tY
NVm1IMoqOh7QV0hmSy3YAA4cEJmWVWcVupc7YUaa7FkQ9VVSBBjIplGwLfxDlWDqCNGu4tMumQYw
krIOEm9PiIBl4E3L1ToDoBBpI4EhQalvSud2AfikdP5Mc/omJRPc5ErptW0DsQIHjemAosgoVud2
QacgJFtaEhllVaNByqrdhFZG2easEEYw67z+vHO7gCv/hEzip+NGGHEdfE73iDjgLU9dZgG9EXhN
zEd1FjoXOGEh5V1mDZcZriORJShXexdMAEo0uhE7VHrjJ2zDD6jQr/1Aw3kQPZSdQMEse65h6KU/
OPbAPP287n+5ePjzD9Ho0/hD0cdYffdjo9C/G1i1sjvl5MNjt0r5PfU/r1/w6Vc3vuv4Vsf/OQlm
6+n6fg6zo+iOqh/zzTSmn+g/0fTLNJ6eNuigj/lNHp/kzz8az3niIX1HcBa25IqoU1ouczzSpCm4
zG7KCw6nSTbNjo8ofsaqoiwr+ZuzbE/axn5lm2lqTdfTh8aAlwobJv3UaZLM7jfBfb453ZIKeiUr
fDSLprtpk3anaoORlvxjHb+S237OrgcPzVNYuQuyzz+epWu/2aRco19lJU/Y8SA4/S2ZMioqZLKC
Lx6m88YBrOE40nKjKEjSoHkjKzy0tOjkIZi2tEgVBEtLTnfNY1HVomXFXj7VTVV7gLRgBOT3YXE8
BqXaq1AEsqKv0jzInmxzVZCTlX09DZJZ45mrpKa8XIahTJOHU9E0jIlgUF50lk3v53k222waZ7qG
7EjLD+7ngT9tNhxXRWB50diCLN00TnZdRZCXnUEhmwXLZUM31f2Av0N6mq/bokX5Q1p0mmxaOqRu
XJOV/Gb2ZT1teU9UXkXbtLzo7bRpt+oeXHnB32HTk7S4gq3v9WydzRqaqs7Z/Y6Hv57tg/uGGUO4
SAD8DuF3UDIfJZXxQRVJSYtO15v5q+GUCWlB05oxjU6k8X7PF4ymYfvuV00YsuJfGk0oeVZuwgiP
pBnV1HBx6Sdez/w2p0NZR5IV/HaWJFkRbadJ0/nTKrC/rPh38/Rh9uoie2Lbqp4iWfF/pfkLB7Hu
aP49X/D0INa1XFnx79n9WZbNGi4FDDuiDVVe9r4ZVdbcD7JyP2ym8+PTCZ1CPVZ0DcuK/Thbx1i2
o6BScgWqlZbMuKOgdbzr9KKs6E/TbB4k/qZ5NesSp7TwWbZ59ewwrCpPLi0/yO5TKB8bnlsN6ZeW
XaTwsPiNX7PCQX1b8nOZpq8EKk/zT0d6mOf+WTO5Jv7iPppN1//+LwAAAP//</cx:binary>
              </cx:geoCache>
            </cx:geography>
          </cx:layoutPr>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svg"/><Relationship Id="rId18" Type="http://schemas.openxmlformats.org/officeDocument/2006/relationships/chart" Target="../charts/chart9.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image" Target="../media/image12.png"/><Relationship Id="rId17" Type="http://schemas.openxmlformats.org/officeDocument/2006/relationships/chart" Target="../charts/chart8.xml"/><Relationship Id="rId2" Type="http://schemas.openxmlformats.org/officeDocument/2006/relationships/image" Target="../media/image2.png"/><Relationship Id="rId16"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svg"/><Relationship Id="rId15" Type="http://schemas.microsoft.com/office/2014/relationships/chartEx" Target="../charts/chartEx2.xml"/><Relationship Id="rId10" Type="http://schemas.openxmlformats.org/officeDocument/2006/relationships/image" Target="../media/image10.png"/><Relationship Id="rId19" Type="http://schemas.openxmlformats.org/officeDocument/2006/relationships/chart" Target="../charts/chart10.xml"/><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9</xdr:col>
      <xdr:colOff>158750</xdr:colOff>
      <xdr:row>19</xdr:row>
      <xdr:rowOff>69850</xdr:rowOff>
    </xdr:from>
    <xdr:to>
      <xdr:col>14</xdr:col>
      <xdr:colOff>104775</xdr:colOff>
      <xdr:row>27</xdr:row>
      <xdr:rowOff>107950</xdr:rowOff>
    </xdr:to>
    <xdr:graphicFrame macro="">
      <xdr:nvGraphicFramePr>
        <xdr:cNvPr id="2" name="Chart 1">
          <a:extLst>
            <a:ext uri="{FF2B5EF4-FFF2-40B4-BE49-F238E27FC236}">
              <a16:creationId xmlns:a16="http://schemas.microsoft.com/office/drawing/2014/main" id="{E1853A59-C290-613D-F8E6-C506FBE6A5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463551</xdr:colOff>
      <xdr:row>55</xdr:row>
      <xdr:rowOff>158750</xdr:rowOff>
    </xdr:from>
    <xdr:to>
      <xdr:col>9</xdr:col>
      <xdr:colOff>536575</xdr:colOff>
      <xdr:row>67</xdr:row>
      <xdr:rowOff>152400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9AFB3B41-6A8E-16A4-238D-9E1FEEAC0A2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064251" y="10439400"/>
              <a:ext cx="3482974" cy="22034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215900</xdr:colOff>
      <xdr:row>3</xdr:row>
      <xdr:rowOff>171450</xdr:rowOff>
    </xdr:from>
    <xdr:to>
      <xdr:col>13</xdr:col>
      <xdr:colOff>520700</xdr:colOff>
      <xdr:row>13</xdr:row>
      <xdr:rowOff>6350</xdr:rowOff>
    </xdr:to>
    <xdr:graphicFrame macro="">
      <xdr:nvGraphicFramePr>
        <xdr:cNvPr id="4" name="Chart 3">
          <a:extLst>
            <a:ext uri="{FF2B5EF4-FFF2-40B4-BE49-F238E27FC236}">
              <a16:creationId xmlns:a16="http://schemas.microsoft.com/office/drawing/2014/main" id="{EA5DD57F-DE92-72E5-5482-B945EFF7E1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596900</xdr:colOff>
      <xdr:row>29</xdr:row>
      <xdr:rowOff>88900</xdr:rowOff>
    </xdr:from>
    <xdr:to>
      <xdr:col>14</xdr:col>
      <xdr:colOff>209550</xdr:colOff>
      <xdr:row>37</xdr:row>
      <xdr:rowOff>95250</xdr:rowOff>
    </xdr:to>
    <xdr:graphicFrame macro="">
      <xdr:nvGraphicFramePr>
        <xdr:cNvPr id="5" name="Chart 4">
          <a:extLst>
            <a:ext uri="{FF2B5EF4-FFF2-40B4-BE49-F238E27FC236}">
              <a16:creationId xmlns:a16="http://schemas.microsoft.com/office/drawing/2014/main" id="{338D2B0E-482B-36CB-344E-EC23951737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546100</xdr:colOff>
      <xdr:row>38</xdr:row>
      <xdr:rowOff>12700</xdr:rowOff>
    </xdr:from>
    <xdr:to>
      <xdr:col>14</xdr:col>
      <xdr:colOff>92075</xdr:colOff>
      <xdr:row>48</xdr:row>
      <xdr:rowOff>158750</xdr:rowOff>
    </xdr:to>
    <xdr:graphicFrame macro="">
      <xdr:nvGraphicFramePr>
        <xdr:cNvPr id="6" name="Chart 5">
          <a:extLst>
            <a:ext uri="{FF2B5EF4-FFF2-40B4-BE49-F238E27FC236}">
              <a16:creationId xmlns:a16="http://schemas.microsoft.com/office/drawing/2014/main" id="{9EADEC94-DAE3-1794-7BDB-1FD98441BC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412750</xdr:colOff>
      <xdr:row>42</xdr:row>
      <xdr:rowOff>50800</xdr:rowOff>
    </xdr:from>
    <xdr:to>
      <xdr:col>9</xdr:col>
      <xdr:colOff>346074</xdr:colOff>
      <xdr:row>52</xdr:row>
      <xdr:rowOff>44450</xdr:rowOff>
    </xdr:to>
    <xdr:graphicFrame macro="">
      <xdr:nvGraphicFramePr>
        <xdr:cNvPr id="7" name="Chart 6">
          <a:extLst>
            <a:ext uri="{FF2B5EF4-FFF2-40B4-BE49-F238E27FC236}">
              <a16:creationId xmlns:a16="http://schemas.microsoft.com/office/drawing/2014/main" id="{62BB0D7A-5819-E5DF-B926-EB661E1EB9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311150</xdr:colOff>
      <xdr:row>34</xdr:row>
      <xdr:rowOff>158750</xdr:rowOff>
    </xdr:from>
    <xdr:to>
      <xdr:col>2</xdr:col>
      <xdr:colOff>1270000</xdr:colOff>
      <xdr:row>41</xdr:row>
      <xdr:rowOff>63500</xdr:rowOff>
    </xdr:to>
    <mc:AlternateContent xmlns:mc="http://schemas.openxmlformats.org/markup-compatibility/2006">
      <mc:Choice xmlns:a14="http://schemas.microsoft.com/office/drawing/2010/main" Requires="a14">
        <xdr:graphicFrame macro="">
          <xdr:nvGraphicFramePr>
            <xdr:cNvPr id="8" name="Years (Order Date)">
              <a:extLst>
                <a:ext uri="{FF2B5EF4-FFF2-40B4-BE49-F238E27FC236}">
                  <a16:creationId xmlns:a16="http://schemas.microsoft.com/office/drawing/2014/main" id="{30D6B055-117A-4161-EE32-572ED3B8F137}"/>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920750" y="6572250"/>
              <a:ext cx="1828800" cy="1193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292100</xdr:colOff>
      <xdr:row>42</xdr:row>
      <xdr:rowOff>95250</xdr:rowOff>
    </xdr:from>
    <xdr:to>
      <xdr:col>2</xdr:col>
      <xdr:colOff>1250950</xdr:colOff>
      <xdr:row>50</xdr:row>
      <xdr:rowOff>95250</xdr:rowOff>
    </xdr:to>
    <mc:AlternateContent xmlns:mc="http://schemas.openxmlformats.org/markup-compatibility/2006">
      <mc:Choice xmlns:a14="http://schemas.microsoft.com/office/drawing/2010/main" Requires="a14">
        <xdr:graphicFrame macro="">
          <xdr:nvGraphicFramePr>
            <xdr:cNvPr id="9" name="Quarters (Order Date)">
              <a:extLst>
                <a:ext uri="{FF2B5EF4-FFF2-40B4-BE49-F238E27FC236}">
                  <a16:creationId xmlns:a16="http://schemas.microsoft.com/office/drawing/2014/main" id="{40237641-E171-1ED8-9AD2-4369A4B3D397}"/>
                </a:ext>
              </a:extLst>
            </xdr:cNvPr>
            <xdr:cNvGraphicFramePr/>
          </xdr:nvGraphicFramePr>
          <xdr:xfrm>
            <a:off x="0" y="0"/>
            <a:ext cx="0" cy="0"/>
          </xdr:xfrm>
          <a:graphic>
            <a:graphicData uri="http://schemas.microsoft.com/office/drawing/2010/slicer">
              <sle:slicer xmlns:sle="http://schemas.microsoft.com/office/drawing/2010/slicer" name="Quarters (Order Date)"/>
            </a:graphicData>
          </a:graphic>
        </xdr:graphicFrame>
      </mc:Choice>
      <mc:Fallback>
        <xdr:sp macro="" textlink="">
          <xdr:nvSpPr>
            <xdr:cNvPr id="0" name=""/>
            <xdr:cNvSpPr>
              <a:spLocks noTextEdit="1"/>
            </xdr:cNvSpPr>
          </xdr:nvSpPr>
          <xdr:spPr>
            <a:xfrm>
              <a:off x="901700" y="7981950"/>
              <a:ext cx="1828800" cy="1473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292100</xdr:colOff>
      <xdr:row>51</xdr:row>
      <xdr:rowOff>88900</xdr:rowOff>
    </xdr:from>
    <xdr:to>
      <xdr:col>2</xdr:col>
      <xdr:colOff>1250950</xdr:colOff>
      <xdr:row>60</xdr:row>
      <xdr:rowOff>127000</xdr:rowOff>
    </xdr:to>
    <mc:AlternateContent xmlns:mc="http://schemas.openxmlformats.org/markup-compatibility/2006">
      <mc:Choice xmlns:a14="http://schemas.microsoft.com/office/drawing/2010/main" Requires="a14">
        <xdr:graphicFrame macro="">
          <xdr:nvGraphicFramePr>
            <xdr:cNvPr id="10" name="Months (Order Date)">
              <a:extLst>
                <a:ext uri="{FF2B5EF4-FFF2-40B4-BE49-F238E27FC236}">
                  <a16:creationId xmlns:a16="http://schemas.microsoft.com/office/drawing/2014/main" id="{7BD0A147-A5AD-8EE0-92C2-158F977D985F}"/>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dr:sp macro="" textlink="">
          <xdr:nvSpPr>
            <xdr:cNvPr id="0" name=""/>
            <xdr:cNvSpPr>
              <a:spLocks noTextEdit="1"/>
            </xdr:cNvSpPr>
          </xdr:nvSpPr>
          <xdr:spPr>
            <a:xfrm>
              <a:off x="901700" y="9632950"/>
              <a:ext cx="1828800" cy="1695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220132</xdr:colOff>
      <xdr:row>0</xdr:row>
      <xdr:rowOff>118533</xdr:rowOff>
    </xdr:from>
    <xdr:to>
      <xdr:col>21</xdr:col>
      <xdr:colOff>268132</xdr:colOff>
      <xdr:row>33</xdr:row>
      <xdr:rowOff>91733</xdr:rowOff>
    </xdr:to>
    <xdr:sp macro="" textlink="">
      <xdr:nvSpPr>
        <xdr:cNvPr id="3" name="Rectangle: Rounded Corners 2">
          <a:extLst>
            <a:ext uri="{FF2B5EF4-FFF2-40B4-BE49-F238E27FC236}">
              <a16:creationId xmlns:a16="http://schemas.microsoft.com/office/drawing/2014/main" id="{566F9B02-1859-2E6F-64D8-A91CDD6DFE7E}"/>
            </a:ext>
          </a:extLst>
        </xdr:cNvPr>
        <xdr:cNvSpPr/>
      </xdr:nvSpPr>
      <xdr:spPr>
        <a:xfrm>
          <a:off x="829732" y="118533"/>
          <a:ext cx="12240000" cy="6120000"/>
        </a:xfrm>
        <a:prstGeom prst="roundRect">
          <a:avLst>
            <a:gd name="adj" fmla="val 1393"/>
          </a:avLst>
        </a:prstGeom>
        <a:solidFill>
          <a:schemeClr val="bg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296332</xdr:colOff>
      <xdr:row>1</xdr:row>
      <xdr:rowOff>25400</xdr:rowOff>
    </xdr:from>
    <xdr:to>
      <xdr:col>3</xdr:col>
      <xdr:colOff>330199</xdr:colOff>
      <xdr:row>5</xdr:row>
      <xdr:rowOff>16934</xdr:rowOff>
    </xdr:to>
    <xdr:sp macro="" textlink="">
      <xdr:nvSpPr>
        <xdr:cNvPr id="4" name="Rectangle: Rounded Corners 3">
          <a:extLst>
            <a:ext uri="{FF2B5EF4-FFF2-40B4-BE49-F238E27FC236}">
              <a16:creationId xmlns:a16="http://schemas.microsoft.com/office/drawing/2014/main" id="{015CF63E-1A8B-C730-5613-7C066F2A64E3}"/>
            </a:ext>
          </a:extLst>
        </xdr:cNvPr>
        <xdr:cNvSpPr/>
      </xdr:nvSpPr>
      <xdr:spPr>
        <a:xfrm>
          <a:off x="905932" y="211667"/>
          <a:ext cx="1253067" cy="736600"/>
        </a:xfrm>
        <a:prstGeom prst="roundRect">
          <a:avLst>
            <a:gd name="adj" fmla="val 7292"/>
          </a:avLst>
        </a:prstGeom>
        <a:gradFill>
          <a:gsLst>
            <a:gs pos="0">
              <a:srgbClr val="084F6A"/>
            </a:gs>
            <a:gs pos="100000">
              <a:schemeClr val="accent1"/>
            </a:gs>
          </a:gsLst>
          <a:lin ang="54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448733</xdr:colOff>
      <xdr:row>1</xdr:row>
      <xdr:rowOff>25400</xdr:rowOff>
    </xdr:from>
    <xdr:to>
      <xdr:col>21</xdr:col>
      <xdr:colOff>186267</xdr:colOff>
      <xdr:row>5</xdr:row>
      <xdr:rowOff>33867</xdr:rowOff>
    </xdr:to>
    <xdr:sp macro="" textlink="">
      <xdr:nvSpPr>
        <xdr:cNvPr id="5" name="Rectangle: Rounded Corners 4">
          <a:extLst>
            <a:ext uri="{FF2B5EF4-FFF2-40B4-BE49-F238E27FC236}">
              <a16:creationId xmlns:a16="http://schemas.microsoft.com/office/drawing/2014/main" id="{78217725-861C-4623-8BC6-2C364676A702}"/>
            </a:ext>
          </a:extLst>
        </xdr:cNvPr>
        <xdr:cNvSpPr/>
      </xdr:nvSpPr>
      <xdr:spPr>
        <a:xfrm>
          <a:off x="2277533" y="211667"/>
          <a:ext cx="10710334" cy="753533"/>
        </a:xfrm>
        <a:prstGeom prst="roundRect">
          <a:avLst>
            <a:gd name="adj" fmla="val 7292"/>
          </a:avLst>
        </a:prstGeom>
        <a:gradFill>
          <a:gsLst>
            <a:gs pos="0">
              <a:srgbClr val="084F6A"/>
            </a:gs>
            <a:gs pos="100000">
              <a:schemeClr val="accent1"/>
            </a:gs>
          </a:gsLst>
          <a:lin ang="54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296333</xdr:colOff>
      <xdr:row>5</xdr:row>
      <xdr:rowOff>84667</xdr:rowOff>
    </xdr:from>
    <xdr:to>
      <xdr:col>3</xdr:col>
      <xdr:colOff>414867</xdr:colOff>
      <xdr:row>33</xdr:row>
      <xdr:rowOff>50800</xdr:rowOff>
    </xdr:to>
    <xdr:sp macro="" textlink="">
      <xdr:nvSpPr>
        <xdr:cNvPr id="6" name="Rectangle: Rounded Corners 5">
          <a:extLst>
            <a:ext uri="{FF2B5EF4-FFF2-40B4-BE49-F238E27FC236}">
              <a16:creationId xmlns:a16="http://schemas.microsoft.com/office/drawing/2014/main" id="{F0CE5FF1-406A-4009-930E-4E45E781A4C5}"/>
            </a:ext>
          </a:extLst>
        </xdr:cNvPr>
        <xdr:cNvSpPr/>
      </xdr:nvSpPr>
      <xdr:spPr>
        <a:xfrm>
          <a:off x="905933" y="1016000"/>
          <a:ext cx="1337734" cy="5181600"/>
        </a:xfrm>
        <a:prstGeom prst="roundRect">
          <a:avLst>
            <a:gd name="adj" fmla="val 7292"/>
          </a:avLst>
        </a:prstGeom>
        <a:gradFill>
          <a:gsLst>
            <a:gs pos="0">
              <a:srgbClr val="084F6A"/>
            </a:gs>
            <a:gs pos="100000">
              <a:schemeClr val="accent1"/>
            </a:gs>
          </a:gsLst>
          <a:lin ang="54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507999</xdr:colOff>
      <xdr:row>5</xdr:row>
      <xdr:rowOff>97366</xdr:rowOff>
    </xdr:from>
    <xdr:to>
      <xdr:col>6</xdr:col>
      <xdr:colOff>313267</xdr:colOff>
      <xdr:row>10</xdr:row>
      <xdr:rowOff>55032</xdr:rowOff>
    </xdr:to>
    <xdr:sp macro="" textlink="">
      <xdr:nvSpPr>
        <xdr:cNvPr id="7" name="Rectangle: Rounded Corners 6">
          <a:extLst>
            <a:ext uri="{FF2B5EF4-FFF2-40B4-BE49-F238E27FC236}">
              <a16:creationId xmlns:a16="http://schemas.microsoft.com/office/drawing/2014/main" id="{8E78AB07-14F9-43C0-B4A9-2E4C804199AF}"/>
            </a:ext>
          </a:extLst>
        </xdr:cNvPr>
        <xdr:cNvSpPr/>
      </xdr:nvSpPr>
      <xdr:spPr>
        <a:xfrm>
          <a:off x="2336799" y="1028699"/>
          <a:ext cx="1634068" cy="889000"/>
        </a:xfrm>
        <a:prstGeom prst="roundRect">
          <a:avLst>
            <a:gd name="adj" fmla="val 7292"/>
          </a:avLst>
        </a:prstGeom>
        <a:gradFill>
          <a:gsLst>
            <a:gs pos="0">
              <a:schemeClr val="accent1">
                <a:lumMod val="20000"/>
                <a:lumOff val="80000"/>
              </a:schemeClr>
            </a:gs>
            <a:gs pos="100000">
              <a:schemeClr val="accent1">
                <a:lumMod val="60000"/>
                <a:lumOff val="40000"/>
              </a:schemeClr>
            </a:gs>
          </a:gsLst>
          <a:lin ang="54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479212</xdr:colOff>
      <xdr:row>5</xdr:row>
      <xdr:rowOff>97366</xdr:rowOff>
    </xdr:from>
    <xdr:to>
      <xdr:col>9</xdr:col>
      <xdr:colOff>284480</xdr:colOff>
      <xdr:row>10</xdr:row>
      <xdr:rowOff>55032</xdr:rowOff>
    </xdr:to>
    <xdr:sp macro="" textlink="">
      <xdr:nvSpPr>
        <xdr:cNvPr id="8" name="Rectangle: Rounded Corners 7">
          <a:extLst>
            <a:ext uri="{FF2B5EF4-FFF2-40B4-BE49-F238E27FC236}">
              <a16:creationId xmlns:a16="http://schemas.microsoft.com/office/drawing/2014/main" id="{EA11539D-D78F-4D41-A7B9-841BC40ABE6C}"/>
            </a:ext>
          </a:extLst>
        </xdr:cNvPr>
        <xdr:cNvSpPr/>
      </xdr:nvSpPr>
      <xdr:spPr>
        <a:xfrm>
          <a:off x="4136812" y="1028699"/>
          <a:ext cx="1634068" cy="889000"/>
        </a:xfrm>
        <a:prstGeom prst="roundRect">
          <a:avLst>
            <a:gd name="adj" fmla="val 7292"/>
          </a:avLst>
        </a:prstGeom>
        <a:gradFill>
          <a:gsLst>
            <a:gs pos="0">
              <a:schemeClr val="accent1">
                <a:lumMod val="20000"/>
                <a:lumOff val="80000"/>
              </a:schemeClr>
            </a:gs>
            <a:gs pos="100000">
              <a:schemeClr val="accent1">
                <a:lumMod val="60000"/>
                <a:lumOff val="40000"/>
              </a:schemeClr>
            </a:gs>
          </a:gsLst>
          <a:lin ang="54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450425</xdr:colOff>
      <xdr:row>5</xdr:row>
      <xdr:rowOff>97366</xdr:rowOff>
    </xdr:from>
    <xdr:to>
      <xdr:col>12</xdr:col>
      <xdr:colOff>255693</xdr:colOff>
      <xdr:row>10</xdr:row>
      <xdr:rowOff>55032</xdr:rowOff>
    </xdr:to>
    <xdr:sp macro="" textlink="">
      <xdr:nvSpPr>
        <xdr:cNvPr id="9" name="Rectangle: Rounded Corners 8">
          <a:extLst>
            <a:ext uri="{FF2B5EF4-FFF2-40B4-BE49-F238E27FC236}">
              <a16:creationId xmlns:a16="http://schemas.microsoft.com/office/drawing/2014/main" id="{00911A77-62E3-471C-8E11-81BE87D3F6AF}"/>
            </a:ext>
          </a:extLst>
        </xdr:cNvPr>
        <xdr:cNvSpPr/>
      </xdr:nvSpPr>
      <xdr:spPr>
        <a:xfrm>
          <a:off x="5936825" y="1028699"/>
          <a:ext cx="1634068" cy="889000"/>
        </a:xfrm>
        <a:prstGeom prst="roundRect">
          <a:avLst>
            <a:gd name="adj" fmla="val 7292"/>
          </a:avLst>
        </a:prstGeom>
        <a:gradFill>
          <a:gsLst>
            <a:gs pos="0">
              <a:schemeClr val="accent1">
                <a:lumMod val="20000"/>
                <a:lumOff val="80000"/>
              </a:schemeClr>
            </a:gs>
            <a:gs pos="100000">
              <a:schemeClr val="accent1">
                <a:lumMod val="60000"/>
                <a:lumOff val="40000"/>
              </a:schemeClr>
            </a:gs>
          </a:gsLst>
          <a:lin ang="54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421638</xdr:colOff>
      <xdr:row>5</xdr:row>
      <xdr:rowOff>97366</xdr:rowOff>
    </xdr:from>
    <xdr:to>
      <xdr:col>15</xdr:col>
      <xdr:colOff>226906</xdr:colOff>
      <xdr:row>10</xdr:row>
      <xdr:rowOff>55032</xdr:rowOff>
    </xdr:to>
    <xdr:sp macro="" textlink="">
      <xdr:nvSpPr>
        <xdr:cNvPr id="10" name="Rectangle: Rounded Corners 9">
          <a:extLst>
            <a:ext uri="{FF2B5EF4-FFF2-40B4-BE49-F238E27FC236}">
              <a16:creationId xmlns:a16="http://schemas.microsoft.com/office/drawing/2014/main" id="{4A7C4C2D-0E8A-4902-A2A8-7C4F898727B9}"/>
            </a:ext>
          </a:extLst>
        </xdr:cNvPr>
        <xdr:cNvSpPr/>
      </xdr:nvSpPr>
      <xdr:spPr>
        <a:xfrm>
          <a:off x="7736838" y="1028699"/>
          <a:ext cx="1634068" cy="889000"/>
        </a:xfrm>
        <a:prstGeom prst="roundRect">
          <a:avLst>
            <a:gd name="adj" fmla="val 7292"/>
          </a:avLst>
        </a:prstGeom>
        <a:gradFill>
          <a:gsLst>
            <a:gs pos="0">
              <a:schemeClr val="accent1">
                <a:lumMod val="20000"/>
                <a:lumOff val="80000"/>
              </a:schemeClr>
            </a:gs>
            <a:gs pos="100000">
              <a:schemeClr val="accent1">
                <a:lumMod val="60000"/>
                <a:lumOff val="40000"/>
              </a:schemeClr>
            </a:gs>
          </a:gsLst>
          <a:lin ang="54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392851</xdr:colOff>
      <xdr:row>5</xdr:row>
      <xdr:rowOff>97366</xdr:rowOff>
    </xdr:from>
    <xdr:to>
      <xdr:col>18</xdr:col>
      <xdr:colOff>198119</xdr:colOff>
      <xdr:row>10</xdr:row>
      <xdr:rowOff>55032</xdr:rowOff>
    </xdr:to>
    <xdr:sp macro="" textlink="">
      <xdr:nvSpPr>
        <xdr:cNvPr id="11" name="Rectangle: Rounded Corners 10">
          <a:extLst>
            <a:ext uri="{FF2B5EF4-FFF2-40B4-BE49-F238E27FC236}">
              <a16:creationId xmlns:a16="http://schemas.microsoft.com/office/drawing/2014/main" id="{FBD7C4E7-327F-43F2-B97C-38E67F2733F3}"/>
            </a:ext>
          </a:extLst>
        </xdr:cNvPr>
        <xdr:cNvSpPr/>
      </xdr:nvSpPr>
      <xdr:spPr>
        <a:xfrm>
          <a:off x="9536851" y="1028699"/>
          <a:ext cx="1634068" cy="889000"/>
        </a:xfrm>
        <a:prstGeom prst="roundRect">
          <a:avLst>
            <a:gd name="adj" fmla="val 7292"/>
          </a:avLst>
        </a:prstGeom>
        <a:gradFill>
          <a:gsLst>
            <a:gs pos="0">
              <a:schemeClr val="accent1">
                <a:lumMod val="20000"/>
                <a:lumOff val="80000"/>
              </a:schemeClr>
            </a:gs>
            <a:gs pos="100000">
              <a:schemeClr val="accent1">
                <a:lumMod val="60000"/>
                <a:lumOff val="40000"/>
              </a:schemeClr>
            </a:gs>
          </a:gsLst>
          <a:lin ang="54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364065</xdr:colOff>
      <xdr:row>5</xdr:row>
      <xdr:rowOff>97366</xdr:rowOff>
    </xdr:from>
    <xdr:to>
      <xdr:col>21</xdr:col>
      <xdr:colOff>169333</xdr:colOff>
      <xdr:row>10</xdr:row>
      <xdr:rowOff>55032</xdr:rowOff>
    </xdr:to>
    <xdr:sp macro="" textlink="">
      <xdr:nvSpPr>
        <xdr:cNvPr id="12" name="Rectangle: Rounded Corners 11">
          <a:extLst>
            <a:ext uri="{FF2B5EF4-FFF2-40B4-BE49-F238E27FC236}">
              <a16:creationId xmlns:a16="http://schemas.microsoft.com/office/drawing/2014/main" id="{A3F4E836-6FB7-4A77-AC53-CDFD4271D8DC}"/>
            </a:ext>
          </a:extLst>
        </xdr:cNvPr>
        <xdr:cNvSpPr/>
      </xdr:nvSpPr>
      <xdr:spPr>
        <a:xfrm>
          <a:off x="11336865" y="1028699"/>
          <a:ext cx="1634068" cy="889000"/>
        </a:xfrm>
        <a:prstGeom prst="roundRect">
          <a:avLst>
            <a:gd name="adj" fmla="val 7292"/>
          </a:avLst>
        </a:prstGeom>
        <a:gradFill>
          <a:gsLst>
            <a:gs pos="0">
              <a:schemeClr val="accent1">
                <a:lumMod val="20000"/>
                <a:lumOff val="80000"/>
              </a:schemeClr>
            </a:gs>
            <a:gs pos="100000">
              <a:schemeClr val="accent1">
                <a:lumMod val="60000"/>
                <a:lumOff val="40000"/>
              </a:schemeClr>
            </a:gs>
          </a:gsLst>
          <a:lin ang="54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135467</xdr:colOff>
      <xdr:row>18</xdr:row>
      <xdr:rowOff>50801</xdr:rowOff>
    </xdr:from>
    <xdr:to>
      <xdr:col>21</xdr:col>
      <xdr:colOff>194734</xdr:colOff>
      <xdr:row>33</xdr:row>
      <xdr:rowOff>1</xdr:rowOff>
    </xdr:to>
    <xdr:sp macro="" textlink="">
      <xdr:nvSpPr>
        <xdr:cNvPr id="13" name="Rectangle: Rounded Corners 12">
          <a:extLst>
            <a:ext uri="{FF2B5EF4-FFF2-40B4-BE49-F238E27FC236}">
              <a16:creationId xmlns:a16="http://schemas.microsoft.com/office/drawing/2014/main" id="{6B8E2055-9917-438B-AAAF-BECFA8E96293}"/>
            </a:ext>
          </a:extLst>
        </xdr:cNvPr>
        <xdr:cNvSpPr/>
      </xdr:nvSpPr>
      <xdr:spPr>
        <a:xfrm>
          <a:off x="9279467" y="3403601"/>
          <a:ext cx="3716867" cy="2743200"/>
        </a:xfrm>
        <a:prstGeom prst="roundRect">
          <a:avLst>
            <a:gd name="adj" fmla="val 1846"/>
          </a:avLst>
        </a:prstGeom>
        <a:gradFill>
          <a:gsLst>
            <a:gs pos="0">
              <a:schemeClr val="accent1">
                <a:lumMod val="20000"/>
                <a:lumOff val="80000"/>
              </a:schemeClr>
            </a:gs>
            <a:gs pos="100000">
              <a:schemeClr val="accent1">
                <a:lumMod val="60000"/>
                <a:lumOff val="40000"/>
              </a:schemeClr>
            </a:gs>
          </a:gsLst>
          <a:lin ang="54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135465</xdr:colOff>
      <xdr:row>10</xdr:row>
      <xdr:rowOff>154517</xdr:rowOff>
    </xdr:from>
    <xdr:to>
      <xdr:col>21</xdr:col>
      <xdr:colOff>186266</xdr:colOff>
      <xdr:row>17</xdr:row>
      <xdr:rowOff>177800</xdr:rowOff>
    </xdr:to>
    <xdr:sp macro="" textlink="">
      <xdr:nvSpPr>
        <xdr:cNvPr id="14" name="Rectangle: Rounded Corners 13">
          <a:extLst>
            <a:ext uri="{FF2B5EF4-FFF2-40B4-BE49-F238E27FC236}">
              <a16:creationId xmlns:a16="http://schemas.microsoft.com/office/drawing/2014/main" id="{E81672D4-EDA7-4BFB-8FB1-D28E1AC45AA5}"/>
            </a:ext>
          </a:extLst>
        </xdr:cNvPr>
        <xdr:cNvSpPr/>
      </xdr:nvSpPr>
      <xdr:spPr>
        <a:xfrm>
          <a:off x="9279465" y="2017184"/>
          <a:ext cx="3708401" cy="1327149"/>
        </a:xfrm>
        <a:prstGeom prst="roundRect">
          <a:avLst>
            <a:gd name="adj" fmla="val 1714"/>
          </a:avLst>
        </a:prstGeom>
        <a:gradFill>
          <a:gsLst>
            <a:gs pos="0">
              <a:schemeClr val="accent1">
                <a:lumMod val="20000"/>
                <a:lumOff val="80000"/>
              </a:schemeClr>
            </a:gs>
            <a:gs pos="100000">
              <a:schemeClr val="accent1">
                <a:lumMod val="60000"/>
                <a:lumOff val="40000"/>
              </a:schemeClr>
            </a:gs>
          </a:gsLst>
          <a:lin ang="54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529167</xdr:colOff>
      <xdr:row>10</xdr:row>
      <xdr:rowOff>165101</xdr:rowOff>
    </xdr:from>
    <xdr:to>
      <xdr:col>9</xdr:col>
      <xdr:colOff>118533</xdr:colOff>
      <xdr:row>20</xdr:row>
      <xdr:rowOff>148167</xdr:rowOff>
    </xdr:to>
    <xdr:sp macro="" textlink="">
      <xdr:nvSpPr>
        <xdr:cNvPr id="15" name="Rectangle: Rounded Corners 14">
          <a:extLst>
            <a:ext uri="{FF2B5EF4-FFF2-40B4-BE49-F238E27FC236}">
              <a16:creationId xmlns:a16="http://schemas.microsoft.com/office/drawing/2014/main" id="{9E31F00A-76C2-4BED-9E83-8D351F2C0FB4}"/>
            </a:ext>
          </a:extLst>
        </xdr:cNvPr>
        <xdr:cNvSpPr/>
      </xdr:nvSpPr>
      <xdr:spPr>
        <a:xfrm>
          <a:off x="2357967" y="2027768"/>
          <a:ext cx="3246966" cy="1845732"/>
        </a:xfrm>
        <a:prstGeom prst="roundRect">
          <a:avLst>
            <a:gd name="adj" fmla="val 1862"/>
          </a:avLst>
        </a:prstGeom>
        <a:gradFill>
          <a:gsLst>
            <a:gs pos="0">
              <a:schemeClr val="accent1">
                <a:lumMod val="20000"/>
                <a:lumOff val="80000"/>
              </a:schemeClr>
            </a:gs>
            <a:gs pos="100000">
              <a:schemeClr val="accent1">
                <a:lumMod val="60000"/>
                <a:lumOff val="40000"/>
              </a:schemeClr>
            </a:gs>
          </a:gsLst>
          <a:lin ang="54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203200</xdr:colOff>
      <xdr:row>10</xdr:row>
      <xdr:rowOff>156634</xdr:rowOff>
    </xdr:from>
    <xdr:to>
      <xdr:col>15</xdr:col>
      <xdr:colOff>25399</xdr:colOff>
      <xdr:row>20</xdr:row>
      <xdr:rowOff>139701</xdr:rowOff>
    </xdr:to>
    <xdr:sp macro="" textlink="">
      <xdr:nvSpPr>
        <xdr:cNvPr id="16" name="Rectangle: Rounded Corners 15">
          <a:extLst>
            <a:ext uri="{FF2B5EF4-FFF2-40B4-BE49-F238E27FC236}">
              <a16:creationId xmlns:a16="http://schemas.microsoft.com/office/drawing/2014/main" id="{AFEA24E2-EBE7-45A7-A764-F57E685FFB0D}"/>
            </a:ext>
          </a:extLst>
        </xdr:cNvPr>
        <xdr:cNvSpPr/>
      </xdr:nvSpPr>
      <xdr:spPr>
        <a:xfrm>
          <a:off x="5689600" y="2019301"/>
          <a:ext cx="3479799" cy="1845733"/>
        </a:xfrm>
        <a:prstGeom prst="roundRect">
          <a:avLst>
            <a:gd name="adj" fmla="val 4081"/>
          </a:avLst>
        </a:prstGeom>
        <a:gradFill>
          <a:gsLst>
            <a:gs pos="0">
              <a:schemeClr val="accent1">
                <a:lumMod val="20000"/>
                <a:lumOff val="80000"/>
              </a:schemeClr>
            </a:gs>
            <a:gs pos="100000">
              <a:schemeClr val="accent1">
                <a:lumMod val="60000"/>
                <a:lumOff val="40000"/>
              </a:schemeClr>
            </a:gs>
          </a:gsLst>
          <a:lin ang="54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541867</xdr:colOff>
      <xdr:row>21</xdr:row>
      <xdr:rowOff>42333</xdr:rowOff>
    </xdr:from>
    <xdr:to>
      <xdr:col>10</xdr:col>
      <xdr:colOff>482600</xdr:colOff>
      <xdr:row>33</xdr:row>
      <xdr:rowOff>8466</xdr:rowOff>
    </xdr:to>
    <xdr:sp macro="" textlink="">
      <xdr:nvSpPr>
        <xdr:cNvPr id="17" name="Rectangle: Rounded Corners 16">
          <a:extLst>
            <a:ext uri="{FF2B5EF4-FFF2-40B4-BE49-F238E27FC236}">
              <a16:creationId xmlns:a16="http://schemas.microsoft.com/office/drawing/2014/main" id="{AABA113C-0A98-43B9-974A-1F67B2FAF529}"/>
            </a:ext>
          </a:extLst>
        </xdr:cNvPr>
        <xdr:cNvSpPr/>
      </xdr:nvSpPr>
      <xdr:spPr>
        <a:xfrm>
          <a:off x="2370667" y="3953933"/>
          <a:ext cx="4207933" cy="2201333"/>
        </a:xfrm>
        <a:prstGeom prst="roundRect">
          <a:avLst>
            <a:gd name="adj" fmla="val 3545"/>
          </a:avLst>
        </a:prstGeom>
        <a:gradFill>
          <a:gsLst>
            <a:gs pos="0">
              <a:schemeClr val="accent1">
                <a:lumMod val="20000"/>
                <a:lumOff val="80000"/>
              </a:schemeClr>
            </a:gs>
            <a:gs pos="100000">
              <a:schemeClr val="accent1">
                <a:lumMod val="60000"/>
                <a:lumOff val="40000"/>
              </a:schemeClr>
            </a:gs>
          </a:gsLst>
          <a:lin ang="54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601134</xdr:colOff>
      <xdr:row>21</xdr:row>
      <xdr:rowOff>33866</xdr:rowOff>
    </xdr:from>
    <xdr:to>
      <xdr:col>15</xdr:col>
      <xdr:colOff>59267</xdr:colOff>
      <xdr:row>33</xdr:row>
      <xdr:rowOff>25399</xdr:rowOff>
    </xdr:to>
    <xdr:sp macro="" textlink="">
      <xdr:nvSpPr>
        <xdr:cNvPr id="18" name="Rectangle: Rounded Corners 17">
          <a:extLst>
            <a:ext uri="{FF2B5EF4-FFF2-40B4-BE49-F238E27FC236}">
              <a16:creationId xmlns:a16="http://schemas.microsoft.com/office/drawing/2014/main" id="{706400F3-0A5A-491D-A023-A80838BE3B27}"/>
            </a:ext>
          </a:extLst>
        </xdr:cNvPr>
        <xdr:cNvSpPr/>
      </xdr:nvSpPr>
      <xdr:spPr>
        <a:xfrm>
          <a:off x="6697134" y="3945466"/>
          <a:ext cx="2506133" cy="2226733"/>
        </a:xfrm>
        <a:prstGeom prst="roundRect">
          <a:avLst>
            <a:gd name="adj" fmla="val 1714"/>
          </a:avLst>
        </a:prstGeom>
        <a:gradFill>
          <a:gsLst>
            <a:gs pos="0">
              <a:schemeClr val="accent1">
                <a:lumMod val="20000"/>
                <a:lumOff val="80000"/>
              </a:schemeClr>
            </a:gs>
            <a:gs pos="100000">
              <a:schemeClr val="accent1">
                <a:lumMod val="60000"/>
                <a:lumOff val="40000"/>
              </a:schemeClr>
            </a:gs>
          </a:gsLst>
          <a:lin ang="5400000" scaled="0"/>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330200</xdr:colOff>
      <xdr:row>0</xdr:row>
      <xdr:rowOff>160868</xdr:rowOff>
    </xdr:from>
    <xdr:to>
      <xdr:col>3</xdr:col>
      <xdr:colOff>304550</xdr:colOff>
      <xdr:row>5</xdr:row>
      <xdr:rowOff>25401</xdr:rowOff>
    </xdr:to>
    <xdr:pic>
      <xdr:nvPicPr>
        <xdr:cNvPr id="20" name="Picture 19">
          <a:extLst>
            <a:ext uri="{FF2B5EF4-FFF2-40B4-BE49-F238E27FC236}">
              <a16:creationId xmlns:a16="http://schemas.microsoft.com/office/drawing/2014/main" id="{FF090A2F-0A00-BA36-7BEC-1DEF4ADEF3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39800" y="160868"/>
          <a:ext cx="1193550" cy="795866"/>
        </a:xfrm>
        <a:prstGeom prst="rect">
          <a:avLst/>
        </a:prstGeom>
      </xdr:spPr>
    </xdr:pic>
    <xdr:clientData/>
  </xdr:twoCellAnchor>
  <xdr:twoCellAnchor>
    <xdr:from>
      <xdr:col>4</xdr:col>
      <xdr:colOff>279400</xdr:colOff>
      <xdr:row>1</xdr:row>
      <xdr:rowOff>67733</xdr:rowOff>
    </xdr:from>
    <xdr:to>
      <xdr:col>21</xdr:col>
      <xdr:colOff>76199</xdr:colOff>
      <xdr:row>4</xdr:row>
      <xdr:rowOff>152400</xdr:rowOff>
    </xdr:to>
    <xdr:sp macro="" textlink="">
      <xdr:nvSpPr>
        <xdr:cNvPr id="22" name="TextBox 21">
          <a:extLst>
            <a:ext uri="{FF2B5EF4-FFF2-40B4-BE49-F238E27FC236}">
              <a16:creationId xmlns:a16="http://schemas.microsoft.com/office/drawing/2014/main" id="{0CBA80BD-E85B-B346-EB1A-7A2DB5F0D790}"/>
            </a:ext>
          </a:extLst>
        </xdr:cNvPr>
        <xdr:cNvSpPr txBox="1"/>
      </xdr:nvSpPr>
      <xdr:spPr>
        <a:xfrm>
          <a:off x="2717800" y="254000"/>
          <a:ext cx="10159999" cy="643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i="1">
              <a:solidFill>
                <a:schemeClr val="bg2"/>
              </a:solidFill>
              <a:latin typeface="Segoe UI Semibold" panose="020B0702040204020203" pitchFamily="34" charset="0"/>
              <a:cs typeface="Segoe UI Semibold" panose="020B0702040204020203" pitchFamily="34" charset="0"/>
            </a:rPr>
            <a:t>SUPERSTORE</a:t>
          </a:r>
          <a:r>
            <a:rPr lang="en-IN" sz="2800" i="1" baseline="0">
              <a:solidFill>
                <a:schemeClr val="bg2"/>
              </a:solidFill>
              <a:latin typeface="Segoe UI Semibold" panose="020B0702040204020203" pitchFamily="34" charset="0"/>
              <a:cs typeface="Segoe UI Semibold" panose="020B0702040204020203" pitchFamily="34" charset="0"/>
            </a:rPr>
            <a:t> SALES &amp; PROFIT DASHBOARD</a:t>
          </a:r>
        </a:p>
        <a:p>
          <a:pPr algn="ctr"/>
          <a:endParaRPr lang="en-IN" sz="2800" i="1">
            <a:solidFill>
              <a:schemeClr val="bg2"/>
            </a:solidFill>
            <a:latin typeface="Segoe UI Semibold" panose="020B0702040204020203" pitchFamily="34" charset="0"/>
            <a:cs typeface="Segoe UI Semibold" panose="020B0702040204020203" pitchFamily="34" charset="0"/>
          </a:endParaRPr>
        </a:p>
      </xdr:txBody>
    </xdr:sp>
    <xdr:clientData/>
  </xdr:twoCellAnchor>
  <xdr:twoCellAnchor>
    <xdr:from>
      <xdr:col>3</xdr:col>
      <xdr:colOff>524934</xdr:colOff>
      <xdr:row>5</xdr:row>
      <xdr:rowOff>76200</xdr:rowOff>
    </xdr:from>
    <xdr:to>
      <xdr:col>5</xdr:col>
      <xdr:colOff>448734</xdr:colOff>
      <xdr:row>7</xdr:row>
      <xdr:rowOff>33866</xdr:rowOff>
    </xdr:to>
    <xdr:sp macro="" textlink="">
      <xdr:nvSpPr>
        <xdr:cNvPr id="23" name="TextBox 22">
          <a:extLst>
            <a:ext uri="{FF2B5EF4-FFF2-40B4-BE49-F238E27FC236}">
              <a16:creationId xmlns:a16="http://schemas.microsoft.com/office/drawing/2014/main" id="{E8EE6215-2069-1E50-96E0-1C5C752C9D42}"/>
            </a:ext>
          </a:extLst>
        </xdr:cNvPr>
        <xdr:cNvSpPr txBox="1"/>
      </xdr:nvSpPr>
      <xdr:spPr>
        <a:xfrm>
          <a:off x="2353734" y="1007533"/>
          <a:ext cx="11430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i="1">
              <a:solidFill>
                <a:schemeClr val="tx1"/>
              </a:solidFill>
              <a:latin typeface="Segoe UI Semibold" panose="020B0702040204020203" pitchFamily="34" charset="0"/>
              <a:cs typeface="Segoe UI Semibold" panose="020B0702040204020203" pitchFamily="34" charset="0"/>
            </a:rPr>
            <a:t>Total Sales</a:t>
          </a:r>
        </a:p>
      </xdr:txBody>
    </xdr:sp>
    <xdr:clientData/>
  </xdr:twoCellAnchor>
  <xdr:twoCellAnchor>
    <xdr:from>
      <xdr:col>18</xdr:col>
      <xdr:colOff>321733</xdr:colOff>
      <xdr:row>5</xdr:row>
      <xdr:rowOff>76200</xdr:rowOff>
    </xdr:from>
    <xdr:to>
      <xdr:col>20</xdr:col>
      <xdr:colOff>499533</xdr:colOff>
      <xdr:row>7</xdr:row>
      <xdr:rowOff>50800</xdr:rowOff>
    </xdr:to>
    <xdr:sp macro="" textlink="">
      <xdr:nvSpPr>
        <xdr:cNvPr id="24" name="TextBox 23">
          <a:extLst>
            <a:ext uri="{FF2B5EF4-FFF2-40B4-BE49-F238E27FC236}">
              <a16:creationId xmlns:a16="http://schemas.microsoft.com/office/drawing/2014/main" id="{7BBE9EDC-15F7-4D5E-9B02-134CAC423D72}"/>
            </a:ext>
          </a:extLst>
        </xdr:cNvPr>
        <xdr:cNvSpPr txBox="1"/>
      </xdr:nvSpPr>
      <xdr:spPr>
        <a:xfrm>
          <a:off x="11294533" y="1007533"/>
          <a:ext cx="1397000" cy="347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i="1">
              <a:solidFill>
                <a:schemeClr val="tx1"/>
              </a:solidFill>
              <a:latin typeface="Segoe UI Semibold" panose="020B0702040204020203" pitchFamily="34" charset="0"/>
              <a:cs typeface="Segoe UI Semibold" panose="020B0702040204020203" pitchFamily="34" charset="0"/>
            </a:rPr>
            <a:t>Profit</a:t>
          </a:r>
          <a:r>
            <a:rPr lang="en-IN" sz="1200" i="1" baseline="0">
              <a:solidFill>
                <a:schemeClr val="tx1"/>
              </a:solidFill>
              <a:latin typeface="Segoe UI Semibold" panose="020B0702040204020203" pitchFamily="34" charset="0"/>
              <a:cs typeface="Segoe UI Semibold" panose="020B0702040204020203" pitchFamily="34" charset="0"/>
            </a:rPr>
            <a:t> Margin (%)</a:t>
          </a:r>
          <a:endParaRPr lang="en-IN" sz="1200" i="1">
            <a:solidFill>
              <a:schemeClr val="tx1"/>
            </a:solidFill>
            <a:latin typeface="Segoe UI Semibold" panose="020B0702040204020203" pitchFamily="34" charset="0"/>
            <a:cs typeface="Segoe UI Semibold" panose="020B0702040204020203" pitchFamily="34" charset="0"/>
          </a:endParaRPr>
        </a:p>
      </xdr:txBody>
    </xdr:sp>
    <xdr:clientData/>
  </xdr:twoCellAnchor>
  <xdr:twoCellAnchor>
    <xdr:from>
      <xdr:col>15</xdr:col>
      <xdr:colOff>389467</xdr:colOff>
      <xdr:row>5</xdr:row>
      <xdr:rowOff>118534</xdr:rowOff>
    </xdr:from>
    <xdr:to>
      <xdr:col>17</xdr:col>
      <xdr:colOff>423333</xdr:colOff>
      <xdr:row>7</xdr:row>
      <xdr:rowOff>42333</xdr:rowOff>
    </xdr:to>
    <xdr:sp macro="" textlink="">
      <xdr:nvSpPr>
        <xdr:cNvPr id="25" name="TextBox 24">
          <a:extLst>
            <a:ext uri="{FF2B5EF4-FFF2-40B4-BE49-F238E27FC236}">
              <a16:creationId xmlns:a16="http://schemas.microsoft.com/office/drawing/2014/main" id="{F7E954B4-6A2C-4A36-8054-E78E12271F1A}"/>
            </a:ext>
          </a:extLst>
        </xdr:cNvPr>
        <xdr:cNvSpPr txBox="1"/>
      </xdr:nvSpPr>
      <xdr:spPr>
        <a:xfrm>
          <a:off x="9533467" y="1049867"/>
          <a:ext cx="1253066"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i="1">
              <a:solidFill>
                <a:schemeClr val="tx1"/>
              </a:solidFill>
              <a:latin typeface="Segoe UI Semibold" panose="020B0702040204020203" pitchFamily="34" charset="0"/>
              <a:cs typeface="Segoe UI Semibold" panose="020B0702040204020203" pitchFamily="34" charset="0"/>
            </a:rPr>
            <a:t>Total Stock Left</a:t>
          </a:r>
        </a:p>
      </xdr:txBody>
    </xdr:sp>
    <xdr:clientData/>
  </xdr:twoCellAnchor>
  <xdr:twoCellAnchor>
    <xdr:from>
      <xdr:col>12</xdr:col>
      <xdr:colOff>372533</xdr:colOff>
      <xdr:row>5</xdr:row>
      <xdr:rowOff>84666</xdr:rowOff>
    </xdr:from>
    <xdr:to>
      <xdr:col>14</xdr:col>
      <xdr:colOff>372533</xdr:colOff>
      <xdr:row>7</xdr:row>
      <xdr:rowOff>25400</xdr:rowOff>
    </xdr:to>
    <xdr:sp macro="" textlink="">
      <xdr:nvSpPr>
        <xdr:cNvPr id="26" name="TextBox 25">
          <a:extLst>
            <a:ext uri="{FF2B5EF4-FFF2-40B4-BE49-F238E27FC236}">
              <a16:creationId xmlns:a16="http://schemas.microsoft.com/office/drawing/2014/main" id="{F212A698-6290-4F4D-AA66-44E352777DC2}"/>
            </a:ext>
          </a:extLst>
        </xdr:cNvPr>
        <xdr:cNvSpPr txBox="1"/>
      </xdr:nvSpPr>
      <xdr:spPr>
        <a:xfrm>
          <a:off x="7687733" y="1015999"/>
          <a:ext cx="1219200" cy="3132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i="1">
              <a:solidFill>
                <a:schemeClr val="tx1"/>
              </a:solidFill>
              <a:latin typeface="Segoe UI Semibold" panose="020B0702040204020203" pitchFamily="34" charset="0"/>
              <a:cs typeface="Segoe UI Semibold" panose="020B0702040204020203" pitchFamily="34" charset="0"/>
            </a:rPr>
            <a:t>Total</a:t>
          </a:r>
          <a:r>
            <a:rPr lang="en-IN" sz="1200" i="1" baseline="0">
              <a:solidFill>
                <a:schemeClr val="tx1"/>
              </a:solidFill>
              <a:latin typeface="Segoe UI Semibold" panose="020B0702040204020203" pitchFamily="34" charset="0"/>
              <a:cs typeface="Segoe UI Semibold" panose="020B0702040204020203" pitchFamily="34" charset="0"/>
            </a:rPr>
            <a:t> Quantity</a:t>
          </a:r>
          <a:endParaRPr lang="en-IN" sz="1200" i="1">
            <a:solidFill>
              <a:schemeClr val="tx1"/>
            </a:solidFill>
            <a:latin typeface="Segoe UI Semibold" panose="020B0702040204020203" pitchFamily="34" charset="0"/>
            <a:cs typeface="Segoe UI Semibold" panose="020B0702040204020203" pitchFamily="34" charset="0"/>
          </a:endParaRPr>
        </a:p>
      </xdr:txBody>
    </xdr:sp>
    <xdr:clientData/>
  </xdr:twoCellAnchor>
  <xdr:twoCellAnchor>
    <xdr:from>
      <xdr:col>9</xdr:col>
      <xdr:colOff>414867</xdr:colOff>
      <xdr:row>5</xdr:row>
      <xdr:rowOff>93135</xdr:rowOff>
    </xdr:from>
    <xdr:to>
      <xdr:col>11</xdr:col>
      <xdr:colOff>389467</xdr:colOff>
      <xdr:row>7</xdr:row>
      <xdr:rowOff>8467</xdr:rowOff>
    </xdr:to>
    <xdr:sp macro="" textlink="">
      <xdr:nvSpPr>
        <xdr:cNvPr id="27" name="TextBox 26">
          <a:extLst>
            <a:ext uri="{FF2B5EF4-FFF2-40B4-BE49-F238E27FC236}">
              <a16:creationId xmlns:a16="http://schemas.microsoft.com/office/drawing/2014/main" id="{54277408-4195-41E0-BE41-4BC2E025967C}"/>
            </a:ext>
          </a:extLst>
        </xdr:cNvPr>
        <xdr:cNvSpPr txBox="1"/>
      </xdr:nvSpPr>
      <xdr:spPr>
        <a:xfrm>
          <a:off x="5901267" y="1024468"/>
          <a:ext cx="1193800" cy="287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i="1">
              <a:solidFill>
                <a:schemeClr val="tx1"/>
              </a:solidFill>
              <a:latin typeface="Segoe UI Semibold" panose="020B0702040204020203" pitchFamily="34" charset="0"/>
              <a:cs typeface="Segoe UI Semibold" panose="020B0702040204020203" pitchFamily="34" charset="0"/>
            </a:rPr>
            <a:t>Avg</a:t>
          </a:r>
          <a:r>
            <a:rPr lang="en-IN" sz="1200" i="1" baseline="0">
              <a:solidFill>
                <a:schemeClr val="tx1"/>
              </a:solidFill>
              <a:latin typeface="Segoe UI Semibold" panose="020B0702040204020203" pitchFamily="34" charset="0"/>
              <a:cs typeface="Segoe UI Semibold" panose="020B0702040204020203" pitchFamily="34" charset="0"/>
            </a:rPr>
            <a:t> Unit Price</a:t>
          </a:r>
          <a:endParaRPr lang="en-IN" sz="1200" i="1">
            <a:solidFill>
              <a:schemeClr val="tx1"/>
            </a:solidFill>
            <a:latin typeface="Segoe UI Semibold" panose="020B0702040204020203" pitchFamily="34" charset="0"/>
            <a:cs typeface="Segoe UI Semibold" panose="020B0702040204020203" pitchFamily="34" charset="0"/>
          </a:endParaRPr>
        </a:p>
      </xdr:txBody>
    </xdr:sp>
    <xdr:clientData/>
  </xdr:twoCellAnchor>
  <xdr:twoCellAnchor>
    <xdr:from>
      <xdr:col>6</xdr:col>
      <xdr:colOff>447041</xdr:colOff>
      <xdr:row>5</xdr:row>
      <xdr:rowOff>76200</xdr:rowOff>
    </xdr:from>
    <xdr:to>
      <xdr:col>8</xdr:col>
      <xdr:colOff>362376</xdr:colOff>
      <xdr:row>7</xdr:row>
      <xdr:rowOff>25399</xdr:rowOff>
    </xdr:to>
    <xdr:sp macro="" textlink="">
      <xdr:nvSpPr>
        <xdr:cNvPr id="28" name="TextBox 27">
          <a:extLst>
            <a:ext uri="{FF2B5EF4-FFF2-40B4-BE49-F238E27FC236}">
              <a16:creationId xmlns:a16="http://schemas.microsoft.com/office/drawing/2014/main" id="{AE01B025-CCA2-403D-8F7E-9AF4B6AD728A}"/>
            </a:ext>
          </a:extLst>
        </xdr:cNvPr>
        <xdr:cNvSpPr txBox="1"/>
      </xdr:nvSpPr>
      <xdr:spPr>
        <a:xfrm>
          <a:off x="4104641" y="1007533"/>
          <a:ext cx="1134535" cy="321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i="1">
              <a:solidFill>
                <a:schemeClr val="tx1"/>
              </a:solidFill>
              <a:latin typeface="Segoe UI Semibold" panose="020B0702040204020203" pitchFamily="34" charset="0"/>
              <a:cs typeface="Segoe UI Semibold" panose="020B0702040204020203" pitchFamily="34" charset="0"/>
            </a:rPr>
            <a:t>Total Profit</a:t>
          </a:r>
        </a:p>
        <a:p>
          <a:pPr algn="l"/>
          <a:endParaRPr lang="en-IN" sz="1200" i="1">
            <a:solidFill>
              <a:schemeClr val="tx1"/>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8</xdr:col>
      <xdr:colOff>533399</xdr:colOff>
      <xdr:row>5</xdr:row>
      <xdr:rowOff>93135</xdr:rowOff>
    </xdr:from>
    <xdr:to>
      <xdr:col>9</xdr:col>
      <xdr:colOff>270932</xdr:colOff>
      <xdr:row>7</xdr:row>
      <xdr:rowOff>67734</xdr:rowOff>
    </xdr:to>
    <xdr:pic>
      <xdr:nvPicPr>
        <xdr:cNvPr id="30" name="Graphic 29" descr="Bar graph with upward trend with solid fill">
          <a:extLst>
            <a:ext uri="{FF2B5EF4-FFF2-40B4-BE49-F238E27FC236}">
              <a16:creationId xmlns:a16="http://schemas.microsoft.com/office/drawing/2014/main" id="{4559589F-27A6-BB37-972F-9166ECAE551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410199" y="1024468"/>
          <a:ext cx="347133" cy="347133"/>
        </a:xfrm>
        <a:prstGeom prst="rect">
          <a:avLst/>
        </a:prstGeom>
      </xdr:spPr>
    </xdr:pic>
    <xdr:clientData/>
  </xdr:twoCellAnchor>
  <xdr:twoCellAnchor editAs="oneCell">
    <xdr:from>
      <xdr:col>5</xdr:col>
      <xdr:colOff>541867</xdr:colOff>
      <xdr:row>5</xdr:row>
      <xdr:rowOff>118534</xdr:rowOff>
    </xdr:from>
    <xdr:to>
      <xdr:col>6</xdr:col>
      <xdr:colOff>287867</xdr:colOff>
      <xdr:row>7</xdr:row>
      <xdr:rowOff>101600</xdr:rowOff>
    </xdr:to>
    <xdr:pic>
      <xdr:nvPicPr>
        <xdr:cNvPr id="32" name="Graphic 31" descr="Coins with solid fill">
          <a:extLst>
            <a:ext uri="{FF2B5EF4-FFF2-40B4-BE49-F238E27FC236}">
              <a16:creationId xmlns:a16="http://schemas.microsoft.com/office/drawing/2014/main" id="{6CB561FD-CAFA-5CF7-C577-1929E45C1DE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589867" y="1049867"/>
          <a:ext cx="355600" cy="355600"/>
        </a:xfrm>
        <a:prstGeom prst="rect">
          <a:avLst/>
        </a:prstGeom>
      </xdr:spPr>
    </xdr:pic>
    <xdr:clientData/>
  </xdr:twoCellAnchor>
  <xdr:twoCellAnchor>
    <xdr:from>
      <xdr:col>3</xdr:col>
      <xdr:colOff>584199</xdr:colOff>
      <xdr:row>7</xdr:row>
      <xdr:rowOff>55034</xdr:rowOff>
    </xdr:from>
    <xdr:to>
      <xdr:col>6</xdr:col>
      <xdr:colOff>110067</xdr:colOff>
      <xdr:row>9</xdr:row>
      <xdr:rowOff>148167</xdr:rowOff>
    </xdr:to>
    <xdr:sp macro="" textlink="'Pivot Table'!H8">
      <xdr:nvSpPr>
        <xdr:cNvPr id="2" name="TextBox 1">
          <a:extLst>
            <a:ext uri="{FF2B5EF4-FFF2-40B4-BE49-F238E27FC236}">
              <a16:creationId xmlns:a16="http://schemas.microsoft.com/office/drawing/2014/main" id="{F6B48964-2DFA-D665-A896-5A9F3884C93F}"/>
            </a:ext>
          </a:extLst>
        </xdr:cNvPr>
        <xdr:cNvSpPr txBox="1"/>
      </xdr:nvSpPr>
      <xdr:spPr>
        <a:xfrm>
          <a:off x="2412999" y="1358901"/>
          <a:ext cx="1354668" cy="465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0D61504-3C60-40FA-9A23-F6B390EE7F4E}" type="TxLink">
            <a:rPr lang="en-US" sz="1800" b="0" i="0" u="none" strike="noStrike">
              <a:solidFill>
                <a:srgbClr val="000000"/>
              </a:solidFill>
              <a:latin typeface="Segoe UI Semibold" panose="020B0702040204020203" pitchFamily="34" charset="0"/>
              <a:cs typeface="Segoe UI Semibold" panose="020B0702040204020203" pitchFamily="34" charset="0"/>
            </a:rPr>
            <a:pPr/>
            <a:t>₹ 12.31 M</a:t>
          </a:fld>
          <a:endParaRPr lang="en-IN" sz="1800" i="0">
            <a:latin typeface="Segoe UI Semibold" panose="020B0702040204020203" pitchFamily="34" charset="0"/>
            <a:cs typeface="Segoe UI Semibold" panose="020B0702040204020203" pitchFamily="34" charset="0"/>
          </a:endParaRPr>
        </a:p>
      </xdr:txBody>
    </xdr:sp>
    <xdr:clientData/>
  </xdr:twoCellAnchor>
  <xdr:twoCellAnchor>
    <xdr:from>
      <xdr:col>16</xdr:col>
      <xdr:colOff>99906</xdr:colOff>
      <xdr:row>7</xdr:row>
      <xdr:rowOff>46567</xdr:rowOff>
    </xdr:from>
    <xdr:to>
      <xdr:col>18</xdr:col>
      <xdr:colOff>243839</xdr:colOff>
      <xdr:row>9</xdr:row>
      <xdr:rowOff>139700</xdr:rowOff>
    </xdr:to>
    <xdr:sp macro="" textlink="'Pivot Table'!H15">
      <xdr:nvSpPr>
        <xdr:cNvPr id="19" name="TextBox 18">
          <a:extLst>
            <a:ext uri="{FF2B5EF4-FFF2-40B4-BE49-F238E27FC236}">
              <a16:creationId xmlns:a16="http://schemas.microsoft.com/office/drawing/2014/main" id="{1BDB238D-FDDF-4742-8961-41DEACBECD95}"/>
            </a:ext>
          </a:extLst>
        </xdr:cNvPr>
        <xdr:cNvSpPr txBox="1"/>
      </xdr:nvSpPr>
      <xdr:spPr>
        <a:xfrm>
          <a:off x="9853506" y="1350434"/>
          <a:ext cx="1363133" cy="465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BEADA6B-738D-4A7C-B068-FC5AB79ECD5A}" type="TxLink">
            <a:rPr lang="en-US" sz="1800" b="0" i="0" u="none" strike="noStrike">
              <a:solidFill>
                <a:srgbClr val="000000"/>
              </a:solidFill>
              <a:latin typeface="Segoe UI Semibold" panose="020B0702040204020203" pitchFamily="34" charset="0"/>
              <a:ea typeface="+mn-ea"/>
              <a:cs typeface="Segoe UI Semibold" panose="020B0702040204020203" pitchFamily="34" charset="0"/>
            </a:rPr>
            <a:pPr marL="0" indent="0"/>
            <a:t>24,991</a:t>
          </a:fld>
          <a:endParaRPr lang="en-IN" sz="1800" b="0" i="0" u="none" strike="noStrike">
            <a:solidFill>
              <a:srgbClr val="000000"/>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13</xdr:col>
      <xdr:colOff>174412</xdr:colOff>
      <xdr:row>7</xdr:row>
      <xdr:rowOff>38100</xdr:rowOff>
    </xdr:from>
    <xdr:to>
      <xdr:col>15</xdr:col>
      <xdr:colOff>318347</xdr:colOff>
      <xdr:row>9</xdr:row>
      <xdr:rowOff>131234</xdr:rowOff>
    </xdr:to>
    <xdr:sp macro="" textlink="'Pivot Table'!J12">
      <xdr:nvSpPr>
        <xdr:cNvPr id="21" name="TextBox 20">
          <a:extLst>
            <a:ext uri="{FF2B5EF4-FFF2-40B4-BE49-F238E27FC236}">
              <a16:creationId xmlns:a16="http://schemas.microsoft.com/office/drawing/2014/main" id="{D7AADF31-3DC6-4827-9F8F-DFD9BB651884}"/>
            </a:ext>
          </a:extLst>
        </xdr:cNvPr>
        <xdr:cNvSpPr txBox="1"/>
      </xdr:nvSpPr>
      <xdr:spPr>
        <a:xfrm>
          <a:off x="8099212" y="1341967"/>
          <a:ext cx="1363135" cy="465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AA3F9E9-49C9-49DE-96F4-4F66E8642600}" type="TxLink">
            <a:rPr lang="en-US" sz="1800" b="0" i="0" u="none" strike="noStrike">
              <a:solidFill>
                <a:srgbClr val="000000"/>
              </a:solidFill>
              <a:latin typeface="Segoe UI Semibold" panose="020B0702040204020203" pitchFamily="34" charset="0"/>
              <a:ea typeface="+mn-ea"/>
              <a:cs typeface="Segoe UI Semibold" panose="020B0702040204020203" pitchFamily="34" charset="0"/>
            </a:rPr>
            <a:pPr marL="0" indent="0"/>
            <a:t>5,394</a:t>
          </a:fld>
          <a:endParaRPr lang="en-IN" sz="1800" b="0" i="0" u="none" strike="noStrike">
            <a:solidFill>
              <a:srgbClr val="000000"/>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10</xdr:col>
      <xdr:colOff>79584</xdr:colOff>
      <xdr:row>7</xdr:row>
      <xdr:rowOff>50801</xdr:rowOff>
    </xdr:from>
    <xdr:to>
      <xdr:col>12</xdr:col>
      <xdr:colOff>215052</xdr:colOff>
      <xdr:row>9</xdr:row>
      <xdr:rowOff>169335</xdr:rowOff>
    </xdr:to>
    <xdr:sp macro="" textlink="'Pivot Table'!H12">
      <xdr:nvSpPr>
        <xdr:cNvPr id="29" name="TextBox 28">
          <a:extLst>
            <a:ext uri="{FF2B5EF4-FFF2-40B4-BE49-F238E27FC236}">
              <a16:creationId xmlns:a16="http://schemas.microsoft.com/office/drawing/2014/main" id="{4DF269C5-05A2-4446-AA5D-6F44D5731CCE}"/>
            </a:ext>
          </a:extLst>
        </xdr:cNvPr>
        <xdr:cNvSpPr txBox="1"/>
      </xdr:nvSpPr>
      <xdr:spPr>
        <a:xfrm>
          <a:off x="6175584" y="1354668"/>
          <a:ext cx="1354668" cy="491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170CDA2-5BD5-4406-86D3-3AE881909BEC}" type="TxLink">
            <a:rPr lang="en-US" sz="1800" b="0" i="0" u="none" strike="noStrike">
              <a:solidFill>
                <a:srgbClr val="000000"/>
              </a:solidFill>
              <a:latin typeface="Segoe UI Semibold" panose="020B0702040204020203" pitchFamily="34" charset="0"/>
              <a:ea typeface="+mn-ea"/>
              <a:cs typeface="Segoe UI Semibold" panose="020B0702040204020203" pitchFamily="34" charset="0"/>
            </a:rPr>
            <a:pPr marL="0" indent="0"/>
            <a:t>₹ 2,468</a:t>
          </a:fld>
          <a:endParaRPr lang="en-IN" sz="1800" b="0" i="0" u="none" strike="noStrike">
            <a:solidFill>
              <a:srgbClr val="000000"/>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6</xdr:col>
      <xdr:colOff>567267</xdr:colOff>
      <xdr:row>7</xdr:row>
      <xdr:rowOff>55034</xdr:rowOff>
    </xdr:from>
    <xdr:to>
      <xdr:col>9</xdr:col>
      <xdr:colOff>154091</xdr:colOff>
      <xdr:row>9</xdr:row>
      <xdr:rowOff>114301</xdr:rowOff>
    </xdr:to>
    <xdr:sp macro="" textlink="'Pivot Table'!J8">
      <xdr:nvSpPr>
        <xdr:cNvPr id="31" name="TextBox 30">
          <a:extLst>
            <a:ext uri="{FF2B5EF4-FFF2-40B4-BE49-F238E27FC236}">
              <a16:creationId xmlns:a16="http://schemas.microsoft.com/office/drawing/2014/main" id="{6FE93B78-A525-4D63-9169-43755A8694B5}"/>
            </a:ext>
          </a:extLst>
        </xdr:cNvPr>
        <xdr:cNvSpPr txBox="1"/>
      </xdr:nvSpPr>
      <xdr:spPr>
        <a:xfrm>
          <a:off x="4224867" y="1358901"/>
          <a:ext cx="1415624"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7F754DD-4833-447E-99B2-BF92C9AD5654}" type="TxLink">
            <a:rPr lang="en-US" sz="1800" b="0" i="0" u="none" strike="noStrike">
              <a:solidFill>
                <a:srgbClr val="000000"/>
              </a:solidFill>
              <a:latin typeface="Segoe UI Semibold" panose="020B0702040204020203" pitchFamily="34" charset="0"/>
              <a:ea typeface="+mn-ea"/>
              <a:cs typeface="Segoe UI Semibold" panose="020B0702040204020203" pitchFamily="34" charset="0"/>
            </a:rPr>
            <a:pPr marL="0" indent="0"/>
            <a:t>₹ 583.30 K</a:t>
          </a:fld>
          <a:endParaRPr lang="en-US" sz="1800" b="0" i="0" u="none" strike="noStrike">
            <a:solidFill>
              <a:srgbClr val="000000"/>
            </a:solidFill>
            <a:latin typeface="Segoe UI Semibold" panose="020B0702040204020203" pitchFamily="34" charset="0"/>
            <a:ea typeface="+mn-ea"/>
            <a:cs typeface="Segoe UI Semibold" panose="020B0702040204020203" pitchFamily="34" charset="0"/>
          </a:endParaRPr>
        </a:p>
      </xdr:txBody>
    </xdr:sp>
    <xdr:clientData/>
  </xdr:twoCellAnchor>
  <xdr:twoCellAnchor>
    <xdr:from>
      <xdr:col>19</xdr:col>
      <xdr:colOff>228599</xdr:colOff>
      <xdr:row>7</xdr:row>
      <xdr:rowOff>46567</xdr:rowOff>
    </xdr:from>
    <xdr:to>
      <xdr:col>21</xdr:col>
      <xdr:colOff>372532</xdr:colOff>
      <xdr:row>9</xdr:row>
      <xdr:rowOff>139700</xdr:rowOff>
    </xdr:to>
    <xdr:sp macro="" textlink="'Pivot Table'!J15">
      <xdr:nvSpPr>
        <xdr:cNvPr id="33" name="TextBox 32">
          <a:extLst>
            <a:ext uri="{FF2B5EF4-FFF2-40B4-BE49-F238E27FC236}">
              <a16:creationId xmlns:a16="http://schemas.microsoft.com/office/drawing/2014/main" id="{757911E3-2D45-4F81-8BB7-885DA79AF266}"/>
            </a:ext>
          </a:extLst>
        </xdr:cNvPr>
        <xdr:cNvSpPr txBox="1"/>
      </xdr:nvSpPr>
      <xdr:spPr>
        <a:xfrm>
          <a:off x="11810999" y="1350434"/>
          <a:ext cx="1363133" cy="465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FB1B9E0-0A07-44FA-AF9F-F5E041C1C0FB}" type="TxLink">
            <a:rPr lang="en-US" sz="1800" b="0" i="0" u="none" strike="noStrike">
              <a:solidFill>
                <a:srgbClr val="000000"/>
              </a:solidFill>
              <a:latin typeface="Segoe UI Semibold" panose="020B0702040204020203" pitchFamily="34" charset="0"/>
              <a:ea typeface="+mn-ea"/>
              <a:cs typeface="Segoe UI Semibold" panose="020B0702040204020203" pitchFamily="34" charset="0"/>
            </a:rPr>
            <a:pPr marL="0" indent="0"/>
            <a:t>4.7</a:t>
          </a:fld>
          <a:endParaRPr lang="en-IN" sz="1800" b="0" i="0" u="none" strike="noStrike">
            <a:solidFill>
              <a:srgbClr val="000000"/>
            </a:solidFill>
            <a:latin typeface="Segoe UI Semibold" panose="020B0702040204020203" pitchFamily="34" charset="0"/>
            <a:ea typeface="+mn-ea"/>
            <a:cs typeface="Segoe UI Semibold" panose="020B0702040204020203" pitchFamily="34" charset="0"/>
          </a:endParaRPr>
        </a:p>
      </xdr:txBody>
    </xdr:sp>
    <xdr:clientData/>
  </xdr:twoCellAnchor>
  <xdr:twoCellAnchor editAs="oneCell">
    <xdr:from>
      <xdr:col>20</xdr:col>
      <xdr:colOff>423333</xdr:colOff>
      <xdr:row>5</xdr:row>
      <xdr:rowOff>93133</xdr:rowOff>
    </xdr:from>
    <xdr:to>
      <xdr:col>21</xdr:col>
      <xdr:colOff>160867</xdr:colOff>
      <xdr:row>7</xdr:row>
      <xdr:rowOff>67733</xdr:rowOff>
    </xdr:to>
    <xdr:pic>
      <xdr:nvPicPr>
        <xdr:cNvPr id="36" name="Graphic 35" descr="Research with solid fill">
          <a:extLst>
            <a:ext uri="{FF2B5EF4-FFF2-40B4-BE49-F238E27FC236}">
              <a16:creationId xmlns:a16="http://schemas.microsoft.com/office/drawing/2014/main" id="{4A0C0ADC-1173-0D22-02D3-06616B7ACA4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2615333" y="1024466"/>
          <a:ext cx="347134" cy="347134"/>
        </a:xfrm>
        <a:prstGeom prst="rect">
          <a:avLst/>
        </a:prstGeom>
      </xdr:spPr>
    </xdr:pic>
    <xdr:clientData/>
  </xdr:twoCellAnchor>
  <xdr:twoCellAnchor editAs="oneCell">
    <xdr:from>
      <xdr:col>11</xdr:col>
      <xdr:colOff>465668</xdr:colOff>
      <xdr:row>5</xdr:row>
      <xdr:rowOff>110068</xdr:rowOff>
    </xdr:from>
    <xdr:to>
      <xdr:col>12</xdr:col>
      <xdr:colOff>220134</xdr:colOff>
      <xdr:row>7</xdr:row>
      <xdr:rowOff>101600</xdr:rowOff>
    </xdr:to>
    <xdr:pic>
      <xdr:nvPicPr>
        <xdr:cNvPr id="38" name="Graphic 37" descr="Bullseye with solid fill">
          <a:extLst>
            <a:ext uri="{FF2B5EF4-FFF2-40B4-BE49-F238E27FC236}">
              <a16:creationId xmlns:a16="http://schemas.microsoft.com/office/drawing/2014/main" id="{72A0A56B-AD00-60EB-4335-6EFFB68E35E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171268" y="1041401"/>
          <a:ext cx="364066" cy="364066"/>
        </a:xfrm>
        <a:prstGeom prst="rect">
          <a:avLst/>
        </a:prstGeom>
      </xdr:spPr>
    </xdr:pic>
    <xdr:clientData/>
  </xdr:twoCellAnchor>
  <xdr:twoCellAnchor editAs="oneCell">
    <xdr:from>
      <xdr:col>14</xdr:col>
      <xdr:colOff>524934</xdr:colOff>
      <xdr:row>5</xdr:row>
      <xdr:rowOff>110067</xdr:rowOff>
    </xdr:from>
    <xdr:to>
      <xdr:col>15</xdr:col>
      <xdr:colOff>228601</xdr:colOff>
      <xdr:row>7</xdr:row>
      <xdr:rowOff>50800</xdr:rowOff>
    </xdr:to>
    <xdr:pic>
      <xdr:nvPicPr>
        <xdr:cNvPr id="40" name="Graphic 39" descr="Database with solid fill">
          <a:extLst>
            <a:ext uri="{FF2B5EF4-FFF2-40B4-BE49-F238E27FC236}">
              <a16:creationId xmlns:a16="http://schemas.microsoft.com/office/drawing/2014/main" id="{8BB16A0B-6D1D-5A6A-7EAE-7302E5D3AD5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9059334" y="1041400"/>
          <a:ext cx="313267" cy="313267"/>
        </a:xfrm>
        <a:prstGeom prst="rect">
          <a:avLst/>
        </a:prstGeom>
      </xdr:spPr>
    </xdr:pic>
    <xdr:clientData/>
  </xdr:twoCellAnchor>
  <xdr:twoCellAnchor editAs="oneCell">
    <xdr:from>
      <xdr:col>17</xdr:col>
      <xdr:colOff>440267</xdr:colOff>
      <xdr:row>5</xdr:row>
      <xdr:rowOff>118534</xdr:rowOff>
    </xdr:from>
    <xdr:to>
      <xdr:col>18</xdr:col>
      <xdr:colOff>194733</xdr:colOff>
      <xdr:row>7</xdr:row>
      <xdr:rowOff>75059</xdr:rowOff>
    </xdr:to>
    <xdr:pic>
      <xdr:nvPicPr>
        <xdr:cNvPr id="42" name="Graphic 41" descr="Checklist with solid fill">
          <a:extLst>
            <a:ext uri="{FF2B5EF4-FFF2-40B4-BE49-F238E27FC236}">
              <a16:creationId xmlns:a16="http://schemas.microsoft.com/office/drawing/2014/main" id="{107BAF3C-0787-C148-FEBB-19BF9802028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0803467" y="1049867"/>
          <a:ext cx="364066" cy="329059"/>
        </a:xfrm>
        <a:prstGeom prst="rect">
          <a:avLst/>
        </a:prstGeom>
      </xdr:spPr>
    </xdr:pic>
    <xdr:clientData/>
  </xdr:twoCellAnchor>
  <xdr:twoCellAnchor>
    <xdr:from>
      <xdr:col>4</xdr:col>
      <xdr:colOff>8468</xdr:colOff>
      <xdr:row>22</xdr:row>
      <xdr:rowOff>160866</xdr:rowOff>
    </xdr:from>
    <xdr:to>
      <xdr:col>10</xdr:col>
      <xdr:colOff>375710</xdr:colOff>
      <xdr:row>32</xdr:row>
      <xdr:rowOff>114300</xdr:rowOff>
    </xdr:to>
    <xdr:graphicFrame macro="">
      <xdr:nvGraphicFramePr>
        <xdr:cNvPr id="44" name="Chart 43">
          <a:extLst>
            <a:ext uri="{FF2B5EF4-FFF2-40B4-BE49-F238E27FC236}">
              <a16:creationId xmlns:a16="http://schemas.microsoft.com/office/drawing/2014/main" id="{4A5D6ED1-4267-4538-857C-E07688B99D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524933</xdr:colOff>
      <xdr:row>20</xdr:row>
      <xdr:rowOff>186266</xdr:rowOff>
    </xdr:from>
    <xdr:to>
      <xdr:col>6</xdr:col>
      <xdr:colOff>448733</xdr:colOff>
      <xdr:row>22</xdr:row>
      <xdr:rowOff>93133</xdr:rowOff>
    </xdr:to>
    <xdr:sp macro="" textlink="">
      <xdr:nvSpPr>
        <xdr:cNvPr id="46" name="TextBox 45">
          <a:extLst>
            <a:ext uri="{FF2B5EF4-FFF2-40B4-BE49-F238E27FC236}">
              <a16:creationId xmlns:a16="http://schemas.microsoft.com/office/drawing/2014/main" id="{BBFCC8A1-4C84-4B79-A77B-585D6273AE54}"/>
            </a:ext>
          </a:extLst>
        </xdr:cNvPr>
        <xdr:cNvSpPr txBox="1"/>
      </xdr:nvSpPr>
      <xdr:spPr>
        <a:xfrm>
          <a:off x="2353733" y="3911599"/>
          <a:ext cx="1752600" cy="279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i="1">
              <a:solidFill>
                <a:schemeClr val="tx1"/>
              </a:solidFill>
              <a:latin typeface="Segoe UI Semibold" panose="020B0702040204020203" pitchFamily="34" charset="0"/>
              <a:cs typeface="Segoe UI Semibold" panose="020B0702040204020203" pitchFamily="34" charset="0"/>
            </a:rPr>
            <a:t>Monthly</a:t>
          </a:r>
          <a:r>
            <a:rPr lang="en-IN" sz="1200" i="1" baseline="0">
              <a:solidFill>
                <a:schemeClr val="tx1"/>
              </a:solidFill>
              <a:latin typeface="Segoe UI Semibold" panose="020B0702040204020203" pitchFamily="34" charset="0"/>
              <a:cs typeface="Segoe UI Semibold" panose="020B0702040204020203" pitchFamily="34" charset="0"/>
            </a:rPr>
            <a:t> Sales Trend</a:t>
          </a:r>
          <a:endParaRPr lang="en-IN" sz="1200" i="1">
            <a:solidFill>
              <a:schemeClr val="tx1"/>
            </a:solidFill>
            <a:latin typeface="Segoe UI Semibold" panose="020B0702040204020203" pitchFamily="34" charset="0"/>
            <a:cs typeface="Segoe UI Semibold" panose="020B0702040204020203" pitchFamily="34" charset="0"/>
          </a:endParaRPr>
        </a:p>
      </xdr:txBody>
    </xdr:sp>
    <xdr:clientData/>
  </xdr:twoCellAnchor>
  <xdr:twoCellAnchor>
    <xdr:from>
      <xdr:col>15</xdr:col>
      <xdr:colOff>211667</xdr:colOff>
      <xdr:row>19</xdr:row>
      <xdr:rowOff>135466</xdr:rowOff>
    </xdr:from>
    <xdr:to>
      <xdr:col>21</xdr:col>
      <xdr:colOff>152401</xdr:colOff>
      <xdr:row>32</xdr:row>
      <xdr:rowOff>135466</xdr:rowOff>
    </xdr:to>
    <mc:AlternateContent xmlns:mc="http://schemas.openxmlformats.org/markup-compatibility/2006">
      <mc:Choice xmlns:cx4="http://schemas.microsoft.com/office/drawing/2016/5/10/chartex" Requires="cx4">
        <xdr:graphicFrame macro="">
          <xdr:nvGraphicFramePr>
            <xdr:cNvPr id="34" name="Chart 33">
              <a:extLst>
                <a:ext uri="{FF2B5EF4-FFF2-40B4-BE49-F238E27FC236}">
                  <a16:creationId xmlns:a16="http://schemas.microsoft.com/office/drawing/2014/main" id="{8D04BAEC-B5E2-469F-8634-6D07536180A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9355667" y="3674533"/>
              <a:ext cx="3598334" cy="242146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135467</xdr:colOff>
      <xdr:row>18</xdr:row>
      <xdr:rowOff>50801</xdr:rowOff>
    </xdr:from>
    <xdr:to>
      <xdr:col>18</xdr:col>
      <xdr:colOff>59267</xdr:colOff>
      <xdr:row>19</xdr:row>
      <xdr:rowOff>143935</xdr:rowOff>
    </xdr:to>
    <xdr:sp macro="" textlink="">
      <xdr:nvSpPr>
        <xdr:cNvPr id="35" name="TextBox 34">
          <a:extLst>
            <a:ext uri="{FF2B5EF4-FFF2-40B4-BE49-F238E27FC236}">
              <a16:creationId xmlns:a16="http://schemas.microsoft.com/office/drawing/2014/main" id="{C034A5A2-9205-4768-8F19-14DA1B7A4EF9}"/>
            </a:ext>
          </a:extLst>
        </xdr:cNvPr>
        <xdr:cNvSpPr txBox="1"/>
      </xdr:nvSpPr>
      <xdr:spPr>
        <a:xfrm>
          <a:off x="9279467" y="3403601"/>
          <a:ext cx="1752600" cy="279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i="1">
              <a:solidFill>
                <a:schemeClr val="tx1"/>
              </a:solidFill>
              <a:latin typeface="Segoe UI Semibold" panose="020B0702040204020203" pitchFamily="34" charset="0"/>
              <a:cs typeface="Segoe UI Semibold" panose="020B0702040204020203" pitchFamily="34" charset="0"/>
            </a:rPr>
            <a:t>Total Sales</a:t>
          </a:r>
          <a:r>
            <a:rPr lang="en-IN" sz="1200" i="1" baseline="0">
              <a:solidFill>
                <a:schemeClr val="tx1"/>
              </a:solidFill>
              <a:latin typeface="Segoe UI Semibold" panose="020B0702040204020203" pitchFamily="34" charset="0"/>
              <a:cs typeface="Segoe UI Semibold" panose="020B0702040204020203" pitchFamily="34" charset="0"/>
            </a:rPr>
            <a:t> by State</a:t>
          </a:r>
          <a:endParaRPr lang="en-IN" sz="1200" i="1">
            <a:solidFill>
              <a:schemeClr val="tx1"/>
            </a:solidFill>
            <a:latin typeface="Segoe UI Semibold" panose="020B0702040204020203" pitchFamily="34" charset="0"/>
            <a:cs typeface="Segoe UI Semibold" panose="020B0702040204020203" pitchFamily="34" charset="0"/>
          </a:endParaRPr>
        </a:p>
      </xdr:txBody>
    </xdr:sp>
    <xdr:clientData/>
  </xdr:twoCellAnchor>
  <xdr:twoCellAnchor>
    <xdr:from>
      <xdr:col>10</xdr:col>
      <xdr:colOff>389468</xdr:colOff>
      <xdr:row>23</xdr:row>
      <xdr:rowOff>25400</xdr:rowOff>
    </xdr:from>
    <xdr:to>
      <xdr:col>15</xdr:col>
      <xdr:colOff>177801</xdr:colOff>
      <xdr:row>33</xdr:row>
      <xdr:rowOff>76200</xdr:rowOff>
    </xdr:to>
    <xdr:graphicFrame macro="">
      <xdr:nvGraphicFramePr>
        <xdr:cNvPr id="37" name="Chart 36">
          <a:extLst>
            <a:ext uri="{FF2B5EF4-FFF2-40B4-BE49-F238E27FC236}">
              <a16:creationId xmlns:a16="http://schemas.microsoft.com/office/drawing/2014/main" id="{0F146174-382F-48B6-8D3F-E129C06987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601133</xdr:colOff>
      <xdr:row>21</xdr:row>
      <xdr:rowOff>33866</xdr:rowOff>
    </xdr:from>
    <xdr:to>
      <xdr:col>14</xdr:col>
      <xdr:colOff>245532</xdr:colOff>
      <xdr:row>22</xdr:row>
      <xdr:rowOff>152400</xdr:rowOff>
    </xdr:to>
    <xdr:sp macro="" textlink="">
      <xdr:nvSpPr>
        <xdr:cNvPr id="39" name="TextBox 38">
          <a:extLst>
            <a:ext uri="{FF2B5EF4-FFF2-40B4-BE49-F238E27FC236}">
              <a16:creationId xmlns:a16="http://schemas.microsoft.com/office/drawing/2014/main" id="{A82848D6-AC7F-44CF-AAAF-FB4229A31E73}"/>
            </a:ext>
          </a:extLst>
        </xdr:cNvPr>
        <xdr:cNvSpPr txBox="1"/>
      </xdr:nvSpPr>
      <xdr:spPr>
        <a:xfrm>
          <a:off x="6697133" y="3945466"/>
          <a:ext cx="2082799" cy="304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i="1">
              <a:solidFill>
                <a:schemeClr val="tx1"/>
              </a:solidFill>
              <a:latin typeface="Segoe UI Semibold" panose="020B0702040204020203" pitchFamily="34" charset="0"/>
              <a:cs typeface="Segoe UI Semibold" panose="020B0702040204020203" pitchFamily="34" charset="0"/>
            </a:rPr>
            <a:t>Sales</a:t>
          </a:r>
          <a:r>
            <a:rPr lang="en-IN" sz="1200" i="1" baseline="0">
              <a:solidFill>
                <a:schemeClr val="tx1"/>
              </a:solidFill>
              <a:latin typeface="Segoe UI Semibold" panose="020B0702040204020203" pitchFamily="34" charset="0"/>
              <a:cs typeface="Segoe UI Semibold" panose="020B0702040204020203" pitchFamily="34" charset="0"/>
            </a:rPr>
            <a:t> by Customer Segment</a:t>
          </a:r>
          <a:endParaRPr lang="en-IN" sz="1200" i="1">
            <a:solidFill>
              <a:schemeClr val="tx1"/>
            </a:solidFill>
            <a:latin typeface="Segoe UI Semibold" panose="020B0702040204020203" pitchFamily="34" charset="0"/>
            <a:cs typeface="Segoe UI Semibold" panose="020B0702040204020203" pitchFamily="34" charset="0"/>
          </a:endParaRPr>
        </a:p>
      </xdr:txBody>
    </xdr:sp>
    <xdr:clientData/>
  </xdr:twoCellAnchor>
  <xdr:twoCellAnchor>
    <xdr:from>
      <xdr:col>9</xdr:col>
      <xdr:colOff>245533</xdr:colOff>
      <xdr:row>12</xdr:row>
      <xdr:rowOff>50800</xdr:rowOff>
    </xdr:from>
    <xdr:to>
      <xdr:col>14</xdr:col>
      <xdr:colOff>575733</xdr:colOff>
      <xdr:row>20</xdr:row>
      <xdr:rowOff>78318</xdr:rowOff>
    </xdr:to>
    <xdr:graphicFrame macro="">
      <xdr:nvGraphicFramePr>
        <xdr:cNvPr id="41" name="Chart 40">
          <a:extLst>
            <a:ext uri="{FF2B5EF4-FFF2-40B4-BE49-F238E27FC236}">
              <a16:creationId xmlns:a16="http://schemas.microsoft.com/office/drawing/2014/main" id="{E06B03FE-242F-4316-ADDF-D39FDEDEFE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203200</xdr:colOff>
      <xdr:row>10</xdr:row>
      <xdr:rowOff>156634</xdr:rowOff>
    </xdr:from>
    <xdr:to>
      <xdr:col>12</xdr:col>
      <xdr:colOff>127000</xdr:colOff>
      <xdr:row>12</xdr:row>
      <xdr:rowOff>63502</xdr:rowOff>
    </xdr:to>
    <xdr:sp macro="" textlink="">
      <xdr:nvSpPr>
        <xdr:cNvPr id="43" name="TextBox 42">
          <a:extLst>
            <a:ext uri="{FF2B5EF4-FFF2-40B4-BE49-F238E27FC236}">
              <a16:creationId xmlns:a16="http://schemas.microsoft.com/office/drawing/2014/main" id="{500A7FE1-D1B6-4250-A023-54B63CDEE082}"/>
            </a:ext>
          </a:extLst>
        </xdr:cNvPr>
        <xdr:cNvSpPr txBox="1"/>
      </xdr:nvSpPr>
      <xdr:spPr>
        <a:xfrm>
          <a:off x="5689600" y="2019301"/>
          <a:ext cx="1752600" cy="279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i="1">
              <a:solidFill>
                <a:schemeClr val="tx1"/>
              </a:solidFill>
              <a:latin typeface="Segoe UI Semibold" panose="020B0702040204020203" pitchFamily="34" charset="0"/>
              <a:cs typeface="Segoe UI Semibold" panose="020B0702040204020203" pitchFamily="34" charset="0"/>
            </a:rPr>
            <a:t>Profit</a:t>
          </a:r>
          <a:r>
            <a:rPr lang="en-IN" sz="1200" i="1" baseline="0">
              <a:solidFill>
                <a:schemeClr val="tx1"/>
              </a:solidFill>
              <a:latin typeface="Segoe UI Semibold" panose="020B0702040204020203" pitchFamily="34" charset="0"/>
              <a:cs typeface="Segoe UI Semibold" panose="020B0702040204020203" pitchFamily="34" charset="0"/>
            </a:rPr>
            <a:t> by Category</a:t>
          </a:r>
          <a:endParaRPr lang="en-IN" sz="1200" i="1">
            <a:solidFill>
              <a:schemeClr val="tx1"/>
            </a:solidFill>
            <a:latin typeface="Segoe UI Semibold" panose="020B0702040204020203" pitchFamily="34" charset="0"/>
            <a:cs typeface="Segoe UI Semibold" panose="020B0702040204020203" pitchFamily="34" charset="0"/>
          </a:endParaRPr>
        </a:p>
      </xdr:txBody>
    </xdr:sp>
    <xdr:clientData/>
  </xdr:twoCellAnchor>
  <xdr:twoCellAnchor>
    <xdr:from>
      <xdr:col>4</xdr:col>
      <xdr:colOff>33866</xdr:colOff>
      <xdr:row>12</xdr:row>
      <xdr:rowOff>50800</xdr:rowOff>
    </xdr:from>
    <xdr:to>
      <xdr:col>9</xdr:col>
      <xdr:colOff>25400</xdr:colOff>
      <xdr:row>20</xdr:row>
      <xdr:rowOff>127001</xdr:rowOff>
    </xdr:to>
    <xdr:graphicFrame macro="">
      <xdr:nvGraphicFramePr>
        <xdr:cNvPr id="45" name="Chart 44">
          <a:extLst>
            <a:ext uri="{FF2B5EF4-FFF2-40B4-BE49-F238E27FC236}">
              <a16:creationId xmlns:a16="http://schemas.microsoft.com/office/drawing/2014/main" id="{8C96D5A5-DB18-4A1E-89DB-1375A12AF2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xdr:col>
      <xdr:colOff>529167</xdr:colOff>
      <xdr:row>10</xdr:row>
      <xdr:rowOff>165101</xdr:rowOff>
    </xdr:from>
    <xdr:to>
      <xdr:col>6</xdr:col>
      <xdr:colOff>452967</xdr:colOff>
      <xdr:row>12</xdr:row>
      <xdr:rowOff>71969</xdr:rowOff>
    </xdr:to>
    <xdr:sp macro="" textlink="">
      <xdr:nvSpPr>
        <xdr:cNvPr id="47" name="TextBox 46">
          <a:extLst>
            <a:ext uri="{FF2B5EF4-FFF2-40B4-BE49-F238E27FC236}">
              <a16:creationId xmlns:a16="http://schemas.microsoft.com/office/drawing/2014/main" id="{9E8D6756-B654-4DE7-812E-5347EFBA26F1}"/>
            </a:ext>
          </a:extLst>
        </xdr:cNvPr>
        <xdr:cNvSpPr txBox="1"/>
      </xdr:nvSpPr>
      <xdr:spPr>
        <a:xfrm>
          <a:off x="2357967" y="2027768"/>
          <a:ext cx="1752600" cy="279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i="1">
              <a:solidFill>
                <a:schemeClr val="tx1"/>
              </a:solidFill>
              <a:latin typeface="Segoe UI Semibold" panose="020B0702040204020203" pitchFamily="34" charset="0"/>
              <a:cs typeface="Segoe UI Semibold" panose="020B0702040204020203" pitchFamily="34" charset="0"/>
            </a:rPr>
            <a:t>Sales</a:t>
          </a:r>
          <a:r>
            <a:rPr lang="en-IN" sz="1200" i="1" baseline="0">
              <a:solidFill>
                <a:schemeClr val="tx1"/>
              </a:solidFill>
              <a:latin typeface="Segoe UI Semibold" panose="020B0702040204020203" pitchFamily="34" charset="0"/>
              <a:cs typeface="Segoe UI Semibold" panose="020B0702040204020203" pitchFamily="34" charset="0"/>
            </a:rPr>
            <a:t> by Top 5 Cities</a:t>
          </a:r>
          <a:endParaRPr lang="en-IN" sz="1200" i="1">
            <a:solidFill>
              <a:schemeClr val="tx1"/>
            </a:solidFill>
            <a:latin typeface="Segoe UI Semibold" panose="020B0702040204020203" pitchFamily="34" charset="0"/>
            <a:cs typeface="Segoe UI Semibold" panose="020B0702040204020203" pitchFamily="34" charset="0"/>
          </a:endParaRPr>
        </a:p>
      </xdr:txBody>
    </xdr:sp>
    <xdr:clientData/>
  </xdr:twoCellAnchor>
  <xdr:twoCellAnchor>
    <xdr:from>
      <xdr:col>15</xdr:col>
      <xdr:colOff>211667</xdr:colOff>
      <xdr:row>12</xdr:row>
      <xdr:rowOff>8467</xdr:rowOff>
    </xdr:from>
    <xdr:to>
      <xdr:col>21</xdr:col>
      <xdr:colOff>115356</xdr:colOff>
      <xdr:row>17</xdr:row>
      <xdr:rowOff>101600</xdr:rowOff>
    </xdr:to>
    <xdr:graphicFrame macro="">
      <xdr:nvGraphicFramePr>
        <xdr:cNvPr id="48" name="Chart 47">
          <a:extLst>
            <a:ext uri="{FF2B5EF4-FFF2-40B4-BE49-F238E27FC236}">
              <a16:creationId xmlns:a16="http://schemas.microsoft.com/office/drawing/2014/main" id="{A8B402C1-AE49-4DD4-8B5D-11B05D61A4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1</xdr:col>
      <xdr:colOff>355600</xdr:colOff>
      <xdr:row>5</xdr:row>
      <xdr:rowOff>169334</xdr:rowOff>
    </xdr:from>
    <xdr:to>
      <xdr:col>3</xdr:col>
      <xdr:colOff>364067</xdr:colOff>
      <xdr:row>12</xdr:row>
      <xdr:rowOff>76202</xdr:rowOff>
    </xdr:to>
    <mc:AlternateContent xmlns:mc="http://schemas.openxmlformats.org/markup-compatibility/2006">
      <mc:Choice xmlns:a14="http://schemas.microsoft.com/office/drawing/2010/main" Requires="a14">
        <xdr:graphicFrame macro="">
          <xdr:nvGraphicFramePr>
            <xdr:cNvPr id="50" name="Years (Order Date) 1">
              <a:extLst>
                <a:ext uri="{FF2B5EF4-FFF2-40B4-BE49-F238E27FC236}">
                  <a16:creationId xmlns:a16="http://schemas.microsoft.com/office/drawing/2014/main" id="{1A073170-56B8-4254-B355-291D55F7762B}"/>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dr:sp macro="" textlink="">
          <xdr:nvSpPr>
            <xdr:cNvPr id="0" name=""/>
            <xdr:cNvSpPr>
              <a:spLocks noTextEdit="1"/>
            </xdr:cNvSpPr>
          </xdr:nvSpPr>
          <xdr:spPr>
            <a:xfrm>
              <a:off x="965200" y="1100667"/>
              <a:ext cx="1227667" cy="12107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135465</xdr:colOff>
      <xdr:row>10</xdr:row>
      <xdr:rowOff>154517</xdr:rowOff>
    </xdr:from>
    <xdr:to>
      <xdr:col>18</xdr:col>
      <xdr:colOff>59265</xdr:colOff>
      <xdr:row>12</xdr:row>
      <xdr:rowOff>61385</xdr:rowOff>
    </xdr:to>
    <xdr:sp macro="" textlink="">
      <xdr:nvSpPr>
        <xdr:cNvPr id="49" name="TextBox 48">
          <a:extLst>
            <a:ext uri="{FF2B5EF4-FFF2-40B4-BE49-F238E27FC236}">
              <a16:creationId xmlns:a16="http://schemas.microsoft.com/office/drawing/2014/main" id="{4B6A1644-4D84-413B-AA60-68009D21F586}"/>
            </a:ext>
          </a:extLst>
        </xdr:cNvPr>
        <xdr:cNvSpPr txBox="1"/>
      </xdr:nvSpPr>
      <xdr:spPr>
        <a:xfrm>
          <a:off x="9279465" y="2017184"/>
          <a:ext cx="1752600" cy="279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i="1">
              <a:solidFill>
                <a:schemeClr val="tx1"/>
              </a:solidFill>
              <a:latin typeface="Segoe UI Semibold" panose="020B0702040204020203" pitchFamily="34" charset="0"/>
              <a:cs typeface="Segoe UI Semibold" panose="020B0702040204020203" pitchFamily="34" charset="0"/>
            </a:rPr>
            <a:t>Sales</a:t>
          </a:r>
          <a:r>
            <a:rPr lang="en-IN" sz="1200" i="1" baseline="0">
              <a:solidFill>
                <a:schemeClr val="tx1"/>
              </a:solidFill>
              <a:latin typeface="Segoe UI Semibold" panose="020B0702040204020203" pitchFamily="34" charset="0"/>
              <a:cs typeface="Segoe UI Semibold" panose="020B0702040204020203" pitchFamily="34" charset="0"/>
            </a:rPr>
            <a:t> by Region</a:t>
          </a:r>
        </a:p>
        <a:p>
          <a:pPr algn="l"/>
          <a:endParaRPr lang="en-IN" sz="1200" i="1">
            <a:solidFill>
              <a:schemeClr val="tx1"/>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1</xdr:col>
      <xdr:colOff>347133</xdr:colOff>
      <xdr:row>12</xdr:row>
      <xdr:rowOff>177800</xdr:rowOff>
    </xdr:from>
    <xdr:to>
      <xdr:col>3</xdr:col>
      <xdr:colOff>372533</xdr:colOff>
      <xdr:row>21</xdr:row>
      <xdr:rowOff>8466</xdr:rowOff>
    </xdr:to>
    <mc:AlternateContent xmlns:mc="http://schemas.openxmlformats.org/markup-compatibility/2006">
      <mc:Choice xmlns:a14="http://schemas.microsoft.com/office/drawing/2010/main" Requires="a14">
        <xdr:graphicFrame macro="">
          <xdr:nvGraphicFramePr>
            <xdr:cNvPr id="51" name="Quarters (Order Date) 1">
              <a:extLst>
                <a:ext uri="{FF2B5EF4-FFF2-40B4-BE49-F238E27FC236}">
                  <a16:creationId xmlns:a16="http://schemas.microsoft.com/office/drawing/2014/main" id="{4B282C39-AD6A-42E7-9879-64243BC15108}"/>
                </a:ext>
              </a:extLst>
            </xdr:cNvPr>
            <xdr:cNvGraphicFramePr/>
          </xdr:nvGraphicFramePr>
          <xdr:xfrm>
            <a:off x="0" y="0"/>
            <a:ext cx="0" cy="0"/>
          </xdr:xfrm>
          <a:graphic>
            <a:graphicData uri="http://schemas.microsoft.com/office/drawing/2010/slicer">
              <sle:slicer xmlns:sle="http://schemas.microsoft.com/office/drawing/2010/slicer" name="Quarters (Order Date) 1"/>
            </a:graphicData>
          </a:graphic>
        </xdr:graphicFrame>
      </mc:Choice>
      <mc:Fallback>
        <xdr:sp macro="" textlink="">
          <xdr:nvSpPr>
            <xdr:cNvPr id="0" name=""/>
            <xdr:cNvSpPr>
              <a:spLocks noTextEdit="1"/>
            </xdr:cNvSpPr>
          </xdr:nvSpPr>
          <xdr:spPr>
            <a:xfrm>
              <a:off x="956733" y="2413000"/>
              <a:ext cx="1244600" cy="15070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347133</xdr:colOff>
      <xdr:row>21</xdr:row>
      <xdr:rowOff>76200</xdr:rowOff>
    </xdr:from>
    <xdr:to>
      <xdr:col>3</xdr:col>
      <xdr:colOff>355600</xdr:colOff>
      <xdr:row>32</xdr:row>
      <xdr:rowOff>160869</xdr:rowOff>
    </xdr:to>
    <mc:AlternateContent xmlns:mc="http://schemas.openxmlformats.org/markup-compatibility/2006">
      <mc:Choice xmlns:a14="http://schemas.microsoft.com/office/drawing/2010/main" Requires="a14">
        <xdr:graphicFrame macro="">
          <xdr:nvGraphicFramePr>
            <xdr:cNvPr id="52" name="Months (Order Date) 1">
              <a:extLst>
                <a:ext uri="{FF2B5EF4-FFF2-40B4-BE49-F238E27FC236}">
                  <a16:creationId xmlns:a16="http://schemas.microsoft.com/office/drawing/2014/main" id="{BC31C153-D539-491E-9FD4-888D38E7603C}"/>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dr:sp macro="" textlink="">
          <xdr:nvSpPr>
            <xdr:cNvPr id="0" name=""/>
            <xdr:cNvSpPr>
              <a:spLocks noTextEdit="1"/>
            </xdr:cNvSpPr>
          </xdr:nvSpPr>
          <xdr:spPr>
            <a:xfrm>
              <a:off x="956733" y="3987800"/>
              <a:ext cx="1227667" cy="21336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nakanth R" refreshedDate="46030.384458796296" createdVersion="8" refreshedVersion="8" minRefreshableVersion="3" recordCount="1000" xr:uid="{FD8D25BD-A7C7-42B6-B807-5136A9B34AAD}">
  <cacheSource type="worksheet">
    <worksheetSource name="Table3"/>
  </cacheSource>
  <cacheFields count="28">
    <cacheField name="Order ID" numFmtId="0">
      <sharedItems/>
    </cacheField>
    <cacheField name="Order Date" numFmtId="14">
      <sharedItems containsSemiMixedTypes="0" containsNonDate="0" containsDate="1" containsString="0" minDate="2023-11-05T00:00:00" maxDate="2025-11-05T00:00:00" count="540">
        <d v="2024-12-19T00:00:00"/>
        <d v="2025-07-21T00:00:00"/>
        <d v="2025-10-22T00:00:00"/>
        <d v="2024-07-24T00:00:00"/>
        <d v="2024-10-19T00:00:00"/>
        <d v="2024-03-24T00:00:00"/>
        <d v="2024-11-22T00:00:00"/>
        <d v="2025-03-28T00:00:00"/>
        <d v="2025-10-12T00:00:00"/>
        <d v="2024-09-01T00:00:00"/>
        <d v="2024-06-05T00:00:00"/>
        <d v="2024-11-21T00:00:00"/>
        <d v="2024-02-18T00:00:00"/>
        <d v="2025-06-18T00:00:00"/>
        <d v="2024-09-06T00:00:00"/>
        <d v="2023-12-30T00:00:00"/>
        <d v="2025-10-30T00:00:00"/>
        <d v="2025-11-02T00:00:00"/>
        <d v="2024-10-25T00:00:00"/>
        <d v="2024-03-13T00:00:00"/>
        <d v="2024-08-25T00:00:00"/>
        <d v="2024-03-11T00:00:00"/>
        <d v="2025-06-04T00:00:00"/>
        <d v="2024-07-02T00:00:00"/>
        <d v="2024-03-22T00:00:00"/>
        <d v="2024-07-13T00:00:00"/>
        <d v="2024-07-29T00:00:00"/>
        <d v="2023-11-23T00:00:00"/>
        <d v="2025-01-24T00:00:00"/>
        <d v="2025-04-04T00:00:00"/>
        <d v="2025-08-11T00:00:00"/>
        <d v="2024-02-15T00:00:00"/>
        <d v="2024-06-08T00:00:00"/>
        <d v="2024-07-15T00:00:00"/>
        <d v="2025-03-05T00:00:00"/>
        <d v="2023-12-14T00:00:00"/>
        <d v="2024-07-10T00:00:00"/>
        <d v="2023-12-03T00:00:00"/>
        <d v="2024-12-27T00:00:00"/>
        <d v="2025-10-14T00:00:00"/>
        <d v="2024-11-15T00:00:00"/>
        <d v="2025-05-24T00:00:00"/>
        <d v="2024-07-04T00:00:00"/>
        <d v="2024-11-14T00:00:00"/>
        <d v="2024-02-29T00:00:00"/>
        <d v="2024-10-27T00:00:00"/>
        <d v="2023-12-21T00:00:00"/>
        <d v="2025-06-07T00:00:00"/>
        <d v="2024-04-02T00:00:00"/>
        <d v="2025-03-31T00:00:00"/>
        <d v="2024-03-10T00:00:00"/>
        <d v="2025-07-03T00:00:00"/>
        <d v="2025-03-25T00:00:00"/>
        <d v="2025-02-24T00:00:00"/>
        <d v="2024-05-19T00:00:00"/>
        <d v="2023-12-15T00:00:00"/>
        <d v="2024-10-14T00:00:00"/>
        <d v="2024-06-15T00:00:00"/>
        <d v="2024-08-07T00:00:00"/>
        <d v="2024-09-02T00:00:00"/>
        <d v="2024-10-12T00:00:00"/>
        <d v="2024-03-20T00:00:00"/>
        <d v="2025-07-12T00:00:00"/>
        <d v="2025-08-06T00:00:00"/>
        <d v="2023-11-16T00:00:00"/>
        <d v="2024-01-16T00:00:00"/>
        <d v="2025-10-24T00:00:00"/>
        <d v="2024-06-10T00:00:00"/>
        <d v="2025-03-08T00:00:00"/>
        <d v="2025-06-22T00:00:00"/>
        <d v="2025-08-21T00:00:00"/>
        <d v="2024-09-12T00:00:00"/>
        <d v="2024-01-19T00:00:00"/>
        <d v="2024-04-17T00:00:00"/>
        <d v="2025-06-25T00:00:00"/>
        <d v="2024-09-03T00:00:00"/>
        <d v="2024-08-10T00:00:00"/>
        <d v="2024-11-16T00:00:00"/>
        <d v="2024-01-03T00:00:00"/>
        <d v="2024-11-04T00:00:00"/>
        <d v="2025-08-02T00:00:00"/>
        <d v="2024-09-15T00:00:00"/>
        <d v="2024-12-22T00:00:00"/>
        <d v="2025-10-01T00:00:00"/>
        <d v="2024-01-08T00:00:00"/>
        <d v="2025-02-05T00:00:00"/>
        <d v="2025-04-15T00:00:00"/>
        <d v="2024-12-26T00:00:00"/>
        <d v="2025-03-29T00:00:00"/>
        <d v="2023-11-07T00:00:00"/>
        <d v="2023-12-02T00:00:00"/>
        <d v="2025-07-19T00:00:00"/>
        <d v="2024-05-01T00:00:00"/>
        <d v="2024-06-20T00:00:00"/>
        <d v="2024-04-16T00:00:00"/>
        <d v="2024-08-24T00:00:00"/>
        <d v="2025-10-21T00:00:00"/>
        <d v="2024-04-27T00:00:00"/>
        <d v="2025-08-08T00:00:00"/>
        <d v="2025-05-27T00:00:00"/>
        <d v="2024-10-01T00:00:00"/>
        <d v="2025-06-28T00:00:00"/>
        <d v="2025-10-23T00:00:00"/>
        <d v="2024-04-19T00:00:00"/>
        <d v="2024-09-21T00:00:00"/>
        <d v="2025-07-20T00:00:00"/>
        <d v="2023-12-01T00:00:00"/>
        <d v="2024-09-09T00:00:00"/>
        <d v="2023-11-05T00:00:00"/>
        <d v="2025-07-22T00:00:00"/>
        <d v="2024-04-22T00:00:00"/>
        <d v="2023-12-04T00:00:00"/>
        <d v="2025-08-12T00:00:00"/>
        <d v="2025-10-10T00:00:00"/>
        <d v="2024-09-14T00:00:00"/>
        <d v="2025-01-22T00:00:00"/>
        <d v="2025-09-23T00:00:00"/>
        <d v="2025-04-28T00:00:00"/>
        <d v="2025-07-04T00:00:00"/>
        <d v="2024-04-12T00:00:00"/>
        <d v="2025-10-31T00:00:00"/>
        <d v="2025-03-09T00:00:00"/>
        <d v="2025-02-09T00:00:00"/>
        <d v="2025-07-07T00:00:00"/>
        <d v="2025-01-01T00:00:00"/>
        <d v="2024-08-01T00:00:00"/>
        <d v="2024-05-31T00:00:00"/>
        <d v="2024-01-31T00:00:00"/>
        <d v="2024-04-05T00:00:00"/>
        <d v="2024-04-24T00:00:00"/>
        <d v="2024-03-16T00:00:00"/>
        <d v="2024-02-04T00:00:00"/>
        <d v="2024-10-18T00:00:00"/>
        <d v="2023-11-18T00:00:00"/>
        <d v="2025-03-06T00:00:00"/>
        <d v="2024-06-07T00:00:00"/>
        <d v="2025-02-23T00:00:00"/>
        <d v="2024-10-22T00:00:00"/>
        <d v="2025-04-01T00:00:00"/>
        <d v="2025-10-20T00:00:00"/>
        <d v="2025-03-14T00:00:00"/>
        <d v="2023-12-16T00:00:00"/>
        <d v="2024-04-21T00:00:00"/>
        <d v="2024-11-28T00:00:00"/>
        <d v="2025-03-18T00:00:00"/>
        <d v="2024-07-07T00:00:00"/>
        <d v="2024-12-20T00:00:00"/>
        <d v="2023-11-13T00:00:00"/>
        <d v="2025-01-03T00:00:00"/>
        <d v="2025-09-22T00:00:00"/>
        <d v="2024-12-09T00:00:00"/>
        <d v="2024-03-08T00:00:00"/>
        <d v="2024-07-14T00:00:00"/>
        <d v="2025-09-24T00:00:00"/>
        <d v="2024-07-03T00:00:00"/>
        <d v="2024-06-27T00:00:00"/>
        <d v="2025-07-15T00:00:00"/>
        <d v="2025-04-05T00:00:00"/>
        <d v="2024-02-13T00:00:00"/>
        <d v="2025-06-03T00:00:00"/>
        <d v="2025-04-02T00:00:00"/>
        <d v="2025-03-01T00:00:00"/>
        <d v="2025-05-28T00:00:00"/>
        <d v="2025-03-30T00:00:00"/>
        <d v="2024-12-12T00:00:00"/>
        <d v="2024-07-28T00:00:00"/>
        <d v="2025-10-02T00:00:00"/>
        <d v="2024-11-19T00:00:00"/>
        <d v="2024-06-06T00:00:00"/>
        <d v="2025-11-04T00:00:00"/>
        <d v="2025-08-20T00:00:00"/>
        <d v="2024-06-01T00:00:00"/>
        <d v="2024-07-05T00:00:00"/>
        <d v="2025-02-20T00:00:00"/>
        <d v="2025-03-27T00:00:00"/>
        <d v="2024-10-31T00:00:00"/>
        <d v="2024-02-23T00:00:00"/>
        <d v="2025-05-07T00:00:00"/>
        <d v="2025-04-29T00:00:00"/>
        <d v="2025-09-30T00:00:00"/>
        <d v="2024-05-02T00:00:00"/>
        <d v="2025-03-15T00:00:00"/>
        <d v="2024-11-29T00:00:00"/>
        <d v="2024-05-25T00:00:00"/>
        <d v="2025-04-19T00:00:00"/>
        <d v="2025-08-09T00:00:00"/>
        <d v="2025-07-08T00:00:00"/>
        <d v="2025-01-07T00:00:00"/>
        <d v="2024-06-04T00:00:00"/>
        <d v="2024-03-06T00:00:00"/>
        <d v="2023-11-19T00:00:00"/>
        <d v="2024-04-25T00:00:00"/>
        <d v="2025-08-05T00:00:00"/>
        <d v="2024-08-11T00:00:00"/>
        <d v="2025-08-27T00:00:00"/>
        <d v="2024-12-15T00:00:00"/>
        <d v="2024-09-18T00:00:00"/>
        <d v="2024-03-05T00:00:00"/>
        <d v="2025-08-22T00:00:00"/>
        <d v="2024-08-26T00:00:00"/>
        <d v="2024-12-25T00:00:00"/>
        <d v="2024-09-30T00:00:00"/>
        <d v="2025-05-29T00:00:00"/>
        <d v="2025-05-01T00:00:00"/>
        <d v="2025-06-02T00:00:00"/>
        <d v="2024-05-15T00:00:00"/>
        <d v="2025-09-06T00:00:00"/>
        <d v="2024-08-05T00:00:00"/>
        <d v="2024-01-22T00:00:00"/>
        <d v="2024-06-19T00:00:00"/>
        <d v="2023-12-19T00:00:00"/>
        <d v="2025-09-16T00:00:00"/>
        <d v="2024-11-23T00:00:00"/>
        <d v="2023-11-06T00:00:00"/>
        <d v="2024-09-22T00:00:00"/>
        <d v="2025-09-13T00:00:00"/>
        <d v="2024-07-25T00:00:00"/>
        <d v="2024-01-07T00:00:00"/>
        <d v="2025-06-05T00:00:00"/>
        <d v="2025-01-26T00:00:00"/>
        <d v="2025-09-15T00:00:00"/>
        <d v="2024-06-17T00:00:00"/>
        <d v="2025-05-21T00:00:00"/>
        <d v="2025-04-21T00:00:00"/>
        <d v="2025-06-09T00:00:00"/>
        <d v="2025-06-12T00:00:00"/>
        <d v="2025-06-01T00:00:00"/>
        <d v="2025-10-06T00:00:00"/>
        <d v="2024-08-14T00:00:00"/>
        <d v="2025-09-07T00:00:00"/>
        <d v="2025-06-15T00:00:00"/>
        <d v="2025-01-15T00:00:00"/>
        <d v="2024-04-29T00:00:00"/>
        <d v="2025-10-19T00:00:00"/>
        <d v="2024-07-19T00:00:00"/>
        <d v="2024-01-14T00:00:00"/>
        <d v="2023-12-05T00:00:00"/>
        <d v="2024-03-21T00:00:00"/>
        <d v="2025-02-12T00:00:00"/>
        <d v="2025-04-14T00:00:00"/>
        <d v="2024-07-30T00:00:00"/>
        <d v="2024-12-02T00:00:00"/>
        <d v="2024-02-20T00:00:00"/>
        <d v="2024-12-30T00:00:00"/>
        <d v="2025-05-30T00:00:00"/>
        <d v="2024-06-18T00:00:00"/>
        <d v="2025-02-19T00:00:00"/>
        <d v="2024-04-06T00:00:00"/>
        <d v="2023-12-24T00:00:00"/>
        <d v="2024-05-16T00:00:00"/>
        <d v="2025-08-24T00:00:00"/>
        <d v="2024-03-27T00:00:00"/>
        <d v="2023-12-25T00:00:00"/>
        <d v="2024-04-07T00:00:00"/>
        <d v="2024-05-11T00:00:00"/>
        <d v="2024-05-30T00:00:00"/>
        <d v="2025-04-10T00:00:00"/>
        <d v="2025-02-03T00:00:00"/>
        <d v="2024-05-14T00:00:00"/>
        <d v="2025-02-25T00:00:00"/>
        <d v="2024-05-21T00:00:00"/>
        <d v="2024-10-08T00:00:00"/>
        <d v="2024-09-04T00:00:00"/>
        <d v="2024-02-28T00:00:00"/>
        <d v="2024-10-26T00:00:00"/>
        <d v="2025-04-25T00:00:00"/>
        <d v="2025-08-14T00:00:00"/>
        <d v="2024-09-16T00:00:00"/>
        <d v="2024-12-13T00:00:00"/>
        <d v="2024-05-05T00:00:00"/>
        <d v="2024-07-23T00:00:00"/>
        <d v="2025-04-17T00:00:00"/>
        <d v="2024-05-27T00:00:00"/>
        <d v="2024-10-07T00:00:00"/>
        <d v="2025-08-30T00:00:00"/>
        <d v="2025-05-03T00:00:00"/>
        <d v="2025-02-18T00:00:00"/>
        <d v="2025-03-19T00:00:00"/>
        <d v="2025-02-28T00:00:00"/>
        <d v="2024-12-08T00:00:00"/>
        <d v="2024-07-18T00:00:00"/>
        <d v="2025-10-13T00:00:00"/>
        <d v="2024-08-03T00:00:00"/>
        <d v="2023-12-29T00:00:00"/>
        <d v="2025-04-22T00:00:00"/>
        <d v="2025-04-13T00:00:00"/>
        <d v="2025-05-26T00:00:00"/>
        <d v="2024-06-11T00:00:00"/>
        <d v="2024-04-01T00:00:00"/>
        <d v="2023-12-09T00:00:00"/>
        <d v="2024-06-28T00:00:00"/>
        <d v="2025-10-18T00:00:00"/>
        <d v="2024-04-13T00:00:00"/>
        <d v="2024-09-27T00:00:00"/>
        <d v="2024-05-10T00:00:00"/>
        <d v="2025-10-04T00:00:00"/>
        <d v="2025-06-21T00:00:00"/>
        <d v="2024-04-20T00:00:00"/>
        <d v="2024-04-08T00:00:00"/>
        <d v="2024-08-04T00:00:00"/>
        <d v="2024-01-13T00:00:00"/>
        <d v="2024-10-04T00:00:00"/>
        <d v="2025-06-30T00:00:00"/>
        <d v="2025-03-07T00:00:00"/>
        <d v="2024-01-18T00:00:00"/>
        <d v="2025-05-10T00:00:00"/>
        <d v="2024-12-17T00:00:00"/>
        <d v="2025-09-03T00:00:00"/>
        <d v="2025-05-14T00:00:00"/>
        <d v="2024-09-08T00:00:00"/>
        <d v="2024-01-24T00:00:00"/>
        <d v="2024-04-04T00:00:00"/>
        <d v="2025-02-07T00:00:00"/>
        <d v="2024-10-06T00:00:00"/>
        <d v="2024-10-09T00:00:00"/>
        <d v="2024-05-07T00:00:00"/>
        <d v="2025-09-28T00:00:00"/>
        <d v="2024-09-25T00:00:00"/>
        <d v="2024-10-11T00:00:00"/>
        <d v="2023-11-14T00:00:00"/>
        <d v="2025-02-10T00:00:00"/>
        <d v="2025-07-10T00:00:00"/>
        <d v="2024-02-10T00:00:00"/>
        <d v="2024-05-28T00:00:00"/>
        <d v="2025-09-21T00:00:00"/>
        <d v="2025-01-18T00:00:00"/>
        <d v="2025-01-14T00:00:00"/>
        <d v="2024-07-01T00:00:00"/>
        <d v="2024-04-28T00:00:00"/>
        <d v="2024-08-21T00:00:00"/>
        <d v="2024-07-31T00:00:00"/>
        <d v="2025-08-26T00:00:00"/>
        <d v="2024-07-11T00:00:00"/>
        <d v="2024-10-13T00:00:00"/>
        <d v="2024-04-18T00:00:00"/>
        <d v="2024-08-06T00:00:00"/>
        <d v="2024-08-30T00:00:00"/>
        <d v="2025-06-14T00:00:00"/>
        <d v="2024-02-24T00:00:00"/>
        <d v="2024-03-23T00:00:00"/>
        <d v="2025-01-08T00:00:00"/>
        <d v="2024-03-26T00:00:00"/>
        <d v="2024-12-23T00:00:00"/>
        <d v="2024-06-25T00:00:00"/>
        <d v="2025-01-27T00:00:00"/>
        <d v="2024-10-10T00:00:00"/>
        <d v="2025-08-10T00:00:00"/>
        <d v="2024-02-25T00:00:00"/>
        <d v="2024-06-21T00:00:00"/>
        <d v="2023-12-22T00:00:00"/>
        <d v="2025-05-13T00:00:00"/>
        <d v="2024-09-23T00:00:00"/>
        <d v="2024-02-03T00:00:00"/>
        <d v="2025-02-22T00:00:00"/>
        <d v="2023-11-28T00:00:00"/>
        <d v="2025-02-11T00:00:00"/>
        <d v="2024-07-12T00:00:00"/>
        <d v="2024-08-17T00:00:00"/>
        <d v="2025-01-19T00:00:00"/>
        <d v="2025-10-11T00:00:00"/>
        <d v="2024-05-29T00:00:00"/>
        <d v="2024-12-11T00:00:00"/>
        <d v="2025-09-05T00:00:00"/>
        <d v="2024-03-18T00:00:00"/>
        <d v="2025-02-21T00:00:00"/>
        <d v="2025-02-27T00:00:00"/>
        <d v="2023-11-30T00:00:00"/>
        <d v="2023-12-11T00:00:00"/>
        <d v="2023-12-20T00:00:00"/>
        <d v="2025-06-29T00:00:00"/>
        <d v="2025-07-11T00:00:00"/>
        <d v="2025-01-16T00:00:00"/>
        <d v="2024-08-29T00:00:00"/>
        <d v="2025-04-11T00:00:00"/>
        <d v="2025-07-05T00:00:00"/>
        <d v="2025-08-16T00:00:00"/>
        <d v="2025-01-11T00:00:00"/>
        <d v="2025-09-01T00:00:00"/>
        <d v="2025-10-16T00:00:00"/>
        <d v="2024-05-03T00:00:00"/>
        <d v="2024-01-27T00:00:00"/>
        <d v="2025-04-06T00:00:00"/>
        <d v="2025-01-06T00:00:00"/>
        <d v="2024-04-10T00:00:00"/>
        <d v="2024-03-04T00:00:00"/>
        <d v="2024-07-16T00:00:00"/>
        <d v="2024-03-14T00:00:00"/>
        <d v="2024-10-24T00:00:00"/>
        <d v="2025-02-06T00:00:00"/>
        <d v="2025-03-13T00:00:00"/>
        <d v="2024-08-12T00:00:00"/>
        <d v="2025-04-30T00:00:00"/>
        <d v="2024-10-30T00:00:00"/>
        <d v="2023-12-17T00:00:00"/>
        <d v="2024-03-17T00:00:00"/>
        <d v="2023-11-22T00:00:00"/>
        <d v="2024-08-27T00:00:00"/>
        <d v="2023-12-06T00:00:00"/>
        <d v="2024-03-28T00:00:00"/>
        <d v="2025-05-06T00:00:00"/>
        <d v="2024-01-28T00:00:00"/>
        <d v="2024-05-23T00:00:00"/>
        <d v="2025-06-23T00:00:00"/>
        <d v="2025-01-31T00:00:00"/>
        <d v="2025-04-26T00:00:00"/>
        <d v="2023-11-29T00:00:00"/>
        <d v="2025-05-02T00:00:00"/>
        <d v="2024-07-08T00:00:00"/>
        <d v="2025-10-25T00:00:00"/>
        <d v="2025-10-15T00:00:00"/>
        <d v="2024-09-11T00:00:00"/>
        <d v="2025-08-13T00:00:00"/>
        <d v="2025-01-28T00:00:00"/>
        <d v="2025-08-18T00:00:00"/>
        <d v="2024-01-06T00:00:00"/>
        <d v="2024-04-26T00:00:00"/>
        <d v="2023-12-23T00:00:00"/>
        <d v="2025-01-21T00:00:00"/>
        <d v="2023-11-20T00:00:00"/>
        <d v="2024-10-05T00:00:00"/>
        <d v="2024-11-02T00:00:00"/>
        <d v="2025-04-27T00:00:00"/>
        <d v="2024-07-20T00:00:00"/>
        <d v="2024-10-02T00:00:00"/>
        <d v="2024-09-28T00:00:00"/>
        <d v="2024-09-20T00:00:00"/>
        <d v="2023-12-12T00:00:00"/>
        <d v="2024-02-14T00:00:00"/>
        <d v="2025-10-09T00:00:00"/>
        <d v="2024-03-31T00:00:00"/>
        <d v="2025-05-23T00:00:00"/>
        <d v="2024-11-11T00:00:00"/>
        <d v="2025-10-08T00:00:00"/>
        <d v="2024-04-15T00:00:00"/>
        <d v="2025-03-17T00:00:00"/>
        <d v="2024-03-30T00:00:00"/>
        <d v="2025-07-14T00:00:00"/>
        <d v="2024-09-19T00:00:00"/>
        <d v="2024-04-14T00:00:00"/>
        <d v="2024-06-14T00:00:00"/>
        <d v="2024-08-08T00:00:00"/>
        <d v="2025-07-29T00:00:00"/>
        <d v="2024-08-02T00:00:00"/>
        <d v="2025-09-02T00:00:00"/>
        <d v="2024-12-18T00:00:00"/>
        <d v="2024-10-20T00:00:00"/>
        <d v="2024-02-01T00:00:00"/>
        <d v="2024-12-24T00:00:00"/>
        <d v="2025-09-10T00:00:00"/>
        <d v="2024-05-17T00:00:00"/>
        <d v="2025-04-16T00:00:00"/>
        <d v="2024-02-11T00:00:00"/>
        <d v="2024-06-30T00:00:00"/>
        <d v="2024-11-26T00:00:00"/>
        <d v="2024-11-30T00:00:00"/>
        <d v="2025-03-11T00:00:00"/>
        <d v="2024-05-04T00:00:00"/>
        <d v="2025-08-29T00:00:00"/>
        <d v="2025-06-08T00:00:00"/>
        <d v="2024-05-09T00:00:00"/>
        <d v="2024-07-06T00:00:00"/>
        <d v="2024-11-12T00:00:00"/>
        <d v="2024-06-23T00:00:00"/>
        <d v="2024-11-06T00:00:00"/>
        <d v="2025-05-22T00:00:00"/>
        <d v="2024-02-21T00:00:00"/>
        <d v="2024-03-25T00:00:00"/>
        <d v="2025-07-18T00:00:00"/>
        <d v="2025-07-28T00:00:00"/>
        <d v="2023-11-09T00:00:00"/>
        <d v="2025-03-04T00:00:00"/>
        <d v="2024-05-12T00:00:00"/>
        <d v="2025-03-12T00:00:00"/>
        <d v="2025-01-30T00:00:00"/>
        <d v="2025-01-05T00:00:00"/>
        <d v="2025-05-15T00:00:00"/>
        <d v="2024-08-23T00:00:00"/>
        <d v="2025-04-20T00:00:00"/>
        <d v="2025-10-03T00:00:00"/>
        <d v="2024-01-01T00:00:00"/>
        <d v="2024-02-17T00:00:00"/>
        <d v="2025-03-10T00:00:00"/>
        <d v="2024-07-26T00:00:00"/>
        <d v="2025-02-17T00:00:00"/>
        <d v="2025-05-31T00:00:00"/>
        <d v="2025-06-24T00:00:00"/>
        <d v="2024-01-10T00:00:00"/>
        <d v="2025-01-10T00:00:00"/>
        <d v="2024-09-13T00:00:00"/>
        <d v="2025-04-03T00:00:00"/>
        <d v="2024-10-21T00:00:00"/>
        <d v="2025-09-29T00:00:00"/>
        <d v="2024-12-14T00:00:00"/>
        <d v="2024-05-26T00:00:00"/>
        <d v="2024-01-29T00:00:00"/>
        <d v="2024-01-04T00:00:00"/>
        <d v="2025-01-23T00:00:00"/>
        <d v="2024-02-22T00:00:00"/>
        <d v="2024-07-21T00:00:00"/>
        <d v="2024-06-16T00:00:00"/>
        <d v="2025-03-20T00:00:00"/>
        <d v="2024-04-11T00:00:00"/>
        <d v="2024-02-02T00:00:00"/>
        <d v="2024-12-28T00:00:00"/>
        <d v="2025-08-23T00:00:00"/>
        <d v="2025-06-17T00:00:00"/>
        <d v="2025-08-15T00:00:00"/>
        <d v="2025-03-23T00:00:00"/>
        <d v="2024-04-23T00:00:00"/>
        <d v="2025-01-09T00:00:00"/>
        <d v="2025-10-28T00:00:00"/>
        <d v="2025-04-08T00:00:00"/>
        <d v="2025-05-12T00:00:00"/>
        <d v="2023-12-07T00:00:00"/>
        <d v="2024-03-03T00:00:00"/>
        <d v="2025-04-24T00:00:00"/>
        <d v="2025-02-26T00:00:00"/>
        <d v="2024-11-18T00:00:00"/>
        <d v="2025-03-16T00:00:00"/>
        <d v="2025-07-31T00:00:00"/>
        <d v="2024-02-09T00:00:00"/>
        <d v="2023-11-11T00:00:00"/>
        <d v="2024-03-09T00:00:00"/>
        <d v="2025-09-12T00:00:00"/>
        <d v="2025-02-04T00:00:00"/>
        <d v="2023-12-31T00:00:00"/>
        <d v="2024-09-10T00:00:00"/>
        <d v="2024-02-07T00:00:00"/>
        <d v="2024-01-26T00:00:00"/>
        <d v="2025-02-01T00:00:00"/>
        <d v="2024-02-12T00:00:00"/>
        <d v="2025-05-19T00:00:00"/>
        <d v="2025-11-03T00:00:00"/>
        <d v="2025-05-09T00:00:00"/>
        <d v="2024-11-09T00:00:00"/>
        <d v="2025-06-13T00:00:00"/>
        <d v="2025-05-25T00:00:00"/>
        <d v="2024-03-12T00:00:00"/>
        <d v="2023-11-25T00:00:00"/>
        <d v="2025-07-23T00:00:00"/>
      </sharedItems>
      <fieldGroup par="27"/>
    </cacheField>
    <cacheField name="Ship Date" numFmtId="14">
      <sharedItems containsSemiMixedTypes="0" containsNonDate="0" containsDate="1" containsString="0" minDate="2023-11-07T00:00:00" maxDate="2025-11-09T00:00:00"/>
    </cacheField>
    <cacheField name="Customer ID" numFmtId="0">
      <sharedItems/>
    </cacheField>
    <cacheField name="Customer Name" numFmtId="0">
      <sharedItems count="989">
        <s v="Zachary Mills"/>
        <s v="Alyssa Payne"/>
        <s v="Shelly Hernandez"/>
        <s v="Paul Cox"/>
        <s v="Jacob Harmon"/>
        <s v="Valerie Reyes"/>
        <s v="Lisa Ayala"/>
        <s v="Joshua Martin"/>
        <s v="Jerry Williams"/>
        <s v="Tony Ruiz"/>
        <s v="Brian Oneal"/>
        <s v="Sandra Caldwell"/>
        <s v="Todd Nelson"/>
        <s v="John Moore"/>
        <s v="Elizabeth Hawkins"/>
        <s v="Stacy Rasmussen"/>
        <s v="William Ayala"/>
        <s v="Kimberly Francis"/>
        <s v="John Martin PhD"/>
        <s v="Hannah Hansen"/>
        <s v="William Price"/>
        <s v="Lee Kemp"/>
        <s v="Tammy Marks"/>
        <s v="Sara Lee"/>
        <s v="Mark Alvarez"/>
        <s v="Elizabeth Hernandez MD"/>
        <s v="William Gilbert"/>
        <s v="Mr. John Rodgers"/>
        <s v="Lauren Ramirez"/>
        <s v="Bradley Cameron"/>
        <s v="Logan Cruz"/>
        <s v="Lynn Allison"/>
        <s v="Stacey Diaz"/>
        <s v="Michael Salinas"/>
        <s v="Karen Chan"/>
        <s v="Catherine Case"/>
        <s v="Matthew Tran"/>
        <s v="Kevin Galloway"/>
        <s v="Michael Robles"/>
        <s v="James Fritz"/>
        <s v="Anthony Todd"/>
        <s v="Dennis Jackson"/>
        <s v="Douglas Edwards"/>
        <s v="Crystal Knight"/>
        <s v="Loretta Harrison"/>
        <s v="Mark Williams"/>
        <s v="Pamela Smith"/>
        <s v="Anthony Chapman"/>
        <s v="Melanie Chaney"/>
        <s v="Laura Hanson"/>
        <s v="Lacey Stephens"/>
        <s v="Kristi Graves"/>
        <s v="Shelley Fowler"/>
        <s v="Renee Olson"/>
        <s v="Christopher Haley Jr."/>
        <s v="David Chung"/>
        <s v="Nancy Jones"/>
        <s v="Matthew Herring"/>
        <s v="David Ball"/>
        <s v="Robert Conrad"/>
        <s v="Kaitlin Murphy"/>
        <s v="Andrea Nelson"/>
        <s v="Darlene Stephens"/>
        <s v="Tonya Villarreal"/>
        <s v="Amanda Ellis"/>
        <s v="Joy Lane"/>
        <s v="Jodi Warren"/>
        <s v="Marissa Williams"/>
        <s v="Angela Cantu"/>
        <s v="Melissa Bailey"/>
        <s v="Kristen Wilson"/>
        <s v="Donna Romero"/>
        <s v="Erica Hayes"/>
        <s v="Tamara Ramsey"/>
        <s v="Gary Daniels"/>
        <s v="David Frank"/>
        <s v="Leslie Williamson"/>
        <s v="Tina Holden"/>
        <s v="Heather Gonzalez"/>
        <s v="Patrick Peterson"/>
        <s v="James Yang"/>
        <s v="Sarah Harris"/>
        <s v="Kelly Romero"/>
        <s v="Tony Green"/>
        <s v="Rhonda Woodard"/>
        <s v="Dennis Ellis"/>
        <s v="Teresa Phillips DVM"/>
        <s v="Brandon Thomas"/>
        <s v="Austin Newton"/>
        <s v="Travis Martinez"/>
        <s v="Kristen Dalton"/>
        <s v="Karen Zamora"/>
        <s v="Megan Edwards MD"/>
        <s v="Kelsey Lopez"/>
        <s v="Lisa White"/>
        <s v="Anthony Shepard"/>
        <s v="Elizabeth Christensen"/>
        <s v="Angela Whitney"/>
        <s v="Tina Murray"/>
        <s v="John Stark"/>
        <s v="James Hill"/>
        <s v="Michelle Li DDS"/>
        <s v="David Johnston"/>
        <s v="Robert Molina"/>
        <s v="Patricia Goodman"/>
        <s v="Samuel Sanchez"/>
        <s v="Catherine Morgan"/>
        <s v="Brittany Barber"/>
        <s v="Katrina Brooks"/>
        <s v="Jessica Hernandez"/>
        <s v="Sara Moore"/>
        <s v="Thomas Miller"/>
        <s v="Raymond Phillips"/>
        <s v="Becky Watson"/>
        <s v="Johnathan Berry"/>
        <s v="Christopher Butler MD"/>
        <s v="Chad Thomas"/>
        <s v="Kimberly Williams"/>
        <s v="Pamela Miller"/>
        <s v="Elizabeth Weeks"/>
        <s v="Darrell Ford"/>
        <s v="Becky Jimenez"/>
        <s v="Charles Williams"/>
        <s v="William Miller"/>
        <s v="Gilbert Taylor"/>
        <s v="John Ford"/>
        <s v="Sara Castro"/>
        <s v="Sarah Reynolds"/>
        <s v="Patrick Meadows"/>
        <s v="Michael Kerr"/>
        <s v="Richard Martinez"/>
        <s v="Emily Hall"/>
        <s v="Lisa Harris"/>
        <s v="Crystal Travis"/>
        <s v="Katrina Ball"/>
        <s v="Eric Larson"/>
        <s v="Bianca Valencia"/>
        <s v="Joy Johnson"/>
        <s v="Jodi Watson"/>
        <s v="Ann Moore"/>
        <s v="Ellen Ho"/>
        <s v="Anthony Fowler"/>
        <s v="Mark Garrett"/>
        <s v="Jeffrey Wilkerson"/>
        <s v="Tony Freeman"/>
        <s v="David Russell"/>
        <s v="Mr. Alexander Boyd II"/>
        <s v="Kyle Myers"/>
        <s v="Kenneth Green"/>
        <s v="William Vaughn"/>
        <s v="Jason Jackson"/>
        <s v="Nichole Taylor"/>
        <s v="Jennifer Nelson"/>
        <s v="Michael Ball"/>
        <s v="Michael Davis"/>
        <s v="Mrs. Nina Cherry MD"/>
        <s v="Jeremy Burns"/>
        <s v="Andrea Hernandez"/>
        <s v="Lisa Silva"/>
        <s v="Alexander Johnson"/>
        <s v="Alex Yang"/>
        <s v="Ryan Dorsey"/>
        <s v="Gabrielle Evans"/>
        <s v="Stephanie Guerra"/>
        <s v="Scott Hardin"/>
        <s v="Richard Coleman"/>
        <s v="Wendy Salinas"/>
        <s v="Ronald Garner"/>
        <s v="Amy Lewis"/>
        <s v="Jennifer Hill"/>
        <s v="Erin Frederick"/>
        <s v="Ronald Murray"/>
        <s v="Tara Johnson"/>
        <s v="Yolanda Parker"/>
        <s v="Bryan Monroe"/>
        <s v="William Rivera"/>
        <s v="Courtney Frank"/>
        <s v="Andrew Black"/>
        <s v="Cynthia Gillespie"/>
        <s v="Summer Murray"/>
        <s v="Brian Nash"/>
        <s v="Charles Ryan"/>
        <s v="Matthew Dominguez MD"/>
        <s v="Mary Hendrix"/>
        <s v="Jason Daniel"/>
        <s v="Jenny Clark"/>
        <s v="Savannah Martin"/>
        <s v="Brian Miller"/>
        <s v="Kelsey Jones"/>
        <s v="Audrey Brown"/>
        <s v="Donna Vargas"/>
        <s v="Kelsey Leonard"/>
        <s v="Daniel Oliver"/>
        <s v="Dakota Henry"/>
        <s v="Trevor Walker"/>
        <s v="David Townsend"/>
        <s v="Donna Lynn"/>
        <s v="Karen Walker"/>
        <s v="Daniel Howell"/>
        <s v="Tony Turner"/>
        <s v="Samantha Price"/>
        <s v="Becky Thompson"/>
        <s v="James Ellis"/>
        <s v="Thomas Young"/>
        <s v="Mary Clarke"/>
        <s v="Kyle Vaughn"/>
        <s v="Glenn Moran"/>
        <s v="Katelyn Wallace"/>
        <s v="Paul Salas"/>
        <s v="Shelly Delgado"/>
        <s v="Katherine Martinez"/>
        <s v="Timothy Jimenez"/>
        <s v="Haley Cook"/>
        <s v="Ashley Stevenson"/>
        <s v="John Trevino"/>
        <s v="Calvin Mullins"/>
        <s v="Joel Cherry"/>
        <s v="Kristina Bender"/>
        <s v="Kyle Lambert"/>
        <s v="Chris Mills"/>
        <s v="Rebecca Winters"/>
        <s v="Melanie Mullen"/>
        <s v="Destiny Austin"/>
        <s v="Mary Mitchell"/>
        <s v="Stacey Stone"/>
        <s v="Michael Rubio"/>
        <s v="Leah Price"/>
        <s v="Courtney Chandler"/>
        <s v="Caitlin Nelson"/>
        <s v="Sara Miller"/>
        <s v="Dr. Johnny Compton"/>
        <s v="Kristie Brown"/>
        <s v="Katherine Hamilton"/>
        <s v="Charles Moore"/>
        <s v="Michael Lopez"/>
        <s v="Jennifer Roberts"/>
        <s v="Mark Wise"/>
        <s v="Sean Hernandez"/>
        <s v="Lisa Alexander"/>
        <s v="Norma Mccullough"/>
        <s v="David Olson"/>
        <s v="Kimberly Warner"/>
        <s v="Jason Clark"/>
        <s v="David Wolfe"/>
        <s v="Nicholas Roberts"/>
        <s v="Gary Melton"/>
        <s v="Samantha Cohen"/>
        <s v="Craig Martinez"/>
        <s v="Carl Frost"/>
        <s v="Jennifer Lopez"/>
        <s v="Nicole Ruiz"/>
        <s v="Karen Wells"/>
        <s v="Yvette Lopez"/>
        <s v="James Mcgrath"/>
        <s v="Sonya Griffin"/>
        <s v="Lawrence Owens"/>
        <s v="Katelyn Cooper"/>
        <s v="Matthew Hill"/>
        <s v="Walter Moore"/>
        <s v="Isaac Booth"/>
        <s v="Alexandra Roy"/>
        <s v="Anna Martin"/>
        <s v="Todd Guzman"/>
        <s v="Kristen Rodriguez"/>
        <s v="Daniel Campbell"/>
        <s v="Katherine Horn"/>
        <s v="Michele House"/>
        <s v="Charles Smith"/>
        <s v="Lori Newman"/>
        <s v="Mrs. Kelly Mills"/>
        <s v="David Baldwin"/>
        <s v="Carlos Mathews"/>
        <s v="Sarah Cantu"/>
        <s v="Gina Young"/>
        <s v="Eric Mathis"/>
        <s v="Traci Boyd"/>
        <s v="John Stevenson"/>
        <s v="Shawn Taylor"/>
        <s v="Kristina Juarez"/>
        <s v="Samantha Larsen"/>
        <s v="Joann Zamora"/>
        <s v="Makayla Jacobs"/>
        <s v="Peter Harding"/>
        <s v="Gina Powell"/>
        <s v="Ryan Peterson"/>
        <s v="Karen Ochoa"/>
        <s v="Nicholas Oconnor"/>
        <s v="Kenneth Bennett"/>
        <s v="Makayla Anderson"/>
        <s v="Joseph Smith"/>
        <s v="Mrs. Renee Jones"/>
        <s v="Michael Gardner"/>
        <s v="Stephanie Bass"/>
        <s v="Vanessa Velasquez"/>
        <s v="James Perez"/>
        <s v="Katelyn Manning"/>
        <s v="Michael Martinez"/>
        <s v="Heather French"/>
        <s v="Andrea Patterson"/>
        <s v="Karen Moore"/>
        <s v="Timothy Ferguson"/>
        <s v="Aaron Bryant"/>
        <s v="Stephanie Jones"/>
        <s v="Rose Hunter"/>
        <s v="Kevin Davis"/>
        <s v="Keith Bailey"/>
        <s v="Chad Dunn"/>
        <s v="Douglas Burns"/>
        <s v="Sara Walker"/>
        <s v="Charles Acevedo"/>
        <s v="Jordan Campbell"/>
        <s v="Tim Nelson"/>
        <s v="Michelle Fox"/>
        <s v="Carrie Hurley"/>
        <s v="Michael Brown"/>
        <s v="Mrs. Julie Scott"/>
        <s v="Anthony Murphy"/>
        <s v="Paul Stevenson"/>
        <s v="Cheyenne Butler"/>
        <s v="Scott Pineda"/>
        <s v="Alexander Johnson DVM"/>
        <s v="Paul Arroyo"/>
        <s v="Nichole Garner"/>
        <s v="Brandon Wright"/>
        <s v="Reginald Greene"/>
        <s v="Carrie Cobb"/>
        <s v="Blake Lopez"/>
        <s v="Roberto Long"/>
        <s v="Brian Strickland"/>
        <s v="Kara Carter"/>
        <s v="Alexis Nixon"/>
        <s v="Kenneth Luna"/>
        <s v="Kaitlyn Huang"/>
        <s v="Mark Fields"/>
        <s v="Melissa Williams"/>
        <s v="Jeffery Mccall"/>
        <s v="Mr. James Hamilton"/>
        <s v="Kristin Williamson"/>
        <s v="James Sanchez"/>
        <s v="Jessica Campbell"/>
        <s v="Steven Parrish"/>
        <s v="Jonathan Smith"/>
        <s v="Raymond Love"/>
        <s v="John Garza"/>
        <s v="Marcus Hayes"/>
        <s v="Brittany Ward"/>
        <s v="Valerie Wilkerson"/>
        <s v="John West"/>
        <s v="Christina Martin"/>
        <s v="Courtney Casey"/>
        <s v="Jonathan Allen"/>
        <s v="Derek Potter"/>
        <s v="Michael Mitchell"/>
        <s v="Susan Dominguez"/>
        <s v="April Benitez"/>
        <s v="Glenda Chapman"/>
        <s v="Anthony Mitchell MD"/>
        <s v="Julie Baker"/>
        <s v="Megan Lucas"/>
        <s v="Kim Anderson"/>
        <s v="Erik Smith"/>
        <s v="Gabriel Ford"/>
        <s v="Alexandra Rocha"/>
        <s v="James Diaz"/>
        <s v="Keith Cook"/>
        <s v="Matthew Fernandez"/>
        <s v="Ryan Murray"/>
        <s v="Brittany Short"/>
        <s v="Lori Mooney"/>
        <s v="Matthew Clark"/>
        <s v="Nicole Cruz"/>
        <s v="Lindsey Lopez"/>
        <s v="Phillip Bishop"/>
        <s v="Kristi Richard"/>
        <s v="Sheila Rogers"/>
        <s v="Anthony Murray"/>
        <s v="Mr. Marcus Burton MD"/>
        <s v="Tyler Farley"/>
        <s v="Michelle Bailey"/>
        <s v="Karen Rodriguez"/>
        <s v="Stephanie Kramer"/>
        <s v="Erin Schmidt"/>
        <s v="Stacy Hudson"/>
        <s v="Lisa Wells"/>
        <s v="Samantha Taylor"/>
        <s v="Danielle Shah"/>
        <s v="Shannon Sanders"/>
        <s v="Clinton Medina"/>
        <s v="Kevin Mullen"/>
        <s v="Ebony Wheeler"/>
        <s v="Joshua Johnson"/>
        <s v="Jasmine George"/>
        <s v="Donna Johnson"/>
        <s v="Nicholas Richardson"/>
        <s v="Angela Sanders"/>
        <s v="Jennifer Cooper"/>
        <s v="Angela Marsh"/>
        <s v="Molly Kane"/>
        <s v="Christopher Reynolds"/>
        <s v="Natasha Crawford"/>
        <s v="Richard Johnson"/>
        <s v="Dr. Paula Sims"/>
        <s v="Dorothy Pierce"/>
        <s v="James Morris"/>
        <s v="Jim Butler"/>
        <s v="Whitney Schultz"/>
        <s v="David Johnson"/>
        <s v="Scott Cervantes"/>
        <s v="Sara Herrera"/>
        <s v="Eric Miller"/>
        <s v="Sylvia Mitchell"/>
        <s v="Amber Wells"/>
        <s v="Karen Bennett"/>
        <s v="Patricia Jordan"/>
        <s v="Kyle Cannon"/>
        <s v="Madison Mckee"/>
        <s v="Julie Morgan"/>
        <s v="Jack Smith"/>
        <s v="Arthur Bailey"/>
        <s v="Preston White"/>
        <s v="Kelly Valentine"/>
        <s v="Juan Glass"/>
        <s v="Willie Wood"/>
        <s v="Rebekah Miller"/>
        <s v="Connie Hood"/>
        <s v="Kristi Smith"/>
        <s v="Erin Wagner"/>
        <s v="Christopher Smith"/>
        <s v="Emily Wilson"/>
        <s v="Megan Juarez"/>
        <s v="Lindsay Miller"/>
        <s v="Stephanie Mack"/>
        <s v="Philip Armstrong"/>
        <s v="Sean Mcintyre"/>
        <s v="Lisa Wagner"/>
        <s v="Kelli Greene"/>
        <s v="Kimberly Garcia"/>
        <s v="Stephen Dominguez"/>
        <s v="Tammy Oconnell"/>
        <s v="Linda Nguyen"/>
        <s v="Denise Brown"/>
        <s v="Carol Nash"/>
        <s v="Lisa Murray"/>
        <s v="Blake Peck"/>
        <s v="Kelly Jones"/>
        <s v="Latasha Harris"/>
        <s v="Jackie Jones"/>
        <s v="Katie Payne"/>
        <s v="Danielle Bishop"/>
        <s v="Eric Murphy"/>
        <s v="Ryan Diaz"/>
        <s v="Elizabeth Drake"/>
        <s v="Roy Carlson"/>
        <s v="Robert Howard"/>
        <s v="Justin Foster"/>
        <s v="Jo Austin"/>
        <s v="Mark Gardner"/>
        <s v="Mercedes Vega"/>
        <s v="Julie Walker"/>
        <s v="Michael Stone"/>
        <s v="Catherine Griffin"/>
        <s v="Jesse Le"/>
        <s v="Kristen Allen"/>
        <s v="Jasmine Washington"/>
        <s v="Sharon Martinez"/>
        <s v="Brian Owens"/>
        <s v="Jack Gregory"/>
        <s v="Tony Carrillo"/>
        <s v="Michael Park PhD"/>
        <s v="Tiffany Mitchell"/>
        <s v="Candice Fuller"/>
        <s v="Meghan Shelton"/>
        <s v="James Maldonado MD"/>
        <s v="Sabrina Austin"/>
        <s v="William Jennings"/>
        <s v="Curtis Clark"/>
        <s v="Joanna Grant"/>
        <s v="Jeanne Anderson"/>
        <s v="Melissa Walls"/>
        <s v="Gregory Santos"/>
        <s v="James Bell"/>
        <s v="Nancy Vazquez"/>
        <s v="Dustin Porter"/>
        <s v="Destiny Martin"/>
        <s v="Joseph Stark"/>
        <s v="Robert Dunn"/>
        <s v="Mark Cruz"/>
        <s v="Melinda Moore"/>
        <s v="Samuel Mccarty"/>
        <s v="Andrea Wilkerson"/>
        <s v="Patrick Krueger"/>
        <s v="Brett Nguyen"/>
        <s v="Jonathan West"/>
        <s v="Larry Santana"/>
        <s v="Megan Roman"/>
        <s v="Tom Sparks"/>
        <s v="Ryan Campbell"/>
        <s v="Heather Foster"/>
        <s v="Yvonne Clark"/>
        <s v="Timothy Mathews"/>
        <s v="Bryan Jones"/>
        <s v="Michelle Benjamin"/>
        <s v="Jeremiah Anderson"/>
        <s v="Kevin Thomas"/>
        <s v="Shelly Melton"/>
        <s v="Stephen Klein"/>
        <s v="Anne Barnes"/>
        <s v="Amanda Webb"/>
        <s v="Michael Alvarado"/>
        <s v="Rachel Evans"/>
        <s v="Thomas Johnson"/>
        <s v="Tina Mitchell"/>
        <s v="Eric Adams"/>
        <s v="Jacob Floyd"/>
        <s v="Sheri Stevenson"/>
        <s v="Grant Bennett"/>
        <s v="Alexander Ford"/>
        <s v="Jessica Chang"/>
        <s v="Sarah Campbell"/>
        <s v="Linda Swanson"/>
        <s v="Stacy Adams"/>
        <s v="Dorothy Smith"/>
        <s v="Emily Silva"/>
        <s v="Krystal Harper"/>
        <s v="Cassie Rowe"/>
        <s v="Laura Torres"/>
        <s v="Elizabeth Johnson"/>
        <s v="Sean Stewart"/>
        <s v="Michael Benson"/>
        <s v="David Martinez"/>
        <s v="Jennifer White"/>
        <s v="Johnny Valdez"/>
        <s v="Wesley Hines"/>
        <s v="Tom Aguilar"/>
        <s v="Kim Washington"/>
        <s v="Amy Jensen"/>
        <s v="Sarah Hernandez"/>
        <s v="Michelle Robinson"/>
        <s v="Connie Callahan"/>
        <s v="Carla Dixon"/>
        <s v="Shelby Cowan"/>
        <s v="Alejandro Morris"/>
        <s v="Brian Patton"/>
        <s v="Heather Goodwin"/>
        <s v="Patricia Walker"/>
        <s v="Dawn Petersen"/>
        <s v="Jordan Lopez"/>
        <s v="Donald Robertson"/>
        <s v="David Sherman"/>
        <s v="Kyle Hall"/>
        <s v="Tina Harrington"/>
        <s v="David Cowan"/>
        <s v="Laura Campbell"/>
        <s v="Daniel Harrison"/>
        <s v="Christopher Clarke"/>
        <s v="Donna Jackson"/>
        <s v="Alicia Gallegos"/>
        <s v="April Mcgee"/>
        <s v="David Carter"/>
        <s v="Margaret Hale"/>
        <s v="Alyssa Henry"/>
        <s v="Connor Pierce"/>
        <s v="Miss Brittany Garcia MD"/>
        <s v="Anthony Miller"/>
        <s v="Tyler Reeves"/>
        <s v="Alicia Mckinney"/>
        <s v="Dr. Travis Kelley"/>
        <s v="Victoria Jones"/>
        <s v="Travis Pham"/>
        <s v="Kimberly Ho"/>
        <s v="Sean Moore"/>
        <s v="Garrett Ochoa"/>
        <s v="Shirley Leblanc"/>
        <s v="Brenda Wilkins DVM"/>
        <s v="Elijah Fuller"/>
        <s v="Michael Johnson"/>
        <s v="Don Lopez"/>
        <s v="Danielle Stout"/>
        <s v="Kelly Murray"/>
        <s v="Nicholas Barnes"/>
        <s v="Sue Sandoval"/>
        <s v="Michelle Austin"/>
        <s v="Felicia Mitchell"/>
        <s v="Ryan Jimenez"/>
        <s v="Marcus Wagner"/>
        <s v="Christina Smith"/>
        <s v="James Moore"/>
        <s v="Diane Kelley"/>
        <s v="Whitney Walters"/>
        <s v="Cristina Adams"/>
        <s v="Wendy Rivas"/>
        <s v="Robin Kelley"/>
        <s v="Karen Navarro"/>
        <s v="Stephen Cobb"/>
        <s v="William Jones"/>
        <s v="Michelle Payne"/>
        <s v="William Bowman"/>
        <s v="Katherine Hawkins"/>
        <s v="Jerry Morgan MD"/>
        <s v="Donald Walsh"/>
        <s v="Paige Skinner"/>
        <s v="Alisha Allen"/>
        <s v="Joseph Coleman"/>
        <s v="Matthew Anderson"/>
        <s v="Richard Ochoa"/>
        <s v="Patricia Pollard"/>
        <s v="Kimberly Thompson"/>
        <s v="Lauren Thomas"/>
        <s v="Susan Morales"/>
        <s v="Mrs. Taylor Gomez"/>
        <s v="Diane Randolph"/>
        <s v="Karen Johnson"/>
        <s v="Tiffany Thompson"/>
        <s v="Eric Sanchez"/>
        <s v="Daniel Wilson"/>
        <s v="Jennifer Johnston"/>
        <s v="Jonathan Medina"/>
        <s v="Drew Smith"/>
        <s v="Sarah Houston"/>
        <s v="James Giles"/>
        <s v="Kyle Rivera"/>
        <s v="Adam Valencia"/>
        <s v="Christina Larson"/>
        <s v="Mark Miller"/>
        <s v="Christopher Johnson"/>
        <s v="Jason Evans"/>
        <s v="Eddie Lewis"/>
        <s v="Gary Schroeder"/>
        <s v="Jennifer Freeman"/>
        <s v="Kelly Smith"/>
        <s v="Michelle Ramirez MD"/>
        <s v="Ronald Diaz"/>
        <s v="Anthony Vasquez"/>
        <s v="Christopher Martin MD"/>
        <s v="Manuel Johnson"/>
        <s v="Brian Gibbs"/>
        <s v="Jordan Boyd"/>
        <s v="Ricardo Sanchez"/>
        <s v="Gordon Castillo"/>
        <s v="Lawrence Thompson"/>
        <s v="Erin Garrison"/>
        <s v="Joanne Hansen"/>
        <s v="Kevin Jordan"/>
        <s v="Richard Santiago"/>
        <s v="Kyle Moyer"/>
        <s v="Abigail Callahan"/>
        <s v="Maria Beard"/>
        <s v="Michelle Ellis"/>
        <s v="Dr. James Brooks"/>
        <s v="Todd Johnston"/>
        <s v="Carrie Stevenson"/>
        <s v="Christopher Bryant"/>
        <s v="Thomas Cain"/>
        <s v="Julia Olsen"/>
        <s v="Shawn Silva"/>
        <s v="Cynthia Johnson"/>
        <s v="Cheryl Nunez"/>
        <s v="Amanda Carrillo"/>
        <s v="Juan Dunn"/>
        <s v="Traci Haas"/>
        <s v="Patrick Young"/>
        <s v="Keith Owens"/>
        <s v="Paula Greene"/>
        <s v="Stephen Austin"/>
        <s v="Kimberly Nunez"/>
        <s v="Amanda Wolf"/>
        <s v="Sara Olson"/>
        <s v="Christine Blevins"/>
        <s v="Joshua Zavala"/>
        <s v="Brian Landry"/>
        <s v="Mary Lara"/>
        <s v="Tina Perkins"/>
        <s v="Debbie Romero"/>
        <s v="Matthew Cook"/>
        <s v="Katherine Jimenez"/>
        <s v="Rebecca Harris"/>
        <s v="Wesley Ruiz"/>
        <s v="Christopher Anderson"/>
        <s v="Lacey Heath"/>
        <s v="Kyle Turner"/>
        <s v="Juan Torres"/>
        <s v="David Spencer"/>
        <s v="Andrew Patel"/>
        <s v="Kevin Carpenter"/>
        <s v="Emily Payne"/>
        <s v="Brandi Martinez"/>
        <s v="Cheryl Sellers"/>
        <s v="Summer Patrick"/>
        <s v="Brittany Hammond"/>
        <s v="John Smith"/>
        <s v="Todd Smith"/>
        <s v="Joseph Hill"/>
        <s v="Cody Cobb"/>
        <s v="Jerry Young"/>
        <s v="Mike Hansen"/>
        <s v="Samantha Obrien"/>
        <s v="Michael Sanchez"/>
        <s v="Troy Collins"/>
        <s v="Nicole Wolfe"/>
        <s v="Martin Boyer"/>
        <s v="Thomas Brooks"/>
        <s v="James Smith"/>
        <s v="Deborah Payne"/>
        <s v="Amanda Carson"/>
        <s v="Chase Moran Jr."/>
        <s v="Charles Johnson"/>
        <s v="Mr. Lawrence Sampson"/>
        <s v="John George"/>
        <s v="Robin Austin"/>
        <s v="Ryan Taylor"/>
        <s v="Mark Cobb"/>
        <s v="Jessica Henderson"/>
        <s v="Vincent Howard"/>
        <s v="Anthony Stuart"/>
        <s v="Benjamin Perry"/>
        <s v="Danielle Williams"/>
        <s v="Steven Jones"/>
        <s v="Cynthia Morris"/>
        <s v="Jessica Mooney"/>
        <s v="Jesus Farley"/>
        <s v="Zachary Johnson"/>
        <s v="Betty Henderson"/>
        <s v="Michael Hall"/>
        <s v="Katherine Smith"/>
        <s v="Jenna Herrera"/>
        <s v="Paige Pacheco"/>
        <s v="Richard James"/>
        <s v="Emily Crawford"/>
        <s v="Lindsey Beasley"/>
        <s v="Julie Strickland"/>
        <s v="Kristen Strickland"/>
        <s v="Donna Smith"/>
        <s v="Cynthia Hughes"/>
        <s v="Danielle Fields"/>
        <s v="Ms. Sherry Knapp MD"/>
        <s v="Jessica Davis"/>
        <s v="Stephen Parrish"/>
        <s v="Laura Burnett"/>
        <s v="Charles Hale"/>
        <s v="Cynthia Hernandez"/>
        <s v="John Ryan"/>
        <s v="Mrs. Lori Good DDS"/>
        <s v="Pam Pham"/>
        <s v="Charles Decker"/>
        <s v="Karen Kemp"/>
        <s v="Linda Williams"/>
        <s v="Nancy Williams"/>
        <s v="Cameron White"/>
        <s v="Emily Bass"/>
        <s v="Anthony Adams"/>
        <s v="Melissa Phillips"/>
        <s v="Rodney Ramos"/>
        <s v="Tina Lopez"/>
        <s v="Craig Kelly"/>
        <s v="Amy Ellis"/>
        <s v="Larry Parker"/>
        <s v="Thomas Mercer"/>
        <s v="Ryan Alexander"/>
        <s v="John Leonard"/>
        <s v="Brad Baird"/>
        <s v="Paul Vega"/>
        <s v="Ryan Cole"/>
        <s v="John Bennett"/>
        <s v="Carla Brown"/>
        <s v="James Potter"/>
        <s v="Ashley Miller"/>
        <s v="Austin Hicks"/>
        <s v="Russell Butler"/>
        <s v="Gary Dunlap"/>
        <s v="Monica Braun"/>
        <s v="Laura Johnson"/>
        <s v="Brian Daniel"/>
        <s v="Jeffrey Warren"/>
        <s v="Danielle Wiley"/>
        <s v="Lori Bennett"/>
        <s v="Dawn Roberts"/>
        <s v="Aaron Jackson"/>
        <s v="Christopher Nichols"/>
        <s v="William Harris"/>
        <s v="James Chavez"/>
        <s v="Thomas Carter"/>
        <s v="Andrea Dawson"/>
        <s v="Dr. Joshua Johnson"/>
        <s v="Diana Johnson"/>
        <s v="Robert Miller"/>
        <s v="Ashley Soto"/>
        <s v="Debra Sims"/>
        <s v="Kelsey Flores"/>
        <s v="Gina Crawford"/>
        <s v="Judy Thompson"/>
        <s v="Glenda Phillips"/>
        <s v="Adam Jimenez"/>
        <s v="Karen Nicholson"/>
        <s v="Sarah Salazar"/>
        <s v="Mr. Louis Pugh"/>
        <s v="Derrick Willis"/>
        <s v="Richard Weaver"/>
        <s v="Kevin Rosales"/>
        <s v="Angelica Torres"/>
        <s v="Charles Andrews"/>
        <s v="Bob Archer"/>
        <s v="Terri Simpson"/>
        <s v="Amber Hughes"/>
        <s v="Kevin White"/>
        <s v="Jason Bradley"/>
        <s v="Emily Rodriguez"/>
        <s v="April Brown"/>
        <s v="Jennifer Mendoza"/>
        <s v="Jesus Hudson"/>
        <s v="Veronica Lopez"/>
        <s v="Stacy Johnson"/>
        <s v="John Bishop"/>
        <s v="Rhonda Anderson"/>
        <s v="David Knight"/>
        <s v="Kyle Miller"/>
        <s v="Traci Jones"/>
        <s v="Shawn Kidd"/>
        <s v="Justin Gomez"/>
        <s v="James Diaz MD"/>
        <s v="Ebony Bradley"/>
        <s v="Steven White"/>
        <s v="Michael Blair"/>
        <s v="Christy Morales"/>
        <s v="Jessica Rogers"/>
        <s v="Patrick Pittman"/>
        <s v="Nicholas Blankenship"/>
        <s v="Emily Henry"/>
        <s v="Mary Mills"/>
        <s v="Austin Collier"/>
        <s v="Carlos Harmon"/>
        <s v="Tara Stein"/>
        <s v="Charles Rodriguez"/>
        <s v="Adrian Ford"/>
        <s v="Shane Jones"/>
        <s v="Kimberly Bullock"/>
        <s v="Rachel Mcgee"/>
        <s v="Samuel Cook"/>
        <s v="Charles Lutz"/>
        <s v="Michelle George"/>
        <s v="Jennifer Carlson"/>
        <s v="Laura Collins"/>
        <s v="Jean Thomas"/>
        <s v="David Green"/>
        <s v="Shaun Garcia"/>
        <s v="Kelly Lozano"/>
        <s v="David Brown"/>
        <s v="Judy Morgan"/>
        <s v="Jennifer Davis"/>
        <s v="Jennifer Reid"/>
        <s v="Allen Gardner"/>
        <s v="Anthony Richardson"/>
        <s v="Johnny Martinez"/>
        <s v="Matthew Carr"/>
        <s v="Brent Johnson"/>
        <s v="Brent Lopez"/>
        <s v="Jason Sanders"/>
        <s v="Oscar Walls"/>
        <s v="Larry Bailey"/>
        <s v="Michele Maldonado"/>
        <s v="Raymond Maddox"/>
        <s v="Kimberly Hoover"/>
        <s v="Susan Wagner"/>
        <s v="Allen Thompson"/>
        <s v="Cynthia Davis"/>
        <s v="Michael Mills"/>
        <s v="Jessica Jenkins"/>
        <s v="Erik Cox"/>
        <s v="Amber Mason"/>
        <s v="Christopher Goodman"/>
        <s v="Stephanie Barnes"/>
        <s v="Abigail Swanson"/>
        <s v="Marcus Reed"/>
        <s v="Jennifer Ward"/>
        <s v="Cameron Moore"/>
        <s v="Kelly Hutchinson"/>
        <s v="Taylor Rivera"/>
        <s v="Donna Anderson"/>
        <s v="Mary Smith"/>
        <s v="Crystal Fox"/>
        <s v="Gary Jones"/>
        <s v="Jason Edwards"/>
        <s v="John Williams"/>
        <s v="Melinda Smith"/>
        <s v="Jane Juarez"/>
        <s v="Bradley Davis"/>
        <s v="Cameron Herrera"/>
        <s v="Jacqueline Duffy"/>
        <s v="Kyle Riley"/>
        <s v="Brian Evans"/>
        <s v="Kylie Wright"/>
        <s v="Dana Cordova"/>
        <s v="Cody Reyes"/>
        <s v="Mark Vaughn"/>
        <s v="Amanda Ball"/>
        <s v="Jennifer Dudley"/>
        <s v="Elizabeth Simmons"/>
        <s v="Steven Ruiz"/>
        <s v="Erica Marquez"/>
        <s v="Alyssa Keith"/>
        <s v="Paula Davis"/>
        <s v="Lauren Harris"/>
        <s v="Hannah George"/>
        <s v="Alexis Miller"/>
        <s v="Beth Perez"/>
        <s v="Lisa Carr"/>
        <s v="Cassandra Phillips"/>
        <s v="Zachary Woodard"/>
        <s v="Robin Bray"/>
        <s v="Caitlin Martin"/>
        <s v="Rachel Collins"/>
        <s v="Joseph Edwards"/>
        <s v="Jenny King"/>
        <s v="Juan Nelson"/>
        <s v="Christopher Dunn"/>
        <s v="Howard Simmons"/>
        <s v="Anthony Morris"/>
        <s v="Kimberly Perkins"/>
        <s v="Steve Lyons"/>
        <s v="Lori Villanueva"/>
        <s v="Richard Pierce"/>
        <s v="Carol Hayes"/>
        <s v="Nicole Davis"/>
        <s v="Pamela Morris"/>
        <s v="Shawn Buck"/>
        <s v="Lisa Lopez"/>
        <s v="David Moss"/>
        <s v="Christina Orozco"/>
        <s v="Tyler Cordova"/>
        <s v="Kimberly Sanford"/>
        <s v="Amanda Ward"/>
        <s v="David Blackwell"/>
        <s v="Joanne Mills"/>
        <s v="Deborah Banks"/>
        <s v="Jacqueline Obrien"/>
        <s v="Amanda Riley"/>
        <s v="Jason Berg"/>
        <s v="Joshua Hurley"/>
        <s v="Diana Young"/>
        <s v="Paul Powell"/>
        <s v="Joseph Daniel"/>
        <s v="Jacqueline Le"/>
        <s v="Kelsey Reed"/>
        <s v="Kelly Rollins"/>
        <s v="Mr. Luis Hancock Jr."/>
        <s v="Nathaniel Lopez"/>
        <s v="Allison Marquez"/>
        <s v="Julia Myers"/>
        <s v="Diana Henderson"/>
        <s v="Peter Miller"/>
        <s v="Elizabeth Mcdonald"/>
        <s v="Matthew Johnson"/>
        <s v="Robert Macdonald"/>
        <s v="Isaac Campos"/>
        <s v="Catherine Cooley"/>
        <s v="Joshua Bowen"/>
        <s v="James Cruz"/>
        <s v="Elijah Perez"/>
        <s v="Amanda Rubio"/>
        <s v="James Burgess"/>
        <s v="Justin Smith"/>
        <s v="Aaron Carter"/>
        <s v="Paul Cochran"/>
        <s v="Elizabeth Day"/>
        <s v="Christine Cummings"/>
        <s v="Mr. Steve Mendoza Jr."/>
        <s v="Jessica Smith"/>
        <s v="Dale Valdez"/>
        <s v="Scott Morgan"/>
        <s v="Tammy Schultz"/>
        <s v="Toni Gamble"/>
        <s v="Heather Mcfarland"/>
        <s v="Nicole Stone"/>
        <s v="Kristen Best"/>
        <s v="Matthew James"/>
        <s v="Jermaine Gomez"/>
        <s v="Heather David DDS"/>
        <s v="Daniel Moore"/>
        <s v="Joshua Gordon"/>
        <s v="Gina Gonzalez"/>
        <s v="Nicholas Massey"/>
        <s v="Evan Black"/>
        <s v="Jennifer Williams"/>
        <s v="Cynthia Holt PhD"/>
        <s v="Crystal Dillon"/>
        <s v="Lori Campbell"/>
        <s v="Deborah Lewis"/>
        <s v="Mrs. Felicia Shelton"/>
        <s v="Sarah Ward"/>
        <s v="Tyler Scott"/>
      </sharedItems>
    </cacheField>
    <cacheField name="Customer Segment" numFmtId="0">
      <sharedItems count="3">
        <s v="Home Office"/>
        <s v="Corporate"/>
        <s v="Consumer"/>
      </sharedItems>
    </cacheField>
    <cacheField name="Product ID" numFmtId="0">
      <sharedItems/>
    </cacheField>
    <cacheField name="Product Name" numFmtId="0">
      <sharedItems/>
    </cacheField>
    <cacheField name="Category" numFmtId="0">
      <sharedItems count="4">
        <s v="Office Supplies"/>
        <s v="Electronics"/>
        <s v="Furniture"/>
        <s v="Grocery"/>
      </sharedItems>
    </cacheField>
    <cacheField name="Region" numFmtId="0">
      <sharedItems count="4">
        <s v="North"/>
        <s v="South"/>
        <s v="West"/>
        <s v="East"/>
      </sharedItems>
    </cacheField>
    <cacheField name="State" numFmtId="0">
      <sharedItems count="50">
        <s v="Washington"/>
        <s v="Florida"/>
        <s v="Pennsylvania"/>
        <s v="Maryland"/>
        <s v="Tennessee"/>
        <s v="Montana"/>
        <s v="Arizona"/>
        <s v="Wyoming"/>
        <s v="Maine"/>
        <s v="Alabama"/>
        <s v="Missouri"/>
        <s v="Delaware"/>
        <s v="New York"/>
        <s v="New Jersey"/>
        <s v="North Carolina"/>
        <s v="South Carolina"/>
        <s v="Oklahoma"/>
        <s v="Massachusetts"/>
        <s v="Kentucky"/>
        <s v="California"/>
        <s v="Texas"/>
        <s v="Minnesota"/>
        <s v="Wisconsin"/>
        <s v="South Dakota"/>
        <s v="Nevada"/>
        <s v="Mississippi"/>
        <s v="Alaska"/>
        <s v="Michigan"/>
        <s v="Iowa"/>
        <s v="Utah"/>
        <s v="Rhode Island"/>
        <s v="Idaho"/>
        <s v="Ohio"/>
        <s v="Louisiana"/>
        <s v="Vermont"/>
        <s v="Oregon"/>
        <s v="Georgia"/>
        <s v="Connecticut"/>
        <s v="Arkansas"/>
        <s v="North Dakota"/>
        <s v="Nebraska"/>
        <s v="New Mexico"/>
        <s v="Illinois"/>
        <s v="Virginia"/>
        <s v="Kansas"/>
        <s v="Hawaii"/>
        <s v="Indiana"/>
        <s v="West Virginia"/>
        <s v="New Hampshire"/>
        <s v="Colorado"/>
      </sharedItems>
    </cacheField>
    <cacheField name="City" numFmtId="0">
      <sharedItems count="965">
        <s v="Lake Lisamouth"/>
        <s v="Annetteton"/>
        <s v="Taylorbury"/>
        <s v="West Joan"/>
        <s v="Campbellburgh"/>
        <s v="West Jim"/>
        <s v="Conradchester"/>
        <s v="Brendanbury"/>
        <s v="Williamsland"/>
        <s v="Lake Jason"/>
        <s v="South Scott"/>
        <s v="Daviesville"/>
        <s v="Cohentown"/>
        <s v="Lake David"/>
        <s v="East Mark"/>
        <s v="Feliciahaven"/>
        <s v="Franklinport"/>
        <s v="East Troy"/>
        <s v="Heatherberg"/>
        <s v="East Angela"/>
        <s v="Jonesburgh"/>
        <s v="West Marissa"/>
        <s v="Lake Kristishire"/>
        <s v="Kelleyberg"/>
        <s v="Lauramouth"/>
        <s v="New Vincent"/>
        <s v="Port Nancy"/>
        <s v="Port Nancytown"/>
        <s v="Stanleyberg"/>
        <s v="Timothystad"/>
        <s v="Hooperland"/>
        <s v="Tiffanyburgh"/>
        <s v="Port Benjamin"/>
        <s v="Shanemouth"/>
        <s v="Lake Susanburgh"/>
        <s v="New Jeffrey"/>
        <s v="Lake Lorimouth"/>
        <s v="Tiffanyborough"/>
        <s v="Lopezside"/>
        <s v="Melissaborough"/>
        <s v="West Brittanyville"/>
        <s v="West Maxwellville"/>
        <s v="Oliviachester"/>
        <s v="Brianachester"/>
        <s v="Lake Jessica"/>
        <s v="Patrickport"/>
        <s v="Floreschester"/>
        <s v="Richardfurt"/>
        <s v="Buchananport"/>
        <s v="Port Jonathanland"/>
        <s v="East Alexanderland"/>
        <s v="South Linda"/>
        <s v="West Melissa"/>
        <s v="West Jeffrey"/>
        <s v="North Cynthiafort"/>
        <s v="Jonathanstad"/>
        <s v="Lisaview"/>
        <s v="Sanchezshire"/>
        <s v="East Natalieburgh"/>
        <s v="West Ianchester"/>
        <s v="Lake Robertville"/>
        <s v="North Caitlinmouth"/>
        <s v="Davidstad"/>
        <s v="South Stevenberg"/>
        <s v="West Davidtown"/>
        <s v="North Chrisville"/>
        <s v="Lake Sarah"/>
        <s v="Lake Barbara"/>
        <s v="West Rita"/>
        <s v="Blairland"/>
        <s v="Sandraport"/>
        <s v="Port Ronald"/>
        <s v="Montoyaburgh"/>
        <s v="Port Markmouth"/>
        <s v="South Davidfort"/>
        <s v="Lake Martin"/>
        <s v="Brianland"/>
        <s v="Gillchester"/>
        <s v="Biancaville"/>
        <s v="Carlaland"/>
        <s v="Port Lindsey"/>
        <s v="New Jennifer"/>
        <s v="Ryanborough"/>
        <s v="Lake Sara"/>
        <s v="Port Heatherside"/>
        <s v="Tiffanystad"/>
        <s v="Lake Lawrenceberg"/>
        <s v="East Gloria"/>
        <s v="Adkinsborough"/>
        <s v="Allenmouth"/>
        <s v="Whitemouth"/>
        <s v="East Wendy"/>
        <s v="New Frederick"/>
        <s v="Valeriebury"/>
        <s v="South Kelly"/>
        <s v="Brettfurt"/>
        <s v="Perrystad"/>
        <s v="East Tyler"/>
        <s v="North Cassidytown"/>
        <s v="New Renee"/>
        <s v="Andrewside"/>
        <s v="Edwardshire"/>
        <s v="Bergborough"/>
        <s v="Chaseberg"/>
        <s v="Lake Rickyside"/>
        <s v="West Lori"/>
        <s v="West Jessicaview"/>
        <s v="Rebeccaview"/>
        <s v="West Rebecca"/>
        <s v="South Sheilatown"/>
        <s v="Port Ryanborough"/>
        <s v="Darinport"/>
        <s v="New Jamesport"/>
        <s v="North Timothymouth"/>
        <s v="Deborahfurt"/>
        <s v="North Stephanieburgh"/>
        <s v="Kevinport"/>
        <s v="Danaville"/>
        <s v="North Allison"/>
        <s v="Shelbyland"/>
        <s v="South Penny"/>
        <s v="Smithfort"/>
        <s v="Kristinmouth"/>
        <s v="Roachview"/>
        <s v="Smithberg"/>
        <s v="New Timothyshire"/>
        <s v="Matthewstad"/>
        <s v="South Sharon"/>
        <s v="Shelbyberg"/>
        <s v="Port Cynthia"/>
        <s v="Mackmouth"/>
        <s v="Barrerafort"/>
        <s v="South Johntown"/>
        <s v="Jeffreychester"/>
        <s v="North Loretta"/>
        <s v="Ryanside"/>
        <s v="Kevinland"/>
        <s v="Aguirreberg"/>
        <s v="Kendraport"/>
        <s v="Francisbury"/>
        <s v="Erinshire"/>
        <s v="New Jesusstad"/>
        <s v="Courtneychester"/>
        <s v="Port Timothyburgh"/>
        <s v="Loribury"/>
        <s v="West Michelle"/>
        <s v="West Marie"/>
        <s v="Yeseniaport"/>
        <s v="South Gabriella"/>
        <s v="West Justin"/>
        <s v="Jacksonbury"/>
        <s v="Tonymouth"/>
        <s v="North Amy"/>
        <s v="Petersville"/>
        <s v="Edwardshaven"/>
        <s v="West Georgebury"/>
        <s v="New Keithland"/>
        <s v="East Cameronbury"/>
        <s v="East David"/>
        <s v="South Adamhaven"/>
        <s v="Jacksonfort"/>
        <s v="East Samuel"/>
        <s v="North Jason"/>
        <s v="Port Aaron"/>
        <s v="Elizabethfort"/>
        <s v="North Thomasland"/>
        <s v="West Johnstad"/>
        <s v="Jamesside"/>
        <s v="Theresaborough"/>
        <s v="South Lisafort"/>
        <s v="Johnsonbury"/>
        <s v="Pereztown"/>
        <s v="East Bryan"/>
        <s v="Coxtown"/>
        <s v="Nicholechester"/>
        <s v="South Raymondchester"/>
        <s v="West Carlos"/>
        <s v="New Jenniferburgh"/>
        <s v="Erintown"/>
        <s v="East Sheilaville"/>
        <s v="Jonesmouth"/>
        <s v="Port Oliviafort"/>
        <s v="Smithstad"/>
        <s v="Thomasview"/>
        <s v="Port Rachelton"/>
        <s v="Wattsland"/>
        <s v="South Robertburgh"/>
        <s v="West Brianna"/>
        <s v="Abigailfurt"/>
        <s v="South Lisamouth"/>
        <s v="Lake Timothychester"/>
        <s v="Lake Edwardmouth"/>
        <s v="East Veronica"/>
        <s v="Stephensmouth"/>
        <s v="East Douglas"/>
        <s v="West Jessica"/>
        <s v="Kennethmouth"/>
        <s v="East Heidibury"/>
        <s v="Bennettfort"/>
        <s v="Pricemouth"/>
        <s v="South Melissa"/>
        <s v="East Kevin"/>
        <s v="Anthonyville"/>
        <s v="Nelsonland"/>
        <s v="Doyleborough"/>
        <s v="West Francestown"/>
        <s v="South Williamtown"/>
        <s v="East Dianafurt"/>
        <s v="Martinberg"/>
        <s v="Corychester"/>
        <s v="New Racheltown"/>
        <s v="Port Hannahchester"/>
        <s v="Lake Patrickberg"/>
        <s v="Bennettmouth"/>
        <s v="Lake Donna"/>
        <s v="South Joe"/>
        <s v="East Jeffrey"/>
        <s v="East Brentview"/>
        <s v="Stantonfort"/>
        <s v="Stevenview"/>
        <s v="East Kathryn"/>
        <s v="Taylorberg"/>
        <s v="Taylorton"/>
        <s v="New Catherine"/>
        <s v="Garciatown"/>
        <s v="Gutierrezchester"/>
        <s v="Sanchezberg"/>
        <s v="Fullerland"/>
        <s v="North Catherineview"/>
        <s v="East Destiny"/>
        <s v="South Charles"/>
        <s v="New Pamelaborough"/>
        <s v="New Matthew"/>
        <s v="Alexanderfurt"/>
        <s v="New Manuelfort"/>
        <s v="Wrightshire"/>
        <s v="West Jason"/>
        <s v="Deborahside"/>
        <s v="Lindseyborough"/>
        <s v="West Julie"/>
        <s v="Wrightfort"/>
        <s v="New Donnabury"/>
        <s v="East Dianaborough"/>
        <s v="New Logan"/>
        <s v="East Lynnmouth"/>
        <s v="Robinsonstad"/>
        <s v="West Sarabury"/>
        <s v="Pachecoberg"/>
        <s v="Baileyfurt"/>
        <s v="Hudsonshire"/>
        <s v="Port Jacobtown"/>
        <s v="West Kevinside"/>
        <s v="West Allison"/>
        <s v="West Saraberg"/>
        <s v="South Christine"/>
        <s v="Williamstown"/>
        <s v="Wilsonport"/>
        <s v="Reynoldsstad"/>
        <s v="Riveraport"/>
        <s v="Thompsonton"/>
        <s v="Josephchester"/>
        <s v="Taylorside"/>
        <s v="New Angel"/>
        <s v="West Andrew"/>
        <s v="Lake Adam"/>
        <s v="New Michaelfort"/>
        <s v="Mathewsstad"/>
        <s v="East Corey"/>
        <s v="East Allison"/>
        <s v="Maxshire"/>
        <s v="Port Richard"/>
        <s v="West Laurenton"/>
        <s v="Cisnerosburgh"/>
        <s v="Amymouth"/>
        <s v="West Brenda"/>
        <s v="Youngmouth"/>
        <s v="Port Daryltown"/>
        <s v="North David"/>
        <s v="East Steven"/>
        <s v="Kennethstad"/>
        <s v="North Nathanside"/>
        <s v="Katieville"/>
        <s v="Port Mark"/>
        <s v="North Sandra"/>
        <s v="Walshtown"/>
        <s v="East Anthonyfurt"/>
        <s v="Joseshire"/>
        <s v="New Angelahaven"/>
        <s v="Maryland"/>
        <s v="Howestad"/>
        <s v="Stoneborough"/>
        <s v="Edwardfort"/>
        <s v="Samanthaton"/>
        <s v="Ayershaven"/>
        <s v="Guzmanville"/>
        <s v="Rivasmouth"/>
        <s v="Garciaton"/>
        <s v="Shieldsmouth"/>
        <s v="Mcintyrechester"/>
        <s v="Leeburgh"/>
        <s v="Stewarttown"/>
        <s v="Alexanderland"/>
        <s v="Blackfort"/>
        <s v="Joshuaberg"/>
        <s v="Lake Shelbyborough"/>
        <s v="Kimberlybury"/>
        <s v="Cookville"/>
        <s v="Port Nicoleburgh"/>
        <s v="Collinsstad"/>
        <s v="Lake Johnnyhaven"/>
        <s v="East Clifford"/>
        <s v="Smithview"/>
        <s v="West Dawnview"/>
        <s v="North Paige"/>
        <s v="New Melissa"/>
        <s v="Timberg"/>
        <s v="Murraytown"/>
        <s v="New Christophermouth"/>
        <s v="Stevensport"/>
        <s v="Brooksburgh"/>
        <s v="East Terriberg"/>
        <s v="Cruzshire"/>
        <s v="Melissatown"/>
        <s v="Brooksstad"/>
        <s v="Lisahaven"/>
        <s v="Lake Clayton"/>
        <s v="West Andrewburgh"/>
        <s v="Davidsonville"/>
        <s v="North Graceport"/>
        <s v="Port Danielleborough"/>
        <s v="New Alexandershire"/>
        <s v="North Coryfurt"/>
        <s v="Lake Joshua"/>
        <s v="New Johnny"/>
        <s v="Port Andreamouth"/>
        <s v="Vincentside"/>
        <s v="South Jeremy"/>
        <s v="West Deborahchester"/>
        <s v="Anthonyfort"/>
        <s v="South Alanburgh"/>
        <s v="Jamestown"/>
        <s v="South Ronaldshire"/>
        <s v="Duanetown"/>
        <s v="Port Charlesmouth"/>
        <s v="Frederickmouth"/>
        <s v="Lake Jessicaport"/>
        <s v="New Elizabeth"/>
        <s v="North Tonyport"/>
        <s v="Port Heidiview"/>
        <s v="South Amandamouth"/>
        <s v="Lake Zacharyborough"/>
        <s v="Brandymouth"/>
        <s v="Lake Jackberg"/>
        <s v="Port Kelseyborough"/>
        <s v="Mcclainstad"/>
        <s v="Charlesfurt"/>
        <s v="New Jimberg"/>
        <s v="Hansonview"/>
        <s v="Smithville"/>
        <s v="Lake Joelmouth"/>
        <s v="Lake Sharon"/>
        <s v="South Andreatown"/>
        <s v="Arnoldland"/>
        <s v="West Jeffery"/>
        <s v="Danielberg"/>
        <s v="Arnoldburgh"/>
        <s v="Coxmouth"/>
        <s v="Veronicaport"/>
        <s v="West Traceyside"/>
        <s v="Michaelville"/>
        <s v="South April"/>
        <s v="Riverafort"/>
        <s v="East Melindastad"/>
        <s v="Chambersbury"/>
        <s v="Dawsonberg"/>
        <s v="North Richard"/>
        <s v="Lake Daniellehaven"/>
        <s v="Nicholasport"/>
        <s v="Leachstad"/>
        <s v="Pagebury"/>
        <s v="Susanview"/>
        <s v="Hullside"/>
        <s v="Richardsland"/>
        <s v="Port Matthewborough"/>
        <s v="North Bryan"/>
        <s v="Manningport"/>
        <s v="South Bryan"/>
        <s v="New James"/>
        <s v="South Jason"/>
        <s v="Muellerstad"/>
        <s v="South Zacharyshire"/>
        <s v="Franklinborough"/>
        <s v="Smithshire"/>
        <s v="Garrettmouth"/>
        <s v="Blacktown"/>
        <s v="Edwardsbury"/>
        <s v="Port Morgan"/>
        <s v="Benjaminport"/>
        <s v="Rileyshire"/>
        <s v="South Jennifer"/>
        <s v="Murphybury"/>
        <s v="Edwardville"/>
        <s v="South Michael"/>
        <s v="South Mikayla"/>
        <s v="New Jennifershire"/>
        <s v="East Mitchell"/>
        <s v="Nicholasmouth"/>
        <s v="South Rodneyview"/>
        <s v="Robertfort"/>
        <s v="Davismouth"/>
        <s v="Bakershire"/>
        <s v="New Carol"/>
        <s v="North Amyville"/>
        <s v="Kellyberg"/>
        <s v="West Susan"/>
        <s v="Colemantown"/>
        <s v="South Tinafurt"/>
        <s v="Port Stevenland"/>
        <s v="Martinville"/>
        <s v="Markton"/>
        <s v="East Dianeland"/>
        <s v="Clarkstad"/>
        <s v="Georgeberg"/>
        <s v="Lake Melissaport"/>
        <s v="South Joshuahaven"/>
        <s v="Albertborough"/>
        <s v="West Curtisshire"/>
        <s v="Zhangchester"/>
        <s v="Stephanieborough"/>
        <s v="Adamstad"/>
        <s v="New Kellybury"/>
        <s v="South Darren"/>
        <s v="South Randallburgh"/>
        <s v="Vangburgh"/>
        <s v="Fletcherborough"/>
        <s v="Francesshire"/>
        <s v="South Jordanview"/>
        <s v="Port Jasonton"/>
        <s v="Port Laura"/>
        <s v="Port Paula"/>
        <s v="South Bobbyshire"/>
        <s v="Janetown"/>
        <s v="North Nancyton"/>
        <s v="North Kelly"/>
        <s v="Sarahville"/>
        <s v="Leahside"/>
        <s v="Millertown"/>
        <s v="North Lisa"/>
        <s v="Stephaniemouth"/>
        <s v="Debraborough"/>
        <s v="Erichaven"/>
        <s v="Christinefort"/>
        <s v="West Douglaston"/>
        <s v="Andersonburgh"/>
        <s v="Arthurport"/>
        <s v="Ernestmouth"/>
        <s v="New Ericmouth"/>
        <s v="Port Tanner"/>
        <s v="Brownland"/>
        <s v="West Joshua"/>
        <s v="East James"/>
        <s v="South Karenberg"/>
        <s v="Wallacemouth"/>
        <s v="West Kimberlyborough"/>
        <s v="Lonniebury"/>
        <s v="Farrellfurt"/>
        <s v="Fisherbury"/>
        <s v="Martinezfurt"/>
        <s v="Port Matthew"/>
        <s v="South Williamland"/>
        <s v="South Brianside"/>
        <s v="South Kristyview"/>
        <s v="West Troy"/>
        <s v="Garciachester"/>
        <s v="Lewisborough"/>
        <s v="Lake Bryanville"/>
        <s v="South Barbaraland"/>
        <s v="North Sherry"/>
        <s v="New Anthony"/>
        <s v="New Lori"/>
        <s v="North Jenna"/>
        <s v="Danielbury"/>
        <s v="Pearsonville"/>
        <s v="Port Amy"/>
        <s v="East Lisa"/>
        <s v="Alexanderton"/>
        <s v="Alvaradoberg"/>
        <s v="Melissafort"/>
        <s v="Barbaraton"/>
        <s v="Hendersonville"/>
        <s v="Codybury"/>
        <s v="West Rachelburgh"/>
        <s v="Rebeccaburgh"/>
        <s v="South Shawn"/>
        <s v="Lake Alexandraport"/>
        <s v="Lake Adamberg"/>
        <s v="South Crystalchester"/>
        <s v="Paulberg"/>
        <s v="Miguelton"/>
        <s v="Clinetown"/>
        <s v="Williamsside"/>
        <s v="Port Kayla"/>
        <s v="Jacksonton"/>
        <s v="Lake Erica"/>
        <s v="New Margaretshire"/>
        <s v="Williamsonport"/>
        <s v="North Jessica"/>
        <s v="Carolynbury"/>
        <s v="North Nicoleberg"/>
        <s v="Mooreport"/>
        <s v="Russellport"/>
        <s v="Bradleyside"/>
        <s v="Nicoleview"/>
        <s v="Nathanbury"/>
        <s v="Gilbertbury"/>
        <s v="Mariaton"/>
        <s v="Hallstad"/>
        <s v="Richardville"/>
        <s v="New Katelyn"/>
        <s v="Davidsonfurt"/>
        <s v="Harrisberg"/>
        <s v="Jasonborough"/>
        <s v="South Kennethchester"/>
        <s v="Lake Julieside"/>
        <s v="North Gabriel"/>
        <s v="Simmonsbury"/>
        <s v="Stacyside"/>
        <s v="Adamsshire"/>
        <s v="Lake Christine"/>
        <s v="South Nicoleview"/>
        <s v="North Anthony"/>
        <s v="Lake Johnathan"/>
        <s v="North John"/>
        <s v="New Bryan"/>
        <s v="Seanfort"/>
        <s v="West Leahville"/>
        <s v="Lake Ralphport"/>
        <s v="Gardnerfurt"/>
        <s v="Andreastad"/>
        <s v="North Catherine"/>
        <s v="Port Brianside"/>
        <s v="Alexanderbury"/>
        <s v="Millermouth"/>
        <s v="Williamsstad"/>
        <s v="Daughertyshire"/>
        <s v="Brownchester"/>
        <s v="Thomasstad"/>
        <s v="West David"/>
        <s v="Kelleyport"/>
        <s v="Matthewston"/>
        <s v="North Amanda"/>
        <s v="Javierchester"/>
        <s v="West Anthony"/>
        <s v="Hamiltonchester"/>
        <s v="Taylorshire"/>
        <s v="South Vanessaview"/>
        <s v="Byrdview"/>
        <s v="Lake Alicia"/>
        <s v="Murphyville"/>
        <s v="Rachaelborough"/>
        <s v="New Kimberly"/>
        <s v="Hessmouth"/>
        <s v="Mcconnellshire"/>
        <s v="Johnsonland"/>
        <s v="East Annashire"/>
        <s v="Burnsborough"/>
        <s v="Nicholasfort"/>
        <s v="Curtishaven"/>
        <s v="Port Lisaland"/>
        <s v="Danielleland"/>
        <s v="Cassandraberg"/>
        <s v="East Stephanie"/>
        <s v="Granthaven"/>
        <s v="Perezmouth"/>
        <s v="Kathleenport"/>
        <s v="East Matthew"/>
        <s v="Petersonbury"/>
        <s v="North Emily"/>
        <s v="Jenniferfort"/>
        <s v="Lake Dennisberg"/>
        <s v="Mirandashire"/>
        <s v="Hunterport"/>
        <s v="Sabrinaport"/>
        <s v="Laneton"/>
        <s v="South William"/>
        <s v="Higginsview"/>
        <s v="Evansborough"/>
        <s v="North Brianville"/>
        <s v="Ronaldtown"/>
        <s v="Port Bryanmouth"/>
        <s v="Port Todd"/>
        <s v="Traceychester"/>
        <s v="Jonesshire"/>
        <s v="South Anthonyport"/>
        <s v="West John"/>
        <s v="West Bill"/>
        <s v="New Saraland"/>
        <s v="Lake Abigailstad"/>
        <s v="Cherylfurt"/>
        <s v="Tylertown"/>
        <s v="Hughesland"/>
        <s v="Tonifurt"/>
        <s v="Garnerstad"/>
        <s v="Cantuland"/>
        <s v="Fletchertown"/>
        <s v="West Steveberg"/>
        <s v="Marissaport"/>
        <s v="New Nicoleview"/>
        <s v="West Sandra"/>
        <s v="North Johnnyberg"/>
        <s v="Lake Ryantown"/>
        <s v="West Abigailhaven"/>
        <s v="Julieburgh"/>
        <s v="Rayland"/>
        <s v="South Ravenfurt"/>
        <s v="Adamshire"/>
        <s v="West Nathaniel"/>
        <s v="Carrieton"/>
        <s v="Lake Andrea"/>
        <s v="Warnerhaven"/>
        <s v="South Matthewton"/>
        <s v="Anthonyberg"/>
        <s v="Garciahaven"/>
        <s v="Hartville"/>
        <s v="Lake Nicholas"/>
        <s v="North Kendra"/>
        <s v="Hillside"/>
        <s v="Potterfort"/>
        <s v="Port Erinside"/>
        <s v="Maryfort"/>
        <s v="Geraldchester"/>
        <s v="Jonstad"/>
        <s v="Lake Alan"/>
        <s v="East Brandonborough"/>
        <s v="New Kaitlynland"/>
        <s v="Laurenshire"/>
        <s v="West Davidland"/>
        <s v="North Stephaniehaven"/>
        <s v="South Arthurville"/>
        <s v="Brianside"/>
        <s v="Lake Melissaborough"/>
        <s v="Penaton"/>
        <s v="Oneilltown"/>
        <s v="East Stevenchester"/>
        <s v="South Elizabethmouth"/>
        <s v="Port Deniseland"/>
        <s v="East Adrianahaven"/>
        <s v="Martinmouth"/>
        <s v="West Autumnside"/>
        <s v="Robertton"/>
        <s v="Lake Steven"/>
        <s v="Larryfort"/>
        <s v="Barkerland"/>
        <s v="Roytown"/>
        <s v="Collinschester"/>
        <s v="Wrighttown"/>
        <s v="Wilsonburgh"/>
        <s v="New Sarah"/>
        <s v="New Genefurt"/>
        <s v="Port Daniel"/>
        <s v="Suzanneton"/>
        <s v="East Michelle"/>
        <s v="Josemouth"/>
        <s v="Foxside"/>
        <s v="North Brianna"/>
        <s v="East Jeffreytown"/>
        <s v="East Michael"/>
        <s v="Lindseyfort"/>
        <s v="Port Louisberg"/>
        <s v="Sharonland"/>
        <s v="Philipborough"/>
        <s v="Hinestown"/>
        <s v="North Geraldshire"/>
        <s v="North Lori"/>
        <s v="Justinville"/>
        <s v="Taylorstad"/>
        <s v="South Jameshaven"/>
        <s v="Port Keithchester"/>
        <s v="East Amy"/>
        <s v="Ryanville"/>
        <s v="South Debbie"/>
        <s v="New Russellfort"/>
        <s v="Haleybury"/>
        <s v="Lindsaymouth"/>
        <s v="Erinfurt"/>
        <s v="West Heather"/>
        <s v="North Johnport"/>
        <s v="Port David"/>
        <s v="East Brianside"/>
        <s v="East Johnstad"/>
        <s v="East Dakota"/>
        <s v="North Alexamouth"/>
        <s v="Davidhaven"/>
        <s v="Taylorfort"/>
        <s v="Mercadoton"/>
        <s v="Jenkinstown"/>
        <s v="South Lesliefort"/>
        <s v="Aguilarville"/>
        <s v="North Max"/>
        <s v="Susanberg"/>
        <s v="East Alex"/>
        <s v="Yangberg"/>
        <s v="Davidsonhaven"/>
        <s v="Port Pamela"/>
        <s v="Port Clairemouth"/>
        <s v="Teresaburgh"/>
        <s v="Hernandeztown"/>
        <s v="Timothyville"/>
        <s v="Joshuaburgh"/>
        <s v="East Sherrymouth"/>
        <s v="Davidbury"/>
        <s v="Lake Beckyberg"/>
        <s v="Paulville"/>
        <s v="Michellebury"/>
        <s v="Johnmouth"/>
        <s v="Mariahport"/>
        <s v="South Jessica"/>
        <s v="Port Robertberg"/>
        <s v="Diazland"/>
        <s v="Alisonfurt"/>
        <s v="East Deborah"/>
        <s v="Kristentown"/>
        <s v="South Holly"/>
        <s v="Lisashire"/>
        <s v="Lake Johnland"/>
        <s v="Lake Annette"/>
        <s v="Leechester"/>
        <s v="Annberg"/>
        <s v="Danielsmouth"/>
        <s v="Nicholaston"/>
        <s v="Jerryshire"/>
        <s v="North Bianca"/>
        <s v="Michaelbury"/>
        <s v="Lake Michael"/>
        <s v="Carrillofurt"/>
        <s v="Patrickbury"/>
        <s v="Lake Maryport"/>
        <s v="New Danielbury"/>
        <s v="Jamesstad"/>
        <s v="Alexandermouth"/>
        <s v="Johnsonton"/>
        <s v="East Bryceshire"/>
        <s v="West Bobby"/>
        <s v="Schultzstad"/>
        <s v="South Christopher"/>
        <s v="Michaelberg"/>
        <s v="North Lorettaside"/>
        <s v="New Rhondaborough"/>
        <s v="Davisburgh"/>
        <s v="Jaredmouth"/>
        <s v="Port Juan"/>
        <s v="Campbellmouth"/>
        <s v="Hooperfort"/>
        <s v="East Shirleyview"/>
        <s v="Robertberg"/>
        <s v="Brownberg"/>
        <s v="North Katherine"/>
        <s v="West Tamaraville"/>
        <s v="South Diana"/>
        <s v="Anthonyborough"/>
        <s v="Sharpburgh"/>
        <s v="Lake Alecshire"/>
        <s v="Mcclainbury"/>
        <s v="Wellsview"/>
        <s v="Nicolefort"/>
        <s v="South Shannon"/>
        <s v="East Jimmyhaven"/>
        <s v="Lake Amber"/>
        <s v="Port Kimberly"/>
        <s v="Heidifurt"/>
        <s v="Port Anthony"/>
        <s v="Kaylaland"/>
        <s v="Lake Shaunmouth"/>
        <s v="Davisland"/>
        <s v="Kevinfort"/>
        <s v="Paulstad"/>
        <s v="Tombury"/>
        <s v="Holtfort"/>
        <s v="Nashfort"/>
        <s v="East Tracey"/>
        <s v="North Maria"/>
        <s v="East Andrew"/>
        <s v="Lake Jamesside"/>
        <s v="Port Williammouth"/>
        <s v="Martinshire"/>
        <s v="Wellschester"/>
        <s v="Mirandabury"/>
        <s v="West William"/>
        <s v="Fergusonchester"/>
        <s v="East Lauraburgh"/>
        <s v="Lisaville"/>
        <s v="Victoriabury"/>
        <s v="Adamborough"/>
        <s v="Bartonbury"/>
        <s v="North Victoria"/>
        <s v="Jayland"/>
        <s v="Hatfieldbury"/>
        <s v="New John"/>
        <s v="East Gavinmouth"/>
        <s v="Bakerhaven"/>
        <s v="West Jeremy"/>
        <s v="Lake Dianaville"/>
        <s v="West Kenneth"/>
        <s v="Ianchester"/>
        <s v="Stephanieton"/>
        <s v="Lake Robertstad"/>
        <s v="South Theresaberg"/>
        <s v="Stephensberg"/>
        <s v="Jackstad"/>
        <s v="Kellyland"/>
        <s v="Neilville"/>
        <s v="South Daniel"/>
        <s v="East Renee"/>
        <s v="Webbchester"/>
        <s v="Angelaberg"/>
        <s v="New Mark"/>
        <s v="North Alexland"/>
        <s v="Choichester"/>
        <s v="Erikmouth"/>
        <s v="Mckenzieburgh"/>
        <s v="West Rebeccafurt"/>
        <s v="South Justin"/>
        <s v="West Olivia"/>
        <s v="Edwardsburgh"/>
        <s v="Jennifertown"/>
        <s v="Rogerchester"/>
        <s v="Ashleymouth"/>
        <s v="Jonathantown"/>
        <s v="New Rachel"/>
        <s v="Danielburgh"/>
        <s v="North Chasechester"/>
        <s v="South Bryantown"/>
        <s v="South Nicholasland"/>
        <s v="Lake Laurie"/>
        <s v="Carterville"/>
        <s v="Francisside"/>
        <s v="Bauerport"/>
        <s v="Port Kimberlyfurt"/>
        <s v="Mauricebury"/>
        <s v="Gloriashire"/>
        <s v="Gregorychester"/>
        <s v="Mooreton"/>
        <s v="Jeffreyton"/>
        <s v="Lake Tina"/>
        <s v="Clayville"/>
        <s v="Wadetown"/>
        <s v="Vincentborough"/>
        <s v="Lake Garyberg"/>
        <s v="Lake Charlesview"/>
        <s v="Port Hectormouth"/>
        <s v="Ryanland"/>
        <s v="Lake Maria"/>
        <s v="Claytonfurt"/>
        <s v="Joannastad"/>
        <s v="Sanchezfort"/>
        <s v="South Angelaberg"/>
        <s v="New Karen"/>
        <s v="South Richard"/>
        <s v="Bryanmouth"/>
        <s v="Eduardoberg"/>
        <s v="Barnettton"/>
        <s v="Andrewport"/>
        <s v="North Cynthia"/>
        <s v="North Juan"/>
        <s v="North Jamesburgh"/>
        <s v="Burgessborough"/>
        <s v="Lake Daniel"/>
        <s v="Nicholaschester"/>
        <s v="Carolinefort"/>
        <s v="Rodgersfurt"/>
        <s v="West Aaronborough"/>
        <s v="Karenland"/>
        <s v="Masseystad"/>
        <s v="Hensleymouth"/>
        <s v="Matthewberg"/>
        <s v="Ronnieland"/>
        <s v="Lake Jenniferborough"/>
        <s v="Lake Alejandrofurt"/>
        <s v="East Brittneybury"/>
        <s v="Grantbury"/>
        <s v="Sherriton"/>
        <s v="Trevinoport"/>
        <s v="Port Danielport"/>
        <s v="New Edwardfort"/>
        <s v="Walterborough"/>
        <s v="Hendrixmouth"/>
        <s v="Port Melissaville"/>
        <s v="East Holly"/>
        <s v="Holdermouth"/>
        <s v="South Joanbury"/>
        <s v="Williamsville"/>
        <s v="Lake Meganburgh"/>
        <s v="Lake Hollyport"/>
        <s v="New Williamshire"/>
        <s v="Ortegabury"/>
        <s v="New Julie"/>
        <s v="Derekburgh"/>
        <s v="Carlosport"/>
        <s v="Port Patricktown"/>
        <s v="South Crystalstad"/>
        <s v="Emilyside"/>
        <s v="Kingtown"/>
        <s v="North Juliemouth"/>
        <s v="Michelletown"/>
        <s v="Port Willie"/>
        <s v="South Sheilafort"/>
        <s v="New Tamara"/>
        <s v="Nicholastown"/>
        <s v="Kimbury"/>
        <s v="Mathismouth"/>
        <s v="Careybury"/>
        <s v="North Roger"/>
        <s v="Sullivantown"/>
        <s v="East Eric"/>
        <s v="New Mario"/>
        <s v="Stephaniehaven"/>
        <s v="South Samantha"/>
        <s v="East Josemouth"/>
        <s v="South Johnmouth"/>
        <s v="Jonathonmouth"/>
        <s v="Kellyhaven"/>
        <s v="Meganmouth"/>
        <s v="Hansonfort"/>
        <s v="East Frankfurt"/>
        <s v="Taylorburgh"/>
        <s v="Rachelton"/>
        <s v="Ortizmouth"/>
        <s v="East Ericchester"/>
        <s v="Brittneyberg"/>
        <s v="Port Williamland"/>
        <s v="East Shannon"/>
        <s v="East Ryan"/>
        <s v="Robertchester"/>
        <s v="Matthewchester"/>
        <s v="Virginiaville"/>
        <s v="Berrystad"/>
        <s v="New Jenniferbury"/>
        <s v="West Brooketon"/>
        <s v="East Joshua"/>
        <s v="East Melissa"/>
        <s v="Martinezside"/>
        <s v="Garciabury"/>
        <s v="New Michaeltown"/>
        <s v="South Dustin"/>
        <s v="Johnborough"/>
        <s v="Chadville"/>
        <s v="Philipton"/>
        <s v="South Brian"/>
        <s v="Nicholsburgh"/>
        <s v="West Devon"/>
        <s v="Codychester"/>
        <s v="Hutchinsonmouth"/>
        <s v="Johnschester"/>
        <s v="New Whitneytown"/>
        <s v="West April"/>
        <s v="North Kevinshire"/>
        <s v="Crossview"/>
        <s v="Loristad"/>
        <s v="Blackwellberg"/>
        <s v="Erikaland"/>
        <s v="Bridgeschester"/>
        <s v="Lake Breanna"/>
        <s v="Jackport"/>
        <s v="Port Courtney"/>
        <s v="Jamesfurt"/>
      </sharedItems>
    </cacheField>
    <cacheField name="Quantity" numFmtId="0">
      <sharedItems containsSemiMixedTypes="0" containsString="0" containsNumber="1" containsInteger="1" minValue="1" maxValue="10"/>
    </cacheField>
    <cacheField name="Unit Price" numFmtId="0">
      <sharedItems containsSemiMixedTypes="0" containsString="0" containsNumber="1" containsInteger="1" minValue="100" maxValue="4997"/>
    </cacheField>
    <cacheField name="Discount (%)" numFmtId="0">
      <sharedItems containsSemiMixedTypes="0" containsString="0" containsNumber="1" containsInteger="1" minValue="0" maxValue="20"/>
    </cacheField>
    <cacheField name="Sales Amount" numFmtId="0">
      <sharedItems containsSemiMixedTypes="0" containsString="0" containsNumber="1" minValue="624.20000000000005" maxValue="50527"/>
    </cacheField>
    <cacheField name="Cost Price" numFmtId="0">
      <sharedItems containsSemiMixedTypes="0" containsString="0" containsNumber="1" minValue="122.13" maxValue="49750.61"/>
    </cacheField>
    <cacheField name="Profit" numFmtId="0">
      <sharedItems containsSemiMixedTypes="0" containsString="0" containsNumber="1" minValue="199.12" maxValue="999.4"/>
    </cacheField>
    <cacheField name="Payment Mode" numFmtId="0">
      <sharedItems/>
    </cacheField>
    <cacheField name="Delivery Status" numFmtId="0">
      <sharedItems/>
    </cacheField>
    <cacheField name="Supplier Name" numFmtId="0">
      <sharedItems/>
    </cacheField>
    <cacheField name="Supplier Email" numFmtId="0">
      <sharedItems/>
    </cacheField>
    <cacheField name="Stock left" numFmtId="0">
      <sharedItems containsSemiMixedTypes="0" containsString="0" containsNumber="1" containsInteger="1" minValue="0" maxValue="50"/>
    </cacheField>
    <cacheField name="Auto Reorder" numFmtId="0">
      <sharedItems/>
    </cacheField>
    <cacheField name="Reorder Quantity" numFmtId="0">
      <sharedItems containsSemiMixedTypes="0" containsString="0" containsNumber="1" containsInteger="1" minValue="0" maxValue="50"/>
    </cacheField>
    <cacheField name="Months (Order Date)" numFmtId="0" databaseField="0">
      <fieldGroup base="1">
        <rangePr groupBy="months" startDate="2023-11-05T00:00:00" endDate="2025-11-05T00:00:00"/>
        <groupItems count="14">
          <s v="&lt;05-11-2023"/>
          <s v="Jan"/>
          <s v="Feb"/>
          <s v="Mar"/>
          <s v="Apr"/>
          <s v="May"/>
          <s v="Jun"/>
          <s v="Jul"/>
          <s v="Aug"/>
          <s v="Sep"/>
          <s v="Oct"/>
          <s v="Nov"/>
          <s v="Dec"/>
          <s v="&gt;05-11-2025"/>
        </groupItems>
      </fieldGroup>
    </cacheField>
    <cacheField name="Quarters (Order Date)" numFmtId="0" databaseField="0">
      <fieldGroup base="1">
        <rangePr groupBy="quarters" startDate="2023-11-05T00:00:00" endDate="2025-11-05T00:00:00"/>
        <groupItems count="6">
          <s v="&lt;05-11-2023"/>
          <s v="Qtr1"/>
          <s v="Qtr2"/>
          <s v="Qtr3"/>
          <s v="Qtr4"/>
          <s v="&gt;05-11-2025"/>
        </groupItems>
      </fieldGroup>
    </cacheField>
    <cacheField name="Years (Order Date)" numFmtId="0" databaseField="0">
      <fieldGroup base="1">
        <rangePr groupBy="years" startDate="2023-11-05T00:00:00" endDate="2025-11-05T00:00:00"/>
        <groupItems count="5">
          <s v="&lt;05-11-2023"/>
          <s v="2023"/>
          <s v="2024"/>
          <s v="2025"/>
          <s v="&gt;05-11-2025"/>
        </groupItems>
      </fieldGroup>
    </cacheField>
  </cacheFields>
  <extLst>
    <ext xmlns:x14="http://schemas.microsoft.com/office/spreadsheetml/2009/9/main" uri="{725AE2AE-9491-48be-B2B4-4EB974FC3084}">
      <x14:pivotCacheDefinition pivotCacheId="17663245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1000"/>
    <x v="0"/>
    <d v="2024-12-26T00:00:00"/>
    <s v="CUST647"/>
    <x v="0"/>
    <x v="0"/>
    <s v="PROD4702"/>
    <s v="Notebook"/>
    <x v="0"/>
    <x v="0"/>
    <x v="0"/>
    <x v="0"/>
    <n v="8"/>
    <n v="2510"/>
    <n v="20"/>
    <n v="17064"/>
    <n v="16064.9"/>
    <n v="999.1"/>
    <s v="UPI"/>
    <s v="Delivered"/>
    <s v="Coleman, Villanueva and Wagner"/>
    <s v="markhouse@nguyen.com"/>
    <n v="9"/>
    <s v="Yes"/>
    <n v="35"/>
  </r>
  <r>
    <s v="ORD1001"/>
    <x v="1"/>
    <d v="2025-07-25T00:00:00"/>
    <s v="CUST917"/>
    <x v="1"/>
    <x v="0"/>
    <s v="PROD5337"/>
    <s v="Mouse"/>
    <x v="1"/>
    <x v="1"/>
    <x v="1"/>
    <x v="1"/>
    <n v="6"/>
    <n v="4340"/>
    <n v="15"/>
    <n v="23134"/>
    <n v="22134.6"/>
    <n v="999.4"/>
    <s v="Cash"/>
    <s v="Pending"/>
    <s v="Stewart-Johnson"/>
    <s v="jesse34@padilla.com"/>
    <n v="49"/>
    <s v="No"/>
    <n v="0"/>
  </r>
  <r>
    <s v="ORD1002"/>
    <x v="2"/>
    <d v="2025-10-25T00:00:00"/>
    <s v="CUST704"/>
    <x v="2"/>
    <x v="1"/>
    <s v="PROD6653"/>
    <s v="Pen"/>
    <x v="0"/>
    <x v="1"/>
    <x v="2"/>
    <x v="2"/>
    <n v="6"/>
    <n v="4567"/>
    <n v="20"/>
    <n v="22921.599999999999"/>
    <n v="21922.240000000002"/>
    <n v="999.36"/>
    <s v="Cash"/>
    <s v="Delivered"/>
    <s v="Murphy Inc"/>
    <s v="loriwhite@watts-lee.org"/>
    <n v="20"/>
    <s v="No"/>
    <n v="0"/>
  </r>
  <r>
    <s v="ORD1003"/>
    <x v="3"/>
    <d v="2024-07-28T00:00:00"/>
    <s v="CUST204"/>
    <x v="3"/>
    <x v="0"/>
    <s v="PROD4940"/>
    <s v="Calculator"/>
    <x v="0"/>
    <x v="1"/>
    <x v="3"/>
    <x v="3"/>
    <n v="5"/>
    <n v="3585"/>
    <n v="0"/>
    <n v="18925"/>
    <n v="17925.75"/>
    <n v="999.25"/>
    <s v="UPI"/>
    <s v="Pending"/>
    <s v="Herring-Caldwell"/>
    <s v="colemanjoy@ballard.com"/>
    <n v="39"/>
    <s v="No"/>
    <n v="0"/>
  </r>
  <r>
    <s v="ORD1004"/>
    <x v="4"/>
    <d v="2024-10-24T00:00:00"/>
    <s v="CUST574"/>
    <x v="4"/>
    <x v="1"/>
    <s v="PROD7234"/>
    <s v="Headphones"/>
    <x v="1"/>
    <x v="1"/>
    <x v="4"/>
    <x v="4"/>
    <n v="5"/>
    <n v="2624"/>
    <n v="20"/>
    <n v="11496"/>
    <n v="10496.78"/>
    <n v="999.22"/>
    <s v="Credit card"/>
    <s v="Delivered"/>
    <s v="Murphy-Nicholson"/>
    <s v="wilkinsmartha@sutton-melendez.com"/>
    <n v="43"/>
    <s v="No"/>
    <n v="0"/>
  </r>
  <r>
    <s v="ORD1005"/>
    <x v="5"/>
    <d v="2024-03-26T00:00:00"/>
    <s v="CUST761"/>
    <x v="5"/>
    <x v="0"/>
    <s v="PROD9984"/>
    <s v="Notebook"/>
    <x v="0"/>
    <x v="0"/>
    <x v="5"/>
    <x v="5"/>
    <n v="5"/>
    <n v="1998"/>
    <n v="5"/>
    <n v="10490.5"/>
    <n v="9491.1200000000008"/>
    <n v="999.38"/>
    <s v="UPI"/>
    <s v="Cancelled"/>
    <s v="Noble Inc"/>
    <s v="wmoore@watts-moore.net"/>
    <n v="17"/>
    <s v="No"/>
    <n v="0"/>
  </r>
  <r>
    <s v="ORD1006"/>
    <x v="6"/>
    <d v="2024-11-25T00:00:00"/>
    <s v="CUST198"/>
    <x v="6"/>
    <x v="2"/>
    <s v="PROD1084"/>
    <s v="Mouse"/>
    <x v="1"/>
    <x v="2"/>
    <x v="6"/>
    <x v="6"/>
    <n v="4"/>
    <n v="2338"/>
    <n v="5"/>
    <n v="9884.4"/>
    <n v="8885.1"/>
    <n v="999.3"/>
    <s v="Net Banking"/>
    <s v="Pending"/>
    <s v="Huffman-Donovan"/>
    <s v="sawyeranne@monroe.biz"/>
    <n v="47"/>
    <s v="No"/>
    <n v="0"/>
  </r>
  <r>
    <s v="ORD1007"/>
    <x v="7"/>
    <d v="2025-04-02T00:00:00"/>
    <s v="CUST653"/>
    <x v="7"/>
    <x v="0"/>
    <s v="PROD1045"/>
    <s v="Sofa"/>
    <x v="2"/>
    <x v="2"/>
    <x v="7"/>
    <x v="7"/>
    <n v="4"/>
    <n v="1073"/>
    <n v="0"/>
    <n v="5292"/>
    <n v="4292.68"/>
    <n v="999.32"/>
    <s v="Net Banking"/>
    <s v="Pending"/>
    <s v="Franklin-Chavez"/>
    <s v="powellbradley@young.com"/>
    <n v="33"/>
    <s v="No"/>
    <n v="0"/>
  </r>
  <r>
    <s v="ORD1008"/>
    <x v="8"/>
    <d v="2025-10-13T00:00:00"/>
    <s v="CUST739"/>
    <x v="8"/>
    <x v="0"/>
    <s v="PROD4244"/>
    <s v="Dining Table"/>
    <x v="2"/>
    <x v="3"/>
    <x v="8"/>
    <x v="8"/>
    <n v="3"/>
    <n v="522"/>
    <n v="0"/>
    <n v="2566"/>
    <n v="1566.62"/>
    <n v="999.38"/>
    <s v="UPI"/>
    <s v="Delivered"/>
    <s v="Evans-Thomas"/>
    <s v="alexander05@ford-garza.com"/>
    <n v="14"/>
    <s v="No"/>
    <n v="0"/>
  </r>
  <r>
    <s v="ORD1009"/>
    <x v="9"/>
    <d v="2024-09-07T00:00:00"/>
    <s v="CUST129"/>
    <x v="9"/>
    <x v="1"/>
    <s v="PROD8938"/>
    <s v="Monitor"/>
    <x v="1"/>
    <x v="0"/>
    <x v="9"/>
    <x v="9"/>
    <n v="7"/>
    <n v="765"/>
    <n v="10"/>
    <n v="5819.5"/>
    <n v="4820.22"/>
    <n v="999.28"/>
    <s v="Credit card"/>
    <s v="Cancelled"/>
    <s v="Stevens, Baldwin and Wright"/>
    <s v="carrolladrienne@jones.biz"/>
    <n v="31"/>
    <s v="No"/>
    <n v="0"/>
  </r>
  <r>
    <s v="ORD1010"/>
    <x v="10"/>
    <d v="2024-06-09T00:00:00"/>
    <s v="CUST269"/>
    <x v="10"/>
    <x v="1"/>
    <s v="PROD4046"/>
    <s v="Rice Bag"/>
    <x v="3"/>
    <x v="3"/>
    <x v="10"/>
    <x v="10"/>
    <n v="10"/>
    <n v="4874"/>
    <n v="0"/>
    <n v="49740"/>
    <n v="48740.63"/>
    <n v="999.37"/>
    <s v="Cash"/>
    <s v="Returned"/>
    <s v="Nunez, Arellano and Gomez"/>
    <s v="smithpamela@powell.com"/>
    <n v="2"/>
    <s v="Yes"/>
    <n v="48"/>
  </r>
  <r>
    <s v="ORD1011"/>
    <x v="11"/>
    <d v="2024-11-28T00:00:00"/>
    <s v="CUST329"/>
    <x v="11"/>
    <x v="2"/>
    <s v="PROD9339"/>
    <s v="Rice Bag"/>
    <x v="3"/>
    <x v="0"/>
    <x v="4"/>
    <x v="11"/>
    <n v="8"/>
    <n v="3314"/>
    <n v="5"/>
    <n v="26186.400000000001"/>
    <n v="25187.25"/>
    <n v="999.15"/>
    <s v="Cash"/>
    <s v="Pending"/>
    <s v="Summers Inc"/>
    <s v="michael34@allen.com"/>
    <n v="20"/>
    <s v="No"/>
    <n v="0"/>
  </r>
  <r>
    <s v="ORD1012"/>
    <x v="12"/>
    <d v="2024-02-24T00:00:00"/>
    <s v="CUST980"/>
    <x v="12"/>
    <x v="0"/>
    <s v="PROD1188"/>
    <s v="Cooking oil"/>
    <x v="3"/>
    <x v="1"/>
    <x v="11"/>
    <x v="12"/>
    <n v="6"/>
    <n v="1491"/>
    <n v="20"/>
    <n v="8156.8"/>
    <n v="7157.41"/>
    <n v="999.39"/>
    <s v="UPI"/>
    <s v="Delivered"/>
    <s v="Anderson PLC"/>
    <s v="alison96@walsh.com"/>
    <n v="5"/>
    <s v="Yes"/>
    <n v="44"/>
  </r>
  <r>
    <s v="ORD1013"/>
    <x v="13"/>
    <d v="2025-06-24T00:00:00"/>
    <s v="CUST636"/>
    <x v="13"/>
    <x v="2"/>
    <s v="PROD7608"/>
    <s v="Office Chair"/>
    <x v="2"/>
    <x v="1"/>
    <x v="12"/>
    <x v="13"/>
    <n v="3"/>
    <n v="2497"/>
    <n v="5"/>
    <n v="8116.45"/>
    <n v="7117.25"/>
    <n v="999.2"/>
    <s v="Credit card"/>
    <s v="Returned"/>
    <s v="Williams Ltd"/>
    <s v="timothy74@lynn.biz"/>
    <n v="10"/>
    <s v="No"/>
    <n v="0"/>
  </r>
  <r>
    <s v="ORD1014"/>
    <x v="14"/>
    <d v="2024-09-10T00:00:00"/>
    <s v="CUST910"/>
    <x v="14"/>
    <x v="0"/>
    <s v="PROD9353"/>
    <s v="Laptop"/>
    <x v="1"/>
    <x v="3"/>
    <x v="13"/>
    <x v="14"/>
    <n v="1"/>
    <n v="495"/>
    <n v="5"/>
    <n v="1470.25"/>
    <n v="471.06"/>
    <n v="999.19"/>
    <s v="Credit card"/>
    <s v="Cancelled"/>
    <s v="Hughes PLC"/>
    <s v="stephaniemartinez@olson.com"/>
    <n v="28"/>
    <s v="No"/>
    <n v="0"/>
  </r>
  <r>
    <s v="ORD1015"/>
    <x v="15"/>
    <d v="2024-01-02T00:00:00"/>
    <s v="CUST755"/>
    <x v="15"/>
    <x v="0"/>
    <s v="PROD1156"/>
    <s v="Cooking oil"/>
    <x v="3"/>
    <x v="2"/>
    <x v="14"/>
    <x v="15"/>
    <n v="6"/>
    <n v="3165"/>
    <n v="15"/>
    <n v="17141.5"/>
    <n v="16142.36"/>
    <n v="999.14"/>
    <s v="Net Banking"/>
    <s v="Pending"/>
    <s v="Perez, Morgan and Bennett"/>
    <s v="ralphgarcia@flores-levy.com"/>
    <n v="42"/>
    <s v="No"/>
    <n v="0"/>
  </r>
  <r>
    <s v="ORD1016"/>
    <x v="16"/>
    <d v="2025-11-05T00:00:00"/>
    <s v="CUST271"/>
    <x v="16"/>
    <x v="1"/>
    <s v="PROD4701"/>
    <s v="Bookshell"/>
    <x v="2"/>
    <x v="3"/>
    <x v="15"/>
    <x v="16"/>
    <n v="3"/>
    <n v="3381"/>
    <n v="5"/>
    <n v="10635.85"/>
    <n v="9636.56"/>
    <n v="999.29"/>
    <s v="Net Banking"/>
    <s v="Returned"/>
    <s v="Hayes Inc"/>
    <s v="yperry@johnson-chavez.com"/>
    <n v="7"/>
    <s v="Yes"/>
    <n v="32"/>
  </r>
  <r>
    <s v="ORD1017"/>
    <x v="17"/>
    <d v="2025-11-08T00:00:00"/>
    <s v="CUST493"/>
    <x v="17"/>
    <x v="0"/>
    <s v="PROD3689"/>
    <s v="Stapler"/>
    <x v="0"/>
    <x v="1"/>
    <x v="16"/>
    <x v="17"/>
    <n v="6"/>
    <n v="3243"/>
    <n v="5"/>
    <n v="19485.099999999999"/>
    <n v="18485.990000000002"/>
    <n v="999.11"/>
    <s v="Net Banking"/>
    <s v="Pending"/>
    <s v="Frank LLC"/>
    <s v="johnsonalicia@lewis-kennedy.com"/>
    <n v="43"/>
    <s v="No"/>
    <n v="0"/>
  </r>
  <r>
    <s v="ORD1018"/>
    <x v="18"/>
    <d v="2024-10-27T00:00:00"/>
    <s v="CUST329"/>
    <x v="18"/>
    <x v="0"/>
    <s v="PROD5202"/>
    <s v="File Folder"/>
    <x v="0"/>
    <x v="1"/>
    <x v="17"/>
    <x v="18"/>
    <n v="9"/>
    <n v="2832"/>
    <n v="5"/>
    <n v="25213.599999999999"/>
    <n v="24214.33"/>
    <n v="999.27"/>
    <s v="Net Banking"/>
    <s v="Returned"/>
    <s v="Thomas, Mccormick and Nelson"/>
    <s v="lbarnett@reid.com"/>
    <n v="32"/>
    <s v="No"/>
    <n v="0"/>
  </r>
  <r>
    <s v="ORD1019"/>
    <x v="19"/>
    <d v="2024-03-14T00:00:00"/>
    <s v="CUST441"/>
    <x v="19"/>
    <x v="1"/>
    <s v="PROD4257"/>
    <s v="Office Chair"/>
    <x v="2"/>
    <x v="3"/>
    <x v="4"/>
    <x v="19"/>
    <n v="5"/>
    <n v="3243"/>
    <n v="5"/>
    <n v="16404.25"/>
    <n v="15404.89"/>
    <n v="999.36"/>
    <s v="Credit card"/>
    <s v="Cancelled"/>
    <s v="Tran-Cohen"/>
    <s v="tfrazier@smith.info"/>
    <n v="50"/>
    <s v="No"/>
    <n v="0"/>
  </r>
  <r>
    <s v="ORD1020"/>
    <x v="20"/>
    <d v="2024-09-01T00:00:00"/>
    <s v="CUST790"/>
    <x v="20"/>
    <x v="0"/>
    <s v="PROD6153"/>
    <s v="File Folder"/>
    <x v="0"/>
    <x v="0"/>
    <x v="18"/>
    <x v="20"/>
    <n v="3"/>
    <n v="928"/>
    <n v="15"/>
    <n v="3366.4"/>
    <n v="2367.2600000000002"/>
    <n v="999.14"/>
    <s v="Net Banking"/>
    <s v="Delivered"/>
    <s v="Nelson LLC"/>
    <s v="jacob82@macdonald.org"/>
    <n v="36"/>
    <s v="No"/>
    <n v="0"/>
  </r>
  <r>
    <s v="ORD1021"/>
    <x v="21"/>
    <d v="2024-03-17T00:00:00"/>
    <s v="CUST715"/>
    <x v="21"/>
    <x v="1"/>
    <s v="PROD8664"/>
    <s v="Sugar"/>
    <x v="3"/>
    <x v="1"/>
    <x v="19"/>
    <x v="21"/>
    <n v="8"/>
    <n v="3621"/>
    <n v="15"/>
    <n v="25622.799999999999"/>
    <n v="24623.48"/>
    <n v="999.32"/>
    <s v="Credit card"/>
    <s v="Delivered"/>
    <s v="Mills-Brown"/>
    <s v="dbaldwin@anderson-jones.com"/>
    <n v="46"/>
    <s v="No"/>
    <n v="0"/>
  </r>
  <r>
    <s v="ORD1022"/>
    <x v="22"/>
    <d v="2025-06-06T00:00:00"/>
    <s v="CUST293"/>
    <x v="22"/>
    <x v="2"/>
    <s v="PROD2151"/>
    <s v="Pen"/>
    <x v="0"/>
    <x v="0"/>
    <x v="20"/>
    <x v="22"/>
    <n v="10"/>
    <n v="1382"/>
    <n v="5"/>
    <n v="14129"/>
    <n v="13129.89"/>
    <n v="999.11"/>
    <s v="Net Banking"/>
    <s v="Returned"/>
    <s v="Lee, Leblanc and Shepherd"/>
    <s v="robertsonanthony@gray-baker.com"/>
    <n v="34"/>
    <s v="No"/>
    <n v="0"/>
  </r>
  <r>
    <s v="ORD1023"/>
    <x v="23"/>
    <d v="2024-07-09T00:00:00"/>
    <s v="CUST970"/>
    <x v="23"/>
    <x v="2"/>
    <s v="PROD8667"/>
    <s v="Notebook"/>
    <x v="0"/>
    <x v="1"/>
    <x v="21"/>
    <x v="23"/>
    <n v="6"/>
    <n v="1507"/>
    <n v="20"/>
    <n v="8233.6"/>
    <n v="7234.46"/>
    <n v="999.14"/>
    <s v="UPI"/>
    <s v="Returned"/>
    <s v="Tucker, Riley and Lane"/>
    <s v="christinamccormick@miller-hebert.com"/>
    <n v="35"/>
    <s v="No"/>
    <n v="0"/>
  </r>
  <r>
    <s v="ORD1024"/>
    <x v="24"/>
    <d v="2024-03-25T00:00:00"/>
    <s v="CUST733"/>
    <x v="24"/>
    <x v="1"/>
    <s v="PROD2501"/>
    <s v="Rice Bag"/>
    <x v="3"/>
    <x v="2"/>
    <x v="0"/>
    <x v="24"/>
    <n v="6"/>
    <n v="3700"/>
    <n v="10"/>
    <n v="20980"/>
    <n v="19980.8"/>
    <n v="999.2"/>
    <s v="Credit card"/>
    <s v="Cancelled"/>
    <s v="Huynh, Roman and Johnson"/>
    <s v="jennysimon@vazquez-woods.com"/>
    <n v="36"/>
    <s v="No"/>
    <n v="0"/>
  </r>
  <r>
    <s v="ORD1025"/>
    <x v="25"/>
    <d v="2024-07-20T00:00:00"/>
    <s v="CUST974"/>
    <x v="25"/>
    <x v="1"/>
    <s v="PROD6439"/>
    <s v="Headphones"/>
    <x v="1"/>
    <x v="0"/>
    <x v="16"/>
    <x v="25"/>
    <n v="9"/>
    <n v="846"/>
    <n v="0"/>
    <n v="8614"/>
    <n v="7614.75"/>
    <n v="999.25"/>
    <s v="Credit card"/>
    <s v="Delivered"/>
    <s v="Valdez, Patton and Barrett"/>
    <s v="billywalker@bullock-wagner.com"/>
    <n v="23"/>
    <s v="No"/>
    <n v="0"/>
  </r>
  <r>
    <s v="ORD1026"/>
    <x v="26"/>
    <d v="2024-08-05T00:00:00"/>
    <s v="CUST676"/>
    <x v="26"/>
    <x v="1"/>
    <s v="PROD1916"/>
    <s v="Notebook"/>
    <x v="0"/>
    <x v="2"/>
    <x v="10"/>
    <x v="26"/>
    <n v="9"/>
    <n v="3917"/>
    <n v="10"/>
    <n v="32727.7"/>
    <n v="31728.5"/>
    <n v="999.2"/>
    <s v="Credit card"/>
    <s v="Pending"/>
    <s v="Parker, Brown and Anderson"/>
    <s v="cindywood@hines-gardner.com"/>
    <n v="11"/>
    <s v="No"/>
    <n v="0"/>
  </r>
  <r>
    <s v="ORD1027"/>
    <x v="27"/>
    <d v="2023-11-25T00:00:00"/>
    <s v="CUST107"/>
    <x v="27"/>
    <x v="1"/>
    <s v="PROD4229"/>
    <s v="Rice Bag"/>
    <x v="3"/>
    <x v="1"/>
    <x v="20"/>
    <x v="27"/>
    <n v="3"/>
    <n v="2128"/>
    <n v="10"/>
    <n v="6745.6"/>
    <n v="5746.44"/>
    <n v="999.16"/>
    <s v="UPI"/>
    <s v="Delivered"/>
    <s v="Scott-Johnson"/>
    <s v="hickmanjohn@rios-kemp.com"/>
    <n v="23"/>
    <s v="No"/>
    <n v="0"/>
  </r>
  <r>
    <s v="ORD1028"/>
    <x v="9"/>
    <d v="2024-09-05T00:00:00"/>
    <s v="CUST805"/>
    <x v="28"/>
    <x v="1"/>
    <s v="PROD5414"/>
    <s v="Keyboard"/>
    <x v="1"/>
    <x v="2"/>
    <x v="1"/>
    <x v="28"/>
    <n v="2"/>
    <n v="360"/>
    <n v="20"/>
    <n v="1576"/>
    <n v="576.65"/>
    <n v="999.35"/>
    <s v="Credit card"/>
    <s v="Delivered"/>
    <s v="Lopez and Sons"/>
    <s v="martinezjasmine@terry.com"/>
    <n v="43"/>
    <s v="No"/>
    <n v="0"/>
  </r>
  <r>
    <s v="ORD1029"/>
    <x v="28"/>
    <d v="2025-01-25T00:00:00"/>
    <s v="CUST246"/>
    <x v="29"/>
    <x v="2"/>
    <s v="PROD4502"/>
    <s v="Laptop"/>
    <x v="1"/>
    <x v="0"/>
    <x v="11"/>
    <x v="29"/>
    <n v="6"/>
    <n v="4786"/>
    <n v="5"/>
    <n v="28280.2"/>
    <n v="27280.81"/>
    <n v="999.39"/>
    <s v="Net Banking"/>
    <s v="Returned"/>
    <s v="Hodge Ltd"/>
    <s v="reynoldsricky@jackson-benson.com"/>
    <n v="16"/>
    <s v="No"/>
    <n v="0"/>
  </r>
  <r>
    <s v="ORD1030"/>
    <x v="29"/>
    <d v="2025-04-06T00:00:00"/>
    <s v="CUST464"/>
    <x v="30"/>
    <x v="2"/>
    <s v="PROD6700"/>
    <s v="Sofa"/>
    <x v="2"/>
    <x v="0"/>
    <x v="11"/>
    <x v="30"/>
    <n v="10"/>
    <n v="4649"/>
    <n v="10"/>
    <n v="42841"/>
    <n v="41841.699999999997"/>
    <n v="999.3"/>
    <s v="Net Banking"/>
    <s v="Delivered"/>
    <s v="Williams, Wagner and Richard"/>
    <s v="joannajefferson@aguilar.com"/>
    <n v="38"/>
    <s v="No"/>
    <n v="0"/>
  </r>
  <r>
    <s v="ORD1031"/>
    <x v="30"/>
    <d v="2025-08-16T00:00:00"/>
    <s v="CUST658"/>
    <x v="31"/>
    <x v="1"/>
    <s v="PROD5873"/>
    <s v="Mouse"/>
    <x v="1"/>
    <x v="2"/>
    <x v="13"/>
    <x v="31"/>
    <n v="10"/>
    <n v="3855"/>
    <n v="20"/>
    <n v="31840"/>
    <n v="30840.84"/>
    <n v="999.16"/>
    <s v="Credit card"/>
    <s v="Pending"/>
    <s v="Ross, Walker and Jones"/>
    <s v="othomas@villanueva.com"/>
    <n v="8"/>
    <s v="Yes"/>
    <n v="50"/>
  </r>
  <r>
    <s v="ORD1032"/>
    <x v="31"/>
    <d v="2024-02-16T00:00:00"/>
    <s v="CUST737"/>
    <x v="32"/>
    <x v="1"/>
    <s v="PROD4613"/>
    <s v="Sofa"/>
    <x v="2"/>
    <x v="1"/>
    <x v="22"/>
    <x v="32"/>
    <n v="4"/>
    <n v="2918"/>
    <n v="5"/>
    <n v="12088.4"/>
    <n v="11089.21"/>
    <n v="999.19"/>
    <s v="Cash"/>
    <s v="Returned"/>
    <s v="Espinoza, Lawson and Scott"/>
    <s v="petersonsharon@levy.com"/>
    <n v="38"/>
    <s v="No"/>
    <n v="0"/>
  </r>
  <r>
    <s v="ORD1033"/>
    <x v="32"/>
    <d v="2024-06-10T00:00:00"/>
    <s v="CUST423"/>
    <x v="33"/>
    <x v="2"/>
    <s v="PROD4175"/>
    <s v="Juice Pack"/>
    <x v="3"/>
    <x v="2"/>
    <x v="6"/>
    <x v="33"/>
    <n v="10"/>
    <n v="796"/>
    <n v="10"/>
    <n v="8164"/>
    <n v="7164.76"/>
    <n v="999.24"/>
    <s v="Net Banking"/>
    <s v="Pending"/>
    <s v="Herring PLC"/>
    <s v="jpayne@welch.com"/>
    <n v="14"/>
    <s v="No"/>
    <n v="0"/>
  </r>
  <r>
    <s v="ORD1034"/>
    <x v="33"/>
    <d v="2024-07-19T00:00:00"/>
    <s v="CUST269"/>
    <x v="34"/>
    <x v="1"/>
    <s v="PROD1197"/>
    <s v="Monitor"/>
    <x v="1"/>
    <x v="1"/>
    <x v="19"/>
    <x v="34"/>
    <n v="1"/>
    <n v="1795"/>
    <n v="20"/>
    <n v="2436"/>
    <n v="1436.67"/>
    <n v="999.33"/>
    <s v="UPI"/>
    <s v="Returned"/>
    <s v="Williamson-Gray"/>
    <s v="dwayne37@mason.com"/>
    <n v="17"/>
    <s v="No"/>
    <n v="0"/>
  </r>
  <r>
    <s v="ORD1035"/>
    <x v="34"/>
    <d v="2025-03-07T00:00:00"/>
    <s v="CUST997"/>
    <x v="35"/>
    <x v="1"/>
    <s v="PROD8933"/>
    <s v="Study Table"/>
    <x v="2"/>
    <x v="0"/>
    <x v="8"/>
    <x v="35"/>
    <n v="2"/>
    <n v="532"/>
    <n v="20"/>
    <n v="1051.2"/>
    <n v="851.83"/>
    <n v="199.37"/>
    <s v="Cash"/>
    <s v="Returned"/>
    <s v="Gray-Martinez"/>
    <s v="melody29@phillips.com"/>
    <n v="5"/>
    <s v="Yes"/>
    <n v="46"/>
  </r>
  <r>
    <s v="ORD1036"/>
    <x v="35"/>
    <d v="2023-12-17T00:00:00"/>
    <s v="CUST190"/>
    <x v="36"/>
    <x v="0"/>
    <s v="PROD3979"/>
    <s v="Notebook"/>
    <x v="0"/>
    <x v="1"/>
    <x v="18"/>
    <x v="36"/>
    <n v="8"/>
    <n v="3589"/>
    <n v="5"/>
    <n v="27476.400000000001"/>
    <n v="27277.279999999999"/>
    <n v="199.12"/>
    <s v="Credit card"/>
    <s v="Cancelled"/>
    <s v="Turner and Sons"/>
    <s v="awilliams@steele-kim.com"/>
    <n v="40"/>
    <s v="No"/>
    <n v="0"/>
  </r>
  <r>
    <s v="ORD1037"/>
    <x v="36"/>
    <d v="2024-07-16T00:00:00"/>
    <s v="CUST529"/>
    <x v="37"/>
    <x v="0"/>
    <s v="PROD4710"/>
    <s v="Rice Bag"/>
    <x v="3"/>
    <x v="1"/>
    <x v="23"/>
    <x v="37"/>
    <n v="2"/>
    <n v="2383"/>
    <n v="15"/>
    <n v="4251.1000000000004"/>
    <n v="4051.72"/>
    <n v="199.38"/>
    <s v="UPI"/>
    <s v="Pending"/>
    <s v="Wall Inc"/>
    <s v="lhuff@washington.biz"/>
    <n v="9"/>
    <s v="Yes"/>
    <n v="48"/>
  </r>
  <r>
    <s v="ORD1038"/>
    <x v="37"/>
    <d v="2023-12-04T00:00:00"/>
    <s v="CUST208"/>
    <x v="38"/>
    <x v="1"/>
    <s v="PROD2188"/>
    <s v="Sugar"/>
    <x v="3"/>
    <x v="2"/>
    <x v="1"/>
    <x v="38"/>
    <n v="3"/>
    <n v="304"/>
    <n v="0"/>
    <n v="1112"/>
    <n v="912.75"/>
    <n v="199.25"/>
    <s v="Net Banking"/>
    <s v="Delivered"/>
    <s v="Aguilar-Anderson"/>
    <s v="margaret78@simon-rice.net"/>
    <n v="34"/>
    <s v="No"/>
    <n v="0"/>
  </r>
  <r>
    <s v="ORD1039"/>
    <x v="38"/>
    <d v="2024-12-29T00:00:00"/>
    <s v="CUST796"/>
    <x v="39"/>
    <x v="1"/>
    <s v="PROD3729"/>
    <s v="Snacks"/>
    <x v="3"/>
    <x v="0"/>
    <x v="16"/>
    <x v="39"/>
    <n v="4"/>
    <n v="490"/>
    <n v="15"/>
    <n v="1866"/>
    <n v="1666.63"/>
    <n v="199.37"/>
    <s v="UPI"/>
    <s v="Delivered"/>
    <s v="Morris Ltd"/>
    <s v="michael29@gray.info"/>
    <n v="25"/>
    <s v="No"/>
    <n v="0"/>
  </r>
  <r>
    <s v="ORD1040"/>
    <x v="39"/>
    <d v="2025-10-15T00:00:00"/>
    <s v="CUST576"/>
    <x v="40"/>
    <x v="1"/>
    <s v="PROD2907"/>
    <s v="Monitor"/>
    <x v="1"/>
    <x v="0"/>
    <x v="13"/>
    <x v="40"/>
    <n v="2"/>
    <n v="2095"/>
    <n v="0"/>
    <n v="4390"/>
    <n v="4190.76"/>
    <n v="199.24"/>
    <s v="Credit card"/>
    <s v="Cancelled"/>
    <s v="Bentley PLC"/>
    <s v="elizabeth50@fisher.com"/>
    <n v="28"/>
    <s v="No"/>
    <n v="0"/>
  </r>
  <r>
    <s v="ORD1041"/>
    <x v="40"/>
    <d v="2024-11-20T00:00:00"/>
    <s v="CUST986"/>
    <x v="41"/>
    <x v="2"/>
    <s v="PROD1873"/>
    <s v="Juice Pack"/>
    <x v="3"/>
    <x v="3"/>
    <x v="2"/>
    <x v="41"/>
    <n v="9"/>
    <n v="2719"/>
    <n v="20"/>
    <n v="19776.8"/>
    <n v="19577.62"/>
    <n v="199.18"/>
    <s v="Cash"/>
    <s v="Delivered"/>
    <s v="Marsh, Jackson and Foster"/>
    <s v="brandymendoza@harmon.com"/>
    <n v="19"/>
    <s v="No"/>
    <n v="0"/>
  </r>
  <r>
    <s v="ORD1042"/>
    <x v="41"/>
    <d v="2025-05-30T00:00:00"/>
    <s v="CUST484"/>
    <x v="42"/>
    <x v="0"/>
    <s v="PROD2993"/>
    <s v="Calculator"/>
    <x v="0"/>
    <x v="0"/>
    <x v="7"/>
    <x v="42"/>
    <n v="3"/>
    <n v="544"/>
    <n v="15"/>
    <n v="1587.2"/>
    <n v="1387.84"/>
    <n v="199.36"/>
    <s v="UPI"/>
    <s v="Returned"/>
    <s v="Werner LLC"/>
    <s v="davisvictoria@jones.org"/>
    <n v="29"/>
    <s v="No"/>
    <n v="0"/>
  </r>
  <r>
    <s v="ORD1043"/>
    <x v="42"/>
    <d v="2024-07-08T00:00:00"/>
    <s v="CUST521"/>
    <x v="43"/>
    <x v="1"/>
    <s v="PROD9713"/>
    <s v="Notebook"/>
    <x v="0"/>
    <x v="2"/>
    <x v="15"/>
    <x v="43"/>
    <n v="5"/>
    <n v="2981"/>
    <n v="20"/>
    <n v="12124"/>
    <n v="11924.86"/>
    <n v="199.14"/>
    <s v="Credit card"/>
    <s v="Cancelled"/>
    <s v="Parks, Gonzalez and Martinez"/>
    <s v="shawchristopher@jimenez.biz"/>
    <n v="41"/>
    <s v="No"/>
    <n v="0"/>
  </r>
  <r>
    <s v="ORD1044"/>
    <x v="43"/>
    <d v="2024-11-18T00:00:00"/>
    <s v="CUST333"/>
    <x v="44"/>
    <x v="1"/>
    <s v="PROD4511"/>
    <s v="Juice Pack"/>
    <x v="3"/>
    <x v="1"/>
    <x v="24"/>
    <x v="44"/>
    <n v="2"/>
    <n v="4396"/>
    <n v="20"/>
    <n v="7233.6"/>
    <n v="7034.28"/>
    <n v="199.32"/>
    <s v="Net Banking"/>
    <s v="Cancelled"/>
    <s v="Garcia Ltd"/>
    <s v="maldonadojohn@cortez-acevedo.com"/>
    <n v="3"/>
    <s v="Yes"/>
    <n v="24"/>
  </r>
  <r>
    <s v="ORD1045"/>
    <x v="44"/>
    <d v="2024-03-05T00:00:00"/>
    <s v="CUST420"/>
    <x v="45"/>
    <x v="0"/>
    <s v="PROD4431"/>
    <s v="Headphones"/>
    <x v="1"/>
    <x v="2"/>
    <x v="10"/>
    <x v="45"/>
    <n v="6"/>
    <n v="3632"/>
    <n v="10"/>
    <n v="19812.8"/>
    <n v="19613.43"/>
    <n v="199.37"/>
    <s v="Cash"/>
    <s v="Delivered"/>
    <s v="Fox-Gomez"/>
    <s v="lisagardner@marks.net"/>
    <n v="9"/>
    <s v="Yes"/>
    <n v="20"/>
  </r>
  <r>
    <s v="ORD1046"/>
    <x v="45"/>
    <d v="2024-10-31T00:00:00"/>
    <s v="CUST730"/>
    <x v="46"/>
    <x v="0"/>
    <s v="PROD2082"/>
    <s v="Study Table"/>
    <x v="2"/>
    <x v="3"/>
    <x v="25"/>
    <x v="46"/>
    <n v="1"/>
    <n v="3468"/>
    <n v="15"/>
    <n v="3147.8"/>
    <n v="2948.68"/>
    <n v="199.12"/>
    <s v="Cash"/>
    <s v="Returned"/>
    <s v="Church-Thomas"/>
    <s v="caroline42@thompson.org"/>
    <n v="50"/>
    <s v="No"/>
    <n v="0"/>
  </r>
  <r>
    <s v="ORD1047"/>
    <x v="46"/>
    <d v="2023-12-23T00:00:00"/>
    <s v="CUST325"/>
    <x v="47"/>
    <x v="2"/>
    <s v="PROD1199"/>
    <s v="Office Chair"/>
    <x v="2"/>
    <x v="2"/>
    <x v="2"/>
    <x v="47"/>
    <n v="3"/>
    <n v="4915"/>
    <n v="5"/>
    <n v="14207.75"/>
    <n v="14008.41"/>
    <n v="199.34"/>
    <s v="Cash"/>
    <s v="Returned"/>
    <s v="Watson, Aguilar and Patel"/>
    <s v="howardkyle@hawkins.net"/>
    <n v="30"/>
    <s v="No"/>
    <n v="0"/>
  </r>
  <r>
    <s v="ORD1048"/>
    <x v="47"/>
    <d v="2025-06-13T00:00:00"/>
    <s v="CUST971"/>
    <x v="48"/>
    <x v="0"/>
    <s v="PROD4516"/>
    <s v="Juice Pack"/>
    <x v="3"/>
    <x v="1"/>
    <x v="26"/>
    <x v="48"/>
    <n v="6"/>
    <n v="3529"/>
    <n v="15"/>
    <n v="18197.900000000001"/>
    <n v="17998.669999999998"/>
    <n v="199.23"/>
    <s v="Cash"/>
    <s v="Pending"/>
    <s v="Jordan Ltd"/>
    <s v="jared61@warren.info"/>
    <n v="24"/>
    <s v="No"/>
    <n v="0"/>
  </r>
  <r>
    <s v="ORD1049"/>
    <x v="48"/>
    <d v="2024-04-08T00:00:00"/>
    <s v="CUST562"/>
    <x v="49"/>
    <x v="1"/>
    <s v="PROD5183"/>
    <s v="Juice Pack"/>
    <x v="3"/>
    <x v="0"/>
    <x v="26"/>
    <x v="49"/>
    <n v="3"/>
    <n v="3754"/>
    <n v="20"/>
    <n v="9209.6"/>
    <n v="9010.33"/>
    <n v="199.27"/>
    <s v="Net Banking"/>
    <s v="Pending"/>
    <s v="Turner Group"/>
    <s v="jeremyconner@michael.com"/>
    <n v="8"/>
    <s v="Yes"/>
    <n v="27"/>
  </r>
  <r>
    <s v="ORD1050"/>
    <x v="21"/>
    <d v="2024-03-16T00:00:00"/>
    <s v="CUST163"/>
    <x v="50"/>
    <x v="1"/>
    <s v="PROD4197"/>
    <s v="Monitor"/>
    <x v="1"/>
    <x v="1"/>
    <x v="15"/>
    <x v="50"/>
    <n v="3"/>
    <n v="1242"/>
    <n v="15"/>
    <n v="3367.1"/>
    <n v="3167.98"/>
    <n v="199.12"/>
    <s v="Cash"/>
    <s v="Delivered"/>
    <s v="Luna, Davies and Nichols"/>
    <s v="seth34@ibarra-jones.com"/>
    <n v="47"/>
    <s v="No"/>
    <n v="0"/>
  </r>
  <r>
    <s v="ORD1051"/>
    <x v="49"/>
    <d v="2025-04-05T00:00:00"/>
    <s v="CUST745"/>
    <x v="51"/>
    <x v="0"/>
    <s v="PROD7276"/>
    <s v="Office Chair"/>
    <x v="2"/>
    <x v="0"/>
    <x v="26"/>
    <x v="51"/>
    <n v="7"/>
    <n v="4762"/>
    <n v="20"/>
    <n v="26867.200000000001"/>
    <n v="26668.080000000002"/>
    <n v="199.12"/>
    <s v="Cash"/>
    <s v="Delivered"/>
    <s v="Hoover, Howell and Robbins"/>
    <s v="kelsey91@harrison-walker.com"/>
    <n v="25"/>
    <s v="No"/>
    <n v="0"/>
  </r>
  <r>
    <s v="ORD1052"/>
    <x v="50"/>
    <d v="2024-03-11T00:00:00"/>
    <s v="CUST153"/>
    <x v="52"/>
    <x v="0"/>
    <s v="PROD4870"/>
    <s v="Juice Pack"/>
    <x v="3"/>
    <x v="3"/>
    <x v="15"/>
    <x v="52"/>
    <n v="6"/>
    <n v="3008"/>
    <n v="10"/>
    <n v="16443.2"/>
    <n v="16243.83"/>
    <n v="199.37"/>
    <s v="Net Banking"/>
    <s v="Returned"/>
    <s v="Wells and Sons"/>
    <s v="dominguezkenneth@jennings-booth.biz"/>
    <n v="16"/>
    <s v="No"/>
    <n v="0"/>
  </r>
  <r>
    <s v="ORD1053"/>
    <x v="51"/>
    <d v="2025-07-08T00:00:00"/>
    <s v="CUST385"/>
    <x v="53"/>
    <x v="2"/>
    <s v="PROD3324"/>
    <s v="File Folder"/>
    <x v="0"/>
    <x v="0"/>
    <x v="27"/>
    <x v="53"/>
    <n v="9"/>
    <n v="2693"/>
    <n v="20"/>
    <n v="19589.599999999999"/>
    <n v="19390.48"/>
    <n v="199.12"/>
    <s v="UPI"/>
    <s v="Returned"/>
    <s v="Castro-Baxter"/>
    <s v="michelle66@rice-johnston.com"/>
    <n v="49"/>
    <s v="No"/>
    <n v="0"/>
  </r>
  <r>
    <s v="ORD1054"/>
    <x v="52"/>
    <d v="2025-03-31T00:00:00"/>
    <s v="CUST729"/>
    <x v="54"/>
    <x v="2"/>
    <s v="PROD3610"/>
    <s v="Study Table"/>
    <x v="2"/>
    <x v="1"/>
    <x v="28"/>
    <x v="54"/>
    <n v="8"/>
    <n v="2413"/>
    <n v="20"/>
    <n v="15643.2"/>
    <n v="15443.9"/>
    <n v="199.3"/>
    <s v="Cash"/>
    <s v="Cancelled"/>
    <s v="Green PLC"/>
    <s v="kellygary@wilcox.com"/>
    <n v="2"/>
    <s v="Yes"/>
    <n v="35"/>
  </r>
  <r>
    <s v="ORD1055"/>
    <x v="53"/>
    <d v="2025-03-01T00:00:00"/>
    <s v="CUST252"/>
    <x v="55"/>
    <x v="2"/>
    <s v="PROD3781"/>
    <s v="Rice Bag"/>
    <x v="3"/>
    <x v="1"/>
    <x v="29"/>
    <x v="55"/>
    <n v="5"/>
    <n v="530"/>
    <n v="15"/>
    <n v="2452.5"/>
    <n v="2253.36"/>
    <n v="199.14"/>
    <s v="Cash"/>
    <s v="Returned"/>
    <s v="Bailey-Baker"/>
    <s v="mitchell00@martin.com"/>
    <n v="28"/>
    <s v="No"/>
    <n v="0"/>
  </r>
  <r>
    <s v="ORD1056"/>
    <x v="54"/>
    <d v="2024-05-21T00:00:00"/>
    <s v="CUST688"/>
    <x v="56"/>
    <x v="2"/>
    <s v="PROD3468"/>
    <s v="Cooking oil"/>
    <x v="3"/>
    <x v="1"/>
    <x v="6"/>
    <x v="56"/>
    <n v="2"/>
    <n v="4948"/>
    <n v="15"/>
    <n v="8861.6"/>
    <n v="8412.24"/>
    <n v="449.36"/>
    <s v="Net Banking"/>
    <s v="Delivered"/>
    <s v="Mata-Williams"/>
    <s v="megan45@holt-moore.org"/>
    <n v="35"/>
    <s v="No"/>
    <n v="0"/>
  </r>
  <r>
    <s v="ORD1057"/>
    <x v="55"/>
    <d v="2023-12-18T00:00:00"/>
    <s v="CUST739"/>
    <x v="57"/>
    <x v="0"/>
    <s v="PROD2136"/>
    <s v="Dining Table"/>
    <x v="2"/>
    <x v="3"/>
    <x v="15"/>
    <x v="57"/>
    <n v="1"/>
    <n v="3999"/>
    <n v="10"/>
    <n v="4049.1"/>
    <n v="3599.9"/>
    <n v="449.2"/>
    <s v="UPI"/>
    <s v="Delivered"/>
    <s v="Burton Ltd"/>
    <s v="nhuynh@gonzalez.com"/>
    <n v="0"/>
    <s v="Yes"/>
    <n v="48"/>
  </r>
  <r>
    <s v="ORD1058"/>
    <x v="56"/>
    <d v="2024-10-17T00:00:00"/>
    <s v="CUST250"/>
    <x v="58"/>
    <x v="0"/>
    <s v="PROD6606"/>
    <s v="Keyboard"/>
    <x v="1"/>
    <x v="0"/>
    <x v="6"/>
    <x v="58"/>
    <n v="7"/>
    <n v="1973"/>
    <n v="10"/>
    <n v="12879.9"/>
    <n v="12430.51"/>
    <n v="449.39"/>
    <s v="Cash"/>
    <s v="Delivered"/>
    <s v="Ware, Schultz and Wilkerson"/>
    <s v="jack28@wright-trujillo.biz"/>
    <n v="38"/>
    <s v="No"/>
    <n v="0"/>
  </r>
  <r>
    <s v="ORD1059"/>
    <x v="57"/>
    <d v="2024-06-18T00:00:00"/>
    <s v="CUST692"/>
    <x v="59"/>
    <x v="2"/>
    <s v="PROD5009"/>
    <s v="Laptop"/>
    <x v="1"/>
    <x v="3"/>
    <x v="23"/>
    <x v="59"/>
    <n v="4"/>
    <n v="3257"/>
    <n v="20"/>
    <n v="10872.4"/>
    <n v="10423.18"/>
    <n v="449.22"/>
    <s v="UPI"/>
    <s v="Pending"/>
    <s v="Wilson, Webb and Francis"/>
    <s v="lyonssteven@green-hull.net"/>
    <n v="10"/>
    <s v="No"/>
    <n v="0"/>
  </r>
  <r>
    <s v="ORD1060"/>
    <x v="58"/>
    <d v="2024-08-13T00:00:00"/>
    <s v="CUST314"/>
    <x v="60"/>
    <x v="0"/>
    <s v="PROD5685"/>
    <s v="Notebook"/>
    <x v="0"/>
    <x v="3"/>
    <x v="10"/>
    <x v="60"/>
    <n v="1"/>
    <n v="1520"/>
    <n v="20"/>
    <n v="1666"/>
    <n v="1216.77"/>
    <n v="449.23"/>
    <s v="Cash"/>
    <s v="Delivered"/>
    <s v="Garcia, Bryan and Ferrell"/>
    <s v="garciafrancisco@molina.com"/>
    <n v="6"/>
    <s v="Yes"/>
    <n v="47"/>
  </r>
  <r>
    <s v="ORD1061"/>
    <x v="33"/>
    <d v="2024-07-18T00:00:00"/>
    <s v="CUST915"/>
    <x v="61"/>
    <x v="1"/>
    <s v="PROD3942"/>
    <s v="Monitor"/>
    <x v="1"/>
    <x v="1"/>
    <x v="30"/>
    <x v="61"/>
    <n v="6"/>
    <n v="4217"/>
    <n v="5"/>
    <n v="24486.9"/>
    <n v="24037.759999999998"/>
    <n v="449.14"/>
    <s v="UPI"/>
    <s v="Delivered"/>
    <s v="Young and Sons"/>
    <s v="meganmorris@long-lopez.com"/>
    <n v="8"/>
    <s v="Yes"/>
    <n v="48"/>
  </r>
  <r>
    <s v="ORD1062"/>
    <x v="59"/>
    <d v="2024-09-07T00:00:00"/>
    <s v="CUST584"/>
    <x v="62"/>
    <x v="2"/>
    <s v="PROD4605"/>
    <s v="Monitor"/>
    <x v="1"/>
    <x v="1"/>
    <x v="31"/>
    <x v="62"/>
    <n v="10"/>
    <n v="828"/>
    <n v="0"/>
    <n v="8730"/>
    <n v="8280.68"/>
    <n v="449.32"/>
    <s v="Credit card"/>
    <s v="Pending"/>
    <s v="Fields, Aguilar and Gonzales"/>
    <s v="kyle28@yang.info"/>
    <n v="17"/>
    <s v="No"/>
    <n v="0"/>
  </r>
  <r>
    <s v="ORD1063"/>
    <x v="8"/>
    <d v="2025-10-17T00:00:00"/>
    <s v="CUST311"/>
    <x v="63"/>
    <x v="1"/>
    <s v="PROD9332"/>
    <s v="Keyboard"/>
    <x v="1"/>
    <x v="3"/>
    <x v="26"/>
    <x v="63"/>
    <n v="3"/>
    <n v="3632"/>
    <n v="5"/>
    <n v="10801.2"/>
    <n v="10351.82"/>
    <n v="449.38"/>
    <s v="Cash"/>
    <s v="Returned"/>
    <s v="Crawford and Sons"/>
    <s v="lucasvanessa@ramirez-johnson.com"/>
    <n v="47"/>
    <s v="No"/>
    <n v="0"/>
  </r>
  <r>
    <s v="ORD1064"/>
    <x v="60"/>
    <d v="2024-10-17T00:00:00"/>
    <s v="CUST571"/>
    <x v="64"/>
    <x v="0"/>
    <s v="PROD1110"/>
    <s v="Dining Table"/>
    <x v="2"/>
    <x v="1"/>
    <x v="32"/>
    <x v="64"/>
    <n v="10"/>
    <n v="3332"/>
    <n v="10"/>
    <n v="30438"/>
    <n v="29988.83"/>
    <n v="449.17"/>
    <s v="UPI"/>
    <s v="Cancelled"/>
    <s v="Flores and Sons"/>
    <s v="bstark@strickland.info"/>
    <n v="25"/>
    <s v="No"/>
    <n v="0"/>
  </r>
  <r>
    <s v="ORD1065"/>
    <x v="61"/>
    <d v="2024-03-22T00:00:00"/>
    <s v="CUST257"/>
    <x v="65"/>
    <x v="2"/>
    <s v="PROD1652"/>
    <s v="Mouse"/>
    <x v="1"/>
    <x v="3"/>
    <x v="11"/>
    <x v="65"/>
    <n v="8"/>
    <n v="1810"/>
    <n v="10"/>
    <n v="13482"/>
    <n v="13032.81"/>
    <n v="449.19"/>
    <s v="Credit card"/>
    <s v="Cancelled"/>
    <s v="Warren, Brown and Welch"/>
    <s v="hmarshall@hull.info"/>
    <n v="9"/>
    <s v="Yes"/>
    <n v="24"/>
  </r>
  <r>
    <s v="ORD1066"/>
    <x v="62"/>
    <d v="2025-07-15T00:00:00"/>
    <s v="CUST801"/>
    <x v="66"/>
    <x v="2"/>
    <s v="PROD3294"/>
    <s v="Study Table"/>
    <x v="2"/>
    <x v="3"/>
    <x v="33"/>
    <x v="66"/>
    <n v="1"/>
    <n v="1677"/>
    <n v="0"/>
    <n v="2127"/>
    <n v="1677.63"/>
    <n v="449.37"/>
    <s v="Net Banking"/>
    <s v="Delivered"/>
    <s v="Reid, Roberts and Anthony"/>
    <s v="marshalljimmy@keller-welch.com"/>
    <n v="30"/>
    <s v="No"/>
    <n v="0"/>
  </r>
  <r>
    <s v="ORD1067"/>
    <x v="63"/>
    <d v="2025-08-12T00:00:00"/>
    <s v="CUST534"/>
    <x v="67"/>
    <x v="2"/>
    <s v="PROD1538"/>
    <s v="Calculator"/>
    <x v="0"/>
    <x v="1"/>
    <x v="31"/>
    <x v="67"/>
    <n v="2"/>
    <n v="4560"/>
    <n v="5"/>
    <n v="9114"/>
    <n v="8664.8700000000008"/>
    <n v="449.13"/>
    <s v="Credit card"/>
    <s v="Delivered"/>
    <s v="Lane LLC"/>
    <s v="richard41@ortiz-wallace.com"/>
    <n v="17"/>
    <s v="No"/>
    <n v="0"/>
  </r>
  <r>
    <s v="ORD1068"/>
    <x v="64"/>
    <d v="2023-11-20T00:00:00"/>
    <s v="CUST135"/>
    <x v="68"/>
    <x v="0"/>
    <s v="PROD4478"/>
    <s v="Dining Table"/>
    <x v="2"/>
    <x v="0"/>
    <x v="18"/>
    <x v="68"/>
    <n v="3"/>
    <n v="3871"/>
    <n v="5"/>
    <n v="11482.35"/>
    <n v="11033.02"/>
    <n v="449.33"/>
    <s v="UPI"/>
    <s v="Pending"/>
    <s v="Jackson, Smith and Berry"/>
    <s v="johnsondaisy@nelson-matthews.com"/>
    <n v="1"/>
    <s v="Yes"/>
    <n v="37"/>
  </r>
  <r>
    <s v="ORD1069"/>
    <x v="65"/>
    <d v="2024-01-20T00:00:00"/>
    <s v="CUST723"/>
    <x v="69"/>
    <x v="0"/>
    <s v="PROD3388"/>
    <s v="Study Table"/>
    <x v="2"/>
    <x v="2"/>
    <x v="27"/>
    <x v="69"/>
    <n v="3"/>
    <n v="4991"/>
    <n v="10"/>
    <n v="13925.7"/>
    <n v="13476.36"/>
    <n v="449.34"/>
    <s v="Net Banking"/>
    <s v="Delivered"/>
    <s v="Silva-Martinez"/>
    <s v="joshuagarrett@lynch.com"/>
    <n v="19"/>
    <s v="No"/>
    <n v="0"/>
  </r>
  <r>
    <s v="ORD1070"/>
    <x v="66"/>
    <d v="2025-10-26T00:00:00"/>
    <s v="CUST759"/>
    <x v="70"/>
    <x v="1"/>
    <s v="PROD2116"/>
    <s v="Dining Table"/>
    <x v="2"/>
    <x v="1"/>
    <x v="31"/>
    <x v="70"/>
    <n v="7"/>
    <n v="2221"/>
    <n v="15"/>
    <n v="13664.95"/>
    <n v="13215.71"/>
    <n v="449.24"/>
    <s v="Credit card"/>
    <s v="Pending"/>
    <s v="Higgins-Scott"/>
    <s v="johnrose@bush.com"/>
    <n v="10"/>
    <s v="No"/>
    <n v="0"/>
  </r>
  <r>
    <s v="ORD1071"/>
    <x v="67"/>
    <d v="2024-06-15T00:00:00"/>
    <s v="CUST777"/>
    <x v="71"/>
    <x v="0"/>
    <s v="PROD6544"/>
    <s v="Mouse"/>
    <x v="1"/>
    <x v="1"/>
    <x v="34"/>
    <x v="71"/>
    <n v="3"/>
    <n v="3409"/>
    <n v="0"/>
    <n v="10677"/>
    <n v="10227.709999999999"/>
    <n v="449.29"/>
    <s v="UPI"/>
    <s v="Pending"/>
    <s v="Nielsen PLC"/>
    <s v="allendanielle@allen.com"/>
    <n v="26"/>
    <s v="No"/>
    <n v="0"/>
  </r>
  <r>
    <s v="ORD1072"/>
    <x v="68"/>
    <d v="2025-03-10T00:00:00"/>
    <s v="CUST873"/>
    <x v="72"/>
    <x v="2"/>
    <s v="PROD5389"/>
    <s v="Study Table"/>
    <x v="2"/>
    <x v="0"/>
    <x v="11"/>
    <x v="72"/>
    <n v="9"/>
    <n v="4121"/>
    <n v="20"/>
    <n v="30121.200000000001"/>
    <n v="29671.83"/>
    <n v="449.37"/>
    <s v="Cash"/>
    <s v="Returned"/>
    <s v="Cobb, Huffman and Moreno"/>
    <s v="petersingleton@stone-hodges.info"/>
    <n v="15"/>
    <s v="No"/>
    <n v="0"/>
  </r>
  <r>
    <s v="ORD1073"/>
    <x v="69"/>
    <d v="2025-06-26T00:00:00"/>
    <s v="CUST532"/>
    <x v="73"/>
    <x v="1"/>
    <s v="PROD4210"/>
    <s v="Pen"/>
    <x v="0"/>
    <x v="0"/>
    <x v="24"/>
    <x v="73"/>
    <n v="8"/>
    <n v="1247"/>
    <n v="15"/>
    <n v="8929.6"/>
    <n v="8480.34"/>
    <n v="449.26"/>
    <s v="Net Banking"/>
    <s v="Cancelled"/>
    <s v="Whitney, James and Jimenez"/>
    <s v="nolanisaac@macias.com"/>
    <n v="32"/>
    <s v="No"/>
    <n v="0"/>
  </r>
  <r>
    <s v="ORD1074"/>
    <x v="70"/>
    <d v="2025-08-26T00:00:00"/>
    <s v="CUST239"/>
    <x v="74"/>
    <x v="1"/>
    <s v="PROD1528"/>
    <s v="Sugar"/>
    <x v="3"/>
    <x v="1"/>
    <x v="11"/>
    <x v="74"/>
    <n v="5"/>
    <n v="3724"/>
    <n v="15"/>
    <n v="16277"/>
    <n v="15827.68"/>
    <n v="449.32"/>
    <s v="UPI"/>
    <s v="Delivered"/>
    <s v="Anderson-Mccoy"/>
    <s v="pcarr@adams.com"/>
    <n v="48"/>
    <s v="No"/>
    <n v="0"/>
  </r>
  <r>
    <s v="ORD1075"/>
    <x v="7"/>
    <d v="2025-04-03T00:00:00"/>
    <s v="CUST102"/>
    <x v="75"/>
    <x v="1"/>
    <s v="PROD7027"/>
    <s v="Calculator"/>
    <x v="0"/>
    <x v="2"/>
    <x v="13"/>
    <x v="75"/>
    <n v="9"/>
    <n v="1133"/>
    <n v="5"/>
    <n v="10137.15"/>
    <n v="9687.89"/>
    <n v="449.26"/>
    <s v="Cash"/>
    <s v="Returned"/>
    <s v="Hooper, Cannon and Kerr"/>
    <s v="qbrown@morris-reed.com"/>
    <n v="13"/>
    <s v="No"/>
    <n v="0"/>
  </r>
  <r>
    <s v="ORD1076"/>
    <x v="21"/>
    <d v="2024-03-12T00:00:00"/>
    <s v="CUST664"/>
    <x v="76"/>
    <x v="1"/>
    <s v="PROD3477"/>
    <s v="Notebook"/>
    <x v="0"/>
    <x v="3"/>
    <x v="15"/>
    <x v="76"/>
    <n v="8"/>
    <n v="2068"/>
    <n v="20"/>
    <n v="13685.2"/>
    <n v="13235.96"/>
    <n v="449.24"/>
    <s v="UPI"/>
    <s v="Cancelled"/>
    <s v="Clark-Rodriguez"/>
    <s v="sandralloyd@garcia.net"/>
    <n v="40"/>
    <s v="No"/>
    <n v="0"/>
  </r>
  <r>
    <s v="ORD1077"/>
    <x v="71"/>
    <d v="2024-09-17T00:00:00"/>
    <s v="CUST893"/>
    <x v="77"/>
    <x v="0"/>
    <s v="PROD5440"/>
    <s v="Sugar"/>
    <x v="3"/>
    <x v="3"/>
    <x v="26"/>
    <x v="77"/>
    <n v="4"/>
    <n v="1531"/>
    <n v="0"/>
    <n v="6574"/>
    <n v="6124.72"/>
    <n v="449.28"/>
    <s v="UPI"/>
    <s v="Delivered"/>
    <s v="Walker, Anderson and Hinton"/>
    <s v="xsmith@maldonado.org"/>
    <n v="26"/>
    <s v="No"/>
    <n v="0"/>
  </r>
  <r>
    <s v="ORD1078"/>
    <x v="72"/>
    <d v="2024-01-23T00:00:00"/>
    <s v="CUST516"/>
    <x v="78"/>
    <x v="1"/>
    <s v="PROD3431"/>
    <s v="Keyboard"/>
    <x v="1"/>
    <x v="1"/>
    <x v="35"/>
    <x v="78"/>
    <n v="2"/>
    <n v="3553"/>
    <n v="15"/>
    <n v="6490.1"/>
    <n v="6040.96"/>
    <n v="449.14"/>
    <s v="Net Banking"/>
    <s v="Returned"/>
    <s v="Nguyen PLC"/>
    <s v="gonzalezrebecca@sanchez-pitts.biz"/>
    <n v="5"/>
    <s v="Yes"/>
    <n v="33"/>
  </r>
  <r>
    <s v="ORD1079"/>
    <x v="73"/>
    <d v="2024-04-22T00:00:00"/>
    <s v="CUST200"/>
    <x v="79"/>
    <x v="1"/>
    <s v="PROD5204"/>
    <s v="Snacks"/>
    <x v="3"/>
    <x v="1"/>
    <x v="18"/>
    <x v="79"/>
    <n v="3"/>
    <n v="259"/>
    <n v="10"/>
    <n v="1149.3"/>
    <n v="700.11"/>
    <n v="449.19"/>
    <s v="Net Banking"/>
    <s v="Delivered"/>
    <s v="Cole Ltd"/>
    <s v="allenjustin@singh.com"/>
    <n v="21"/>
    <s v="No"/>
    <n v="0"/>
  </r>
  <r>
    <s v="ORD1080"/>
    <x v="74"/>
    <d v="2025-06-30T00:00:00"/>
    <s v="CUST971"/>
    <x v="80"/>
    <x v="2"/>
    <s v="PROD5957"/>
    <s v="Office Chair"/>
    <x v="2"/>
    <x v="2"/>
    <x v="36"/>
    <x v="80"/>
    <n v="8"/>
    <n v="1506"/>
    <n v="15"/>
    <n v="10690.8"/>
    <n v="10241.51"/>
    <n v="449.29"/>
    <s v="Cash"/>
    <s v="Delivered"/>
    <s v="Hernandez Ltd"/>
    <s v="bjones@harris.org"/>
    <n v="19"/>
    <s v="No"/>
    <n v="0"/>
  </r>
  <r>
    <s v="ORD1081"/>
    <x v="69"/>
    <d v="2025-06-27T00:00:00"/>
    <s v="CUST281"/>
    <x v="81"/>
    <x v="1"/>
    <s v="PROD9346"/>
    <s v="Study Table"/>
    <x v="2"/>
    <x v="0"/>
    <x v="9"/>
    <x v="81"/>
    <n v="4"/>
    <n v="1395"/>
    <n v="15"/>
    <n v="5193"/>
    <n v="4743.6099999999997"/>
    <n v="449.39"/>
    <s v="Net Banking"/>
    <s v="Pending"/>
    <s v="Townsend-Rodriguez"/>
    <s v="daniel50@green-terrell.net"/>
    <n v="45"/>
    <s v="No"/>
    <n v="0"/>
  </r>
  <r>
    <s v="ORD1082"/>
    <x v="75"/>
    <d v="2024-09-04T00:00:00"/>
    <s v="CUST279"/>
    <x v="82"/>
    <x v="0"/>
    <s v="PROD3224"/>
    <s v="Laptop"/>
    <x v="1"/>
    <x v="1"/>
    <x v="26"/>
    <x v="82"/>
    <n v="6"/>
    <n v="1909"/>
    <n v="15"/>
    <n v="10185.9"/>
    <n v="9736.6200000000008"/>
    <n v="449.28"/>
    <s v="Cash"/>
    <s v="Delivered"/>
    <s v="Lucas, Franklin and Mullins"/>
    <s v="williamsmelanie@ali.biz"/>
    <n v="12"/>
    <s v="No"/>
    <n v="0"/>
  </r>
  <r>
    <s v="ORD1083"/>
    <x v="76"/>
    <d v="2024-08-14T00:00:00"/>
    <s v="CUST353"/>
    <x v="83"/>
    <x v="1"/>
    <s v="PROD9185"/>
    <s v="Headphones"/>
    <x v="1"/>
    <x v="3"/>
    <x v="28"/>
    <x v="83"/>
    <n v="8"/>
    <n v="3695"/>
    <n v="15"/>
    <n v="25576"/>
    <n v="25126.61"/>
    <n v="449.39"/>
    <s v="UPI"/>
    <s v="Returned"/>
    <s v="Johnson, Stevenson and Marshall"/>
    <s v="spencersanders@smith.com"/>
    <n v="40"/>
    <s v="No"/>
    <n v="0"/>
  </r>
  <r>
    <s v="ORD1084"/>
    <x v="30"/>
    <d v="2025-08-14T00:00:00"/>
    <s v="CUST557"/>
    <x v="84"/>
    <x v="0"/>
    <s v="PROD1763"/>
    <s v="Study Table"/>
    <x v="2"/>
    <x v="2"/>
    <x v="37"/>
    <x v="84"/>
    <n v="3"/>
    <n v="2151"/>
    <n v="20"/>
    <n v="5612.4"/>
    <n v="5163"/>
    <n v="449.4"/>
    <s v="Net Banking"/>
    <s v="Delivered"/>
    <s v="Orr-Cox"/>
    <s v="joneselizabeth@landry.info"/>
    <n v="27"/>
    <s v="No"/>
    <n v="0"/>
  </r>
  <r>
    <s v="ORD1085"/>
    <x v="77"/>
    <d v="2024-11-20T00:00:00"/>
    <s v="CUST497"/>
    <x v="85"/>
    <x v="2"/>
    <s v="PROD2875"/>
    <s v="Mouse"/>
    <x v="1"/>
    <x v="2"/>
    <x v="38"/>
    <x v="85"/>
    <n v="10"/>
    <n v="1372"/>
    <n v="20"/>
    <n v="11426"/>
    <n v="10976.77"/>
    <n v="449.23"/>
    <s v="UPI"/>
    <s v="Delivered"/>
    <s v="Davis-Chapman"/>
    <s v="christina65@morton-wheeler.com"/>
    <n v="23"/>
    <s v="No"/>
    <n v="0"/>
  </r>
  <r>
    <s v="ORD1086"/>
    <x v="78"/>
    <d v="2024-01-10T00:00:00"/>
    <s v="CUST723"/>
    <x v="86"/>
    <x v="2"/>
    <s v="PROD7797"/>
    <s v="Office Chair"/>
    <x v="2"/>
    <x v="3"/>
    <x v="39"/>
    <x v="86"/>
    <n v="1"/>
    <n v="3908"/>
    <n v="20"/>
    <n v="3576.4"/>
    <n v="3127.07"/>
    <n v="449.33"/>
    <s v="UPI"/>
    <s v="Returned"/>
    <s v="Spears, Wood and Thomas"/>
    <s v="thomas14@sanders-maynard.com"/>
    <n v="31"/>
    <s v="No"/>
    <n v="0"/>
  </r>
  <r>
    <s v="ORD1087"/>
    <x v="79"/>
    <d v="2024-11-06T00:00:00"/>
    <s v="CUST543"/>
    <x v="87"/>
    <x v="0"/>
    <s v="PROD8842"/>
    <s v="Snacks"/>
    <x v="3"/>
    <x v="3"/>
    <x v="40"/>
    <x v="87"/>
    <n v="2"/>
    <n v="2113"/>
    <n v="10"/>
    <n v="4253.3999999999996"/>
    <n v="3804.1"/>
    <n v="449.3"/>
    <s v="Cash"/>
    <s v="Delivered"/>
    <s v="Perez, Rodgers and Parker"/>
    <s v="romerojack@snyder-munoz.org"/>
    <n v="2"/>
    <s v="Yes"/>
    <n v="41"/>
  </r>
  <r>
    <s v="ORD1088"/>
    <x v="8"/>
    <d v="2025-10-16T00:00:00"/>
    <s v="CUST823"/>
    <x v="88"/>
    <x v="1"/>
    <s v="PROD7697"/>
    <s v="Bookshell"/>
    <x v="2"/>
    <x v="3"/>
    <x v="23"/>
    <x v="88"/>
    <n v="1"/>
    <n v="1080"/>
    <n v="0"/>
    <n v="1530"/>
    <n v="1080.8699999999999"/>
    <n v="449.13"/>
    <s v="Net Banking"/>
    <s v="Pending"/>
    <s v="Martinez-Flores"/>
    <s v="kimberly09@rodriguez.net"/>
    <n v="48"/>
    <s v="No"/>
    <n v="0"/>
  </r>
  <r>
    <s v="ORD1089"/>
    <x v="80"/>
    <d v="2025-08-09T00:00:00"/>
    <s v="CUST527"/>
    <x v="89"/>
    <x v="0"/>
    <s v="PROD9454"/>
    <s v="Dining Table"/>
    <x v="2"/>
    <x v="2"/>
    <x v="7"/>
    <x v="89"/>
    <n v="7"/>
    <n v="222"/>
    <n v="0"/>
    <n v="2004"/>
    <n v="1554.64"/>
    <n v="449.36"/>
    <s v="Net Banking"/>
    <s v="Delivered"/>
    <s v="Jones, Mann and Stanton"/>
    <s v="tricia27@wood.com"/>
    <n v="22"/>
    <s v="No"/>
    <n v="0"/>
  </r>
  <r>
    <s v="ORD1090"/>
    <x v="81"/>
    <d v="2024-09-22T00:00:00"/>
    <s v="CUST359"/>
    <x v="90"/>
    <x v="0"/>
    <s v="PROD3427"/>
    <s v="Juice Pack"/>
    <x v="3"/>
    <x v="1"/>
    <x v="10"/>
    <x v="90"/>
    <n v="8"/>
    <n v="3089"/>
    <n v="20"/>
    <n v="20219.599999999999"/>
    <n v="19770.310000000001"/>
    <n v="449.29"/>
    <s v="UPI"/>
    <s v="Returned"/>
    <s v="Nguyen-Cooper"/>
    <s v="robert62@hernandez.com"/>
    <n v="49"/>
    <s v="No"/>
    <n v="0"/>
  </r>
  <r>
    <s v="ORD1091"/>
    <x v="82"/>
    <d v="2024-12-24T00:00:00"/>
    <s v="CUST409"/>
    <x v="91"/>
    <x v="1"/>
    <s v="PROD1312"/>
    <s v="Study Table"/>
    <x v="2"/>
    <x v="3"/>
    <x v="31"/>
    <x v="91"/>
    <n v="9"/>
    <n v="3888"/>
    <n v="20"/>
    <n v="28443.599999999999"/>
    <n v="27994.31"/>
    <n v="449.29"/>
    <s v="Credit card"/>
    <s v="Delivered"/>
    <s v="Moore and Sons"/>
    <s v="benjamin24@rodriguez.com"/>
    <n v="15"/>
    <s v="No"/>
    <n v="0"/>
  </r>
  <r>
    <s v="ORD1092"/>
    <x v="83"/>
    <d v="2025-10-02T00:00:00"/>
    <s v="CUST332"/>
    <x v="92"/>
    <x v="1"/>
    <s v="PROD3000"/>
    <s v="Headphones"/>
    <x v="1"/>
    <x v="3"/>
    <x v="41"/>
    <x v="92"/>
    <n v="7"/>
    <n v="183"/>
    <n v="0"/>
    <n v="1731"/>
    <n v="1281.76"/>
    <n v="449.24"/>
    <s v="Net Banking"/>
    <s v="Returned"/>
    <s v="Cooper and Sons"/>
    <s v="andreastone@torres.com"/>
    <n v="10"/>
    <s v="No"/>
    <n v="0"/>
  </r>
  <r>
    <s v="ORD1093"/>
    <x v="43"/>
    <d v="2024-11-21T00:00:00"/>
    <s v="CUST170"/>
    <x v="93"/>
    <x v="0"/>
    <s v="PROD3591"/>
    <s v="Stapler"/>
    <x v="0"/>
    <x v="2"/>
    <x v="20"/>
    <x v="93"/>
    <n v="2"/>
    <n v="1061"/>
    <n v="5"/>
    <n v="2465.9"/>
    <n v="2016.57"/>
    <n v="449.33"/>
    <s v="Credit card"/>
    <s v="Cancelled"/>
    <s v="Sims, Cruz and Shelton"/>
    <s v="olewis@anthony.com"/>
    <n v="15"/>
    <s v="No"/>
    <n v="0"/>
  </r>
  <r>
    <s v="ORD1094"/>
    <x v="55"/>
    <d v="2023-12-18T00:00:00"/>
    <s v="CUST740"/>
    <x v="94"/>
    <x v="1"/>
    <s v="PROD4133"/>
    <s v="Cooking oil"/>
    <x v="3"/>
    <x v="3"/>
    <x v="39"/>
    <x v="94"/>
    <n v="9"/>
    <n v="4554"/>
    <n v="10"/>
    <n v="37337.4"/>
    <n v="36888.21"/>
    <n v="449.19"/>
    <s v="UPI"/>
    <s v="Returned"/>
    <s v="Butler LLC"/>
    <s v="matthew94@tran.info"/>
    <n v="43"/>
    <s v="No"/>
    <n v="0"/>
  </r>
  <r>
    <s v="ORD1095"/>
    <x v="84"/>
    <d v="2024-01-15T00:00:00"/>
    <s v="CUST403"/>
    <x v="95"/>
    <x v="0"/>
    <s v="PROD6063"/>
    <s v="Office Chair"/>
    <x v="2"/>
    <x v="2"/>
    <x v="40"/>
    <x v="95"/>
    <n v="2"/>
    <n v="2544"/>
    <n v="5"/>
    <n v="5283.6"/>
    <n v="4834.4799999999996"/>
    <n v="449.12"/>
    <s v="Cash"/>
    <s v="Returned"/>
    <s v="Moon and Sons"/>
    <s v="amitchell@allen-mcbride.biz"/>
    <n v="6"/>
    <s v="Yes"/>
    <n v="36"/>
  </r>
  <r>
    <s v="ORD1096"/>
    <x v="85"/>
    <d v="2025-02-10T00:00:00"/>
    <s v="CUST530"/>
    <x v="96"/>
    <x v="0"/>
    <s v="PROD7910"/>
    <s v="Cooking oil"/>
    <x v="3"/>
    <x v="2"/>
    <x v="18"/>
    <x v="96"/>
    <n v="10"/>
    <n v="1151"/>
    <n v="15"/>
    <n v="10233.5"/>
    <n v="9784.15"/>
    <n v="449.35"/>
    <s v="UPI"/>
    <s v="Cancelled"/>
    <s v="Gray, Gibson and Nguyen"/>
    <s v="andres01@johnson-johnson.com"/>
    <n v="41"/>
    <s v="No"/>
    <n v="0"/>
  </r>
  <r>
    <s v="ORD1097"/>
    <x v="86"/>
    <d v="2025-04-20T00:00:00"/>
    <s v="CUST514"/>
    <x v="97"/>
    <x v="1"/>
    <s v="PROD4385"/>
    <s v="Office Chair"/>
    <x v="2"/>
    <x v="1"/>
    <x v="42"/>
    <x v="97"/>
    <n v="2"/>
    <n v="4591"/>
    <n v="0"/>
    <n v="9632"/>
    <n v="9182.89"/>
    <n v="449.11"/>
    <s v="Cash"/>
    <s v="Cancelled"/>
    <s v="Chase-Garcia"/>
    <s v="samuelbeck@adkins-lam.com"/>
    <n v="32"/>
    <s v="No"/>
    <n v="0"/>
  </r>
  <r>
    <s v="ORD1098"/>
    <x v="87"/>
    <d v="2024-12-29T00:00:00"/>
    <s v="CUST683"/>
    <x v="98"/>
    <x v="0"/>
    <s v="PROD6270"/>
    <s v="Calculator"/>
    <x v="0"/>
    <x v="2"/>
    <x v="21"/>
    <x v="98"/>
    <n v="5"/>
    <n v="2576"/>
    <n v="0"/>
    <n v="13330"/>
    <n v="12880.78"/>
    <n v="449.22"/>
    <s v="Credit card"/>
    <s v="Returned"/>
    <s v="Maldonado, Blankenship and Mcdowell"/>
    <s v="collinstravis@irwin.com"/>
    <n v="47"/>
    <s v="No"/>
    <n v="0"/>
  </r>
  <r>
    <s v="ORD1099"/>
    <x v="38"/>
    <d v="2024-12-28T00:00:00"/>
    <s v="CUST349"/>
    <x v="99"/>
    <x v="1"/>
    <s v="PROD2430"/>
    <s v="Juice Pack"/>
    <x v="3"/>
    <x v="3"/>
    <x v="23"/>
    <x v="99"/>
    <n v="3"/>
    <n v="1261"/>
    <n v="10"/>
    <n v="3854.7"/>
    <n v="3405.58"/>
    <n v="449.12"/>
    <s v="Net Banking"/>
    <s v="Pending"/>
    <s v="Powell-Johnson"/>
    <s v="sjohnson@gonzales-hardin.com"/>
    <n v="32"/>
    <s v="No"/>
    <n v="0"/>
  </r>
  <r>
    <s v="ORD1100"/>
    <x v="88"/>
    <d v="2025-04-01T00:00:00"/>
    <s v="CUST523"/>
    <x v="100"/>
    <x v="0"/>
    <s v="PROD9962"/>
    <s v="Bookshell"/>
    <x v="2"/>
    <x v="3"/>
    <x v="35"/>
    <x v="100"/>
    <n v="1"/>
    <n v="1535"/>
    <n v="15"/>
    <n v="1754.75"/>
    <n v="1305.6300000000001"/>
    <n v="449.12"/>
    <s v="Credit card"/>
    <s v="Delivered"/>
    <s v="Kelly, Williams and Lewis"/>
    <s v="chopkins@mccoy-boyd.net"/>
    <n v="29"/>
    <s v="No"/>
    <n v="0"/>
  </r>
  <r>
    <s v="ORD1101"/>
    <x v="89"/>
    <d v="2023-11-08T00:00:00"/>
    <s v="CUST217"/>
    <x v="101"/>
    <x v="2"/>
    <s v="PROD5442"/>
    <s v="Laptop"/>
    <x v="1"/>
    <x v="2"/>
    <x v="39"/>
    <x v="101"/>
    <n v="7"/>
    <n v="4146"/>
    <n v="20"/>
    <n v="23667.599999999999"/>
    <n v="23218.46"/>
    <n v="449.14"/>
    <s v="Credit card"/>
    <s v="Cancelled"/>
    <s v="Mcdaniel, Jenkins and Hurley"/>
    <s v="omitchell@miller.com"/>
    <n v="25"/>
    <s v="No"/>
    <n v="0"/>
  </r>
  <r>
    <s v="ORD1102"/>
    <x v="90"/>
    <d v="2023-12-05T00:00:00"/>
    <s v="CUST818"/>
    <x v="102"/>
    <x v="1"/>
    <s v="PROD4206"/>
    <s v="Laptop"/>
    <x v="1"/>
    <x v="1"/>
    <x v="1"/>
    <x v="102"/>
    <n v="4"/>
    <n v="233"/>
    <n v="5"/>
    <n v="1335.4"/>
    <n v="886.2"/>
    <n v="449.2"/>
    <s v="Net Banking"/>
    <s v="Delivered"/>
    <s v="Young-Martin"/>
    <s v="jeffrey56@burns-lewis.com"/>
    <n v="3"/>
    <s v="Yes"/>
    <n v="23"/>
  </r>
  <r>
    <s v="ORD1103"/>
    <x v="91"/>
    <d v="2025-07-26T00:00:00"/>
    <s v="CUST820"/>
    <x v="103"/>
    <x v="2"/>
    <s v="PROD6352"/>
    <s v="Stapler"/>
    <x v="0"/>
    <x v="0"/>
    <x v="8"/>
    <x v="103"/>
    <n v="9"/>
    <n v="2171"/>
    <n v="0"/>
    <n v="19989"/>
    <n v="19539.740000000002"/>
    <n v="449.26"/>
    <s v="Cash"/>
    <s v="Returned"/>
    <s v="Nelson-Arnold"/>
    <s v="lmarshall@hicks.org"/>
    <n v="33"/>
    <s v="No"/>
    <n v="0"/>
  </r>
  <r>
    <s v="ORD1104"/>
    <x v="92"/>
    <d v="2024-05-07T00:00:00"/>
    <s v="CUST165"/>
    <x v="104"/>
    <x v="2"/>
    <s v="PROD5487"/>
    <s v="Office Chair"/>
    <x v="2"/>
    <x v="2"/>
    <x v="19"/>
    <x v="104"/>
    <n v="5"/>
    <n v="1922"/>
    <n v="15"/>
    <n v="8723.5"/>
    <n v="8169.24"/>
    <n v="554.26"/>
    <s v="Cash"/>
    <s v="Returned"/>
    <s v="Burke, Miller and Bartlett"/>
    <s v="bairdvictor@williams.com"/>
    <n v="45"/>
    <s v="No"/>
    <n v="0"/>
  </r>
  <r>
    <s v="ORD1105"/>
    <x v="93"/>
    <d v="2024-06-26T00:00:00"/>
    <s v="CUST621"/>
    <x v="105"/>
    <x v="1"/>
    <s v="PROD1166"/>
    <s v="Calculator"/>
    <x v="0"/>
    <x v="2"/>
    <x v="3"/>
    <x v="105"/>
    <n v="1"/>
    <n v="502"/>
    <n v="15"/>
    <n v="981.7"/>
    <n v="427.5"/>
    <n v="554.20000000000005"/>
    <s v="Credit card"/>
    <s v="Returned"/>
    <s v="Wells, Hardy and Scott"/>
    <s v="christopher48@garcia-myers.info"/>
    <n v="18"/>
    <s v="No"/>
    <n v="0"/>
  </r>
  <r>
    <s v="ORD1106"/>
    <x v="94"/>
    <d v="2024-04-22T00:00:00"/>
    <s v="CUST542"/>
    <x v="106"/>
    <x v="1"/>
    <s v="PROD3315"/>
    <s v="Bookshell"/>
    <x v="2"/>
    <x v="2"/>
    <x v="0"/>
    <x v="106"/>
    <n v="4"/>
    <n v="4798"/>
    <n v="15"/>
    <n v="16868.2"/>
    <n v="16314.02"/>
    <n v="554.17999999999995"/>
    <s v="Credit card"/>
    <s v="Delivered"/>
    <s v="Scott-Aguirre"/>
    <s v="michaelconley@torres.org"/>
    <n v="15"/>
    <s v="No"/>
    <n v="0"/>
  </r>
  <r>
    <s v="ORD1107"/>
    <x v="88"/>
    <d v="2025-03-31T00:00:00"/>
    <s v="CUST964"/>
    <x v="107"/>
    <x v="1"/>
    <s v="PROD4299"/>
    <s v="Mouse"/>
    <x v="1"/>
    <x v="3"/>
    <x v="8"/>
    <x v="107"/>
    <n v="6"/>
    <n v="4866"/>
    <n v="10"/>
    <n v="26831.4"/>
    <n v="26277.22"/>
    <n v="554.17999999999995"/>
    <s v="UPI"/>
    <s v="Cancelled"/>
    <s v="Carter PLC"/>
    <s v="xerickson@navarro-bell.net"/>
    <n v="0"/>
    <s v="Yes"/>
    <n v="30"/>
  </r>
  <r>
    <s v="ORD1108"/>
    <x v="95"/>
    <d v="2024-08-28T00:00:00"/>
    <s v="CUST638"/>
    <x v="108"/>
    <x v="0"/>
    <s v="PROD6517"/>
    <s v="Mouse"/>
    <x v="1"/>
    <x v="1"/>
    <x v="8"/>
    <x v="108"/>
    <n v="9"/>
    <n v="1947"/>
    <n v="20"/>
    <n v="14573.4"/>
    <n v="14019.08"/>
    <n v="554.32000000000005"/>
    <s v="Cash"/>
    <s v="Returned"/>
    <s v="Ellison, Vasquez and Williams"/>
    <s v="rossmichelle@bennett.com"/>
    <n v="1"/>
    <s v="Yes"/>
    <n v="50"/>
  </r>
  <r>
    <s v="ORD1109"/>
    <x v="96"/>
    <d v="2025-10-23T00:00:00"/>
    <s v="CUST978"/>
    <x v="109"/>
    <x v="0"/>
    <s v="PROD3962"/>
    <s v="Sofa"/>
    <x v="2"/>
    <x v="0"/>
    <x v="33"/>
    <x v="109"/>
    <n v="5"/>
    <n v="4353"/>
    <n v="10"/>
    <n v="20143.5"/>
    <n v="19589.39"/>
    <n v="554.11"/>
    <s v="UPI"/>
    <s v="Delivered"/>
    <s v="Patterson-Shepard"/>
    <s v="ryan75@kelly.info"/>
    <n v="0"/>
    <s v="Yes"/>
    <n v="25"/>
  </r>
  <r>
    <s v="ORD1110"/>
    <x v="97"/>
    <d v="2024-05-04T00:00:00"/>
    <s v="CUST262"/>
    <x v="110"/>
    <x v="0"/>
    <s v="PROD3575"/>
    <s v="Cooking oil"/>
    <x v="3"/>
    <x v="3"/>
    <x v="13"/>
    <x v="110"/>
    <n v="7"/>
    <n v="663"/>
    <n v="0"/>
    <n v="5196"/>
    <n v="4641.84"/>
    <n v="554.16"/>
    <s v="Credit card"/>
    <s v="Cancelled"/>
    <s v="Pruitt, Reyes and Perez"/>
    <s v="melanie38@pacheco.com"/>
    <n v="39"/>
    <s v="No"/>
    <n v="0"/>
  </r>
  <r>
    <s v="ORD1111"/>
    <x v="98"/>
    <d v="2025-08-14T00:00:00"/>
    <s v="CUST470"/>
    <x v="111"/>
    <x v="2"/>
    <s v="PROD3148"/>
    <s v="Bookshell"/>
    <x v="2"/>
    <x v="1"/>
    <x v="43"/>
    <x v="111"/>
    <n v="4"/>
    <n v="4039"/>
    <n v="0"/>
    <n v="16711"/>
    <n v="16156.78"/>
    <n v="554.22"/>
    <s v="Credit card"/>
    <s v="Pending"/>
    <s v="Johnson, Graves and Pruitt"/>
    <s v="patrickchristina@jones.com"/>
    <n v="32"/>
    <s v="No"/>
    <n v="0"/>
  </r>
  <r>
    <s v="ORD1112"/>
    <x v="46"/>
    <d v="2023-12-22T00:00:00"/>
    <s v="CUST379"/>
    <x v="112"/>
    <x v="1"/>
    <s v="PROD7605"/>
    <s v="Calculator"/>
    <x v="0"/>
    <x v="0"/>
    <x v="25"/>
    <x v="112"/>
    <n v="8"/>
    <n v="2288"/>
    <n v="10"/>
    <n v="17028.599999999999"/>
    <n v="16474.34"/>
    <n v="554.26"/>
    <s v="Net Banking"/>
    <s v="Delivered"/>
    <s v="Escobar-Hull"/>
    <s v="dawngoodwin@long.net"/>
    <n v="46"/>
    <s v="No"/>
    <n v="0"/>
  </r>
  <r>
    <s v="ORD1113"/>
    <x v="0"/>
    <d v="2024-12-24T00:00:00"/>
    <s v="CUST821"/>
    <x v="113"/>
    <x v="2"/>
    <s v="PROD5063"/>
    <s v="Snacks"/>
    <x v="3"/>
    <x v="3"/>
    <x v="35"/>
    <x v="113"/>
    <n v="3"/>
    <n v="2288"/>
    <n v="20"/>
    <n v="6046.2"/>
    <n v="5491.87"/>
    <n v="554.33000000000004"/>
    <s v="Cash"/>
    <s v="Returned"/>
    <s v="Mcdonald and Sons"/>
    <s v="perkinsbryan@smith.com"/>
    <n v="36"/>
    <s v="No"/>
    <n v="0"/>
  </r>
  <r>
    <s v="ORD1114"/>
    <x v="99"/>
    <d v="2025-05-30T00:00:00"/>
    <s v="CUST372"/>
    <x v="114"/>
    <x v="0"/>
    <s v="PROD4962"/>
    <s v="Snacks"/>
    <x v="3"/>
    <x v="1"/>
    <x v="11"/>
    <x v="114"/>
    <n v="6"/>
    <n v="2448"/>
    <n v="5"/>
    <n v="14508.6"/>
    <n v="13954.35"/>
    <n v="554.25"/>
    <s v="Cash"/>
    <s v="Returned"/>
    <s v="Gutierrez, Robinson and Glenn"/>
    <s v="bryanmurray@lloyd.net"/>
    <n v="6"/>
    <s v="Yes"/>
    <n v="50"/>
  </r>
  <r>
    <s v="ORD1115"/>
    <x v="100"/>
    <d v="2024-10-06T00:00:00"/>
    <s v="CUST217"/>
    <x v="115"/>
    <x v="1"/>
    <s v="PROD6919"/>
    <s v="Headphones"/>
    <x v="1"/>
    <x v="3"/>
    <x v="5"/>
    <x v="115"/>
    <n v="5"/>
    <n v="3229"/>
    <n v="0"/>
    <n v="16700"/>
    <n v="16145.75"/>
    <n v="554.25"/>
    <s v="UPI"/>
    <s v="Returned"/>
    <s v="Harrison, White and Kelly"/>
    <s v="qbrown@martin-cruz.com"/>
    <n v="4"/>
    <s v="Yes"/>
    <n v="44"/>
  </r>
  <r>
    <s v="ORD1116"/>
    <x v="101"/>
    <d v="2025-06-30T00:00:00"/>
    <s v="CUST800"/>
    <x v="116"/>
    <x v="1"/>
    <s v="PROD3401"/>
    <s v="Pen"/>
    <x v="0"/>
    <x v="1"/>
    <x v="30"/>
    <x v="116"/>
    <n v="1"/>
    <n v="2718"/>
    <n v="5"/>
    <n v="3137.1"/>
    <n v="2582.84"/>
    <n v="554.26"/>
    <s v="Cash"/>
    <s v="Returned"/>
    <s v="Moore, Brown and Guerrero"/>
    <s v="hendrixleah@fisher-wright.com"/>
    <n v="14"/>
    <s v="No"/>
    <n v="0"/>
  </r>
  <r>
    <s v="ORD1117"/>
    <x v="102"/>
    <d v="2025-10-25T00:00:00"/>
    <s v="CUST637"/>
    <x v="117"/>
    <x v="2"/>
    <s v="PROD9598"/>
    <s v="Stapler"/>
    <x v="0"/>
    <x v="2"/>
    <x v="44"/>
    <x v="117"/>
    <n v="9"/>
    <n v="2743"/>
    <n v="20"/>
    <n v="20304.599999999999"/>
    <n v="19750.37"/>
    <n v="554.23"/>
    <s v="Cash"/>
    <s v="Cancelled"/>
    <s v="Munoz-Daniels"/>
    <s v="eric63@allen.com"/>
    <n v="2"/>
    <s v="Yes"/>
    <n v="41"/>
  </r>
  <r>
    <s v="ORD1118"/>
    <x v="103"/>
    <d v="2024-04-24T00:00:00"/>
    <s v="CUST457"/>
    <x v="118"/>
    <x v="2"/>
    <s v="PROD6107"/>
    <s v="Laptop"/>
    <x v="1"/>
    <x v="1"/>
    <x v="0"/>
    <x v="118"/>
    <n v="9"/>
    <n v="4388"/>
    <n v="15"/>
    <n v="34123.199999999997"/>
    <n v="33568.99"/>
    <n v="554.21"/>
    <s v="UPI"/>
    <s v="Returned"/>
    <s v="Trujillo PLC"/>
    <s v="karina07@lopez-orozco.biz"/>
    <n v="32"/>
    <s v="No"/>
    <n v="0"/>
  </r>
  <r>
    <s v="ORD1119"/>
    <x v="104"/>
    <d v="2024-09-24T00:00:00"/>
    <s v="CUST764"/>
    <x v="119"/>
    <x v="1"/>
    <s v="PROD4900"/>
    <s v="File Folder"/>
    <x v="0"/>
    <x v="1"/>
    <x v="12"/>
    <x v="119"/>
    <n v="1"/>
    <n v="2357"/>
    <n v="15"/>
    <n v="2558.4499999999998"/>
    <n v="2004.07"/>
    <n v="554.38"/>
    <s v="UPI"/>
    <s v="Cancelled"/>
    <s v="Cunningham and Sons"/>
    <s v="garzaheather@garcia.com"/>
    <n v="7"/>
    <s v="Yes"/>
    <n v="31"/>
  </r>
  <r>
    <s v="ORD1120"/>
    <x v="105"/>
    <d v="2025-07-23T00:00:00"/>
    <s v="CUST874"/>
    <x v="120"/>
    <x v="2"/>
    <s v="PROD4924"/>
    <s v="Mouse"/>
    <x v="1"/>
    <x v="1"/>
    <x v="19"/>
    <x v="120"/>
    <n v="4"/>
    <n v="153"/>
    <n v="10"/>
    <n v="1105.8"/>
    <n v="551.42999999999995"/>
    <n v="554.37"/>
    <s v="Cash"/>
    <s v="Cancelled"/>
    <s v="Carroll, Johnson and Miller"/>
    <s v="john47@ward-kramer.com"/>
    <n v="12"/>
    <s v="No"/>
    <n v="0"/>
  </r>
  <r>
    <s v="ORD1121"/>
    <x v="106"/>
    <d v="2023-12-04T00:00:00"/>
    <s v="CUST785"/>
    <x v="121"/>
    <x v="1"/>
    <s v="PROD9820"/>
    <s v="Snacks"/>
    <x v="3"/>
    <x v="3"/>
    <x v="34"/>
    <x v="121"/>
    <n v="9"/>
    <n v="1233"/>
    <n v="10"/>
    <n v="10542.3"/>
    <n v="9988.01"/>
    <n v="554.29"/>
    <s v="UPI"/>
    <s v="Cancelled"/>
    <s v="Morgan-Nicholson"/>
    <s v="sharon74@clark.com"/>
    <n v="31"/>
    <s v="No"/>
    <n v="0"/>
  </r>
  <r>
    <s v="ORD1122"/>
    <x v="107"/>
    <d v="2024-09-14T00:00:00"/>
    <s v="CUST462"/>
    <x v="122"/>
    <x v="2"/>
    <s v="PROD6782"/>
    <s v="Juice Pack"/>
    <x v="3"/>
    <x v="0"/>
    <x v="27"/>
    <x v="122"/>
    <n v="1"/>
    <n v="2056"/>
    <n v="10"/>
    <n v="2405.4"/>
    <n v="1851.26"/>
    <n v="554.14"/>
    <s v="Net Banking"/>
    <s v="Cancelled"/>
    <s v="Smith, Watkins and Harris"/>
    <s v="marydickson@stevens.com"/>
    <n v="4"/>
    <s v="Yes"/>
    <n v="44"/>
  </r>
  <r>
    <s v="ORD1123"/>
    <x v="108"/>
    <d v="2023-11-10T00:00:00"/>
    <s v="CUST767"/>
    <x v="123"/>
    <x v="2"/>
    <s v="PROD7768"/>
    <s v="Mouse"/>
    <x v="1"/>
    <x v="1"/>
    <x v="45"/>
    <x v="123"/>
    <n v="6"/>
    <n v="2497"/>
    <n v="10"/>
    <n v="14038.8"/>
    <n v="13484.53"/>
    <n v="554.27"/>
    <s v="UPI"/>
    <s v="Delivered"/>
    <s v="Mayo Ltd"/>
    <s v="hstein@adams.com"/>
    <n v="16"/>
    <s v="No"/>
    <n v="0"/>
  </r>
  <r>
    <s v="ORD1124"/>
    <x v="109"/>
    <d v="2025-07-23T00:00:00"/>
    <s v="CUST509"/>
    <x v="124"/>
    <x v="0"/>
    <s v="PROD8202"/>
    <s v="Mouse"/>
    <x v="1"/>
    <x v="0"/>
    <x v="20"/>
    <x v="124"/>
    <n v="7"/>
    <n v="4573"/>
    <n v="5"/>
    <n v="30965.45"/>
    <n v="30411.17"/>
    <n v="554.28"/>
    <s v="UPI"/>
    <s v="Delivered"/>
    <s v="Fowler, Norris and Diaz"/>
    <s v="epitts@olsen.info"/>
    <n v="29"/>
    <s v="No"/>
    <n v="0"/>
  </r>
  <r>
    <s v="ORD1125"/>
    <x v="110"/>
    <d v="2024-04-23T00:00:00"/>
    <s v="CUST286"/>
    <x v="125"/>
    <x v="2"/>
    <s v="PROD2336"/>
    <s v="File Folder"/>
    <x v="0"/>
    <x v="2"/>
    <x v="13"/>
    <x v="125"/>
    <n v="4"/>
    <n v="2188"/>
    <n v="15"/>
    <n v="7994.2"/>
    <n v="7440.05"/>
    <n v="554.15"/>
    <s v="UPI"/>
    <s v="Delivered"/>
    <s v="Perry, Moore and Monroe"/>
    <s v="samantha66@matthews-sanchez.com"/>
    <n v="48"/>
    <s v="No"/>
    <n v="0"/>
  </r>
  <r>
    <s v="ORD1126"/>
    <x v="111"/>
    <d v="2023-12-06T00:00:00"/>
    <s v="CUST183"/>
    <x v="126"/>
    <x v="1"/>
    <s v="PROD6626"/>
    <s v="Laptop"/>
    <x v="1"/>
    <x v="3"/>
    <x v="46"/>
    <x v="126"/>
    <n v="10"/>
    <n v="1114"/>
    <n v="5"/>
    <n v="11138"/>
    <n v="10583.71"/>
    <n v="554.29"/>
    <s v="Cash"/>
    <s v="Returned"/>
    <s v="Manning-White"/>
    <s v="bnixon@castro.com"/>
    <n v="7"/>
    <s v="Yes"/>
    <n v="20"/>
  </r>
  <r>
    <s v="ORD1127"/>
    <x v="112"/>
    <d v="2025-08-19T00:00:00"/>
    <s v="CUST329"/>
    <x v="127"/>
    <x v="1"/>
    <s v="PROD6202"/>
    <s v="Rice Bag"/>
    <x v="3"/>
    <x v="2"/>
    <x v="1"/>
    <x v="127"/>
    <n v="10"/>
    <n v="1732"/>
    <n v="15"/>
    <n v="15277"/>
    <n v="14722.67"/>
    <n v="554.33000000000004"/>
    <s v="Net Banking"/>
    <s v="Delivered"/>
    <s v="Nelson-Jones"/>
    <s v="becky64@decker.com"/>
    <n v="36"/>
    <s v="No"/>
    <n v="0"/>
  </r>
  <r>
    <s v="ORD1128"/>
    <x v="113"/>
    <d v="2025-10-16T00:00:00"/>
    <s v="CUST339"/>
    <x v="128"/>
    <x v="1"/>
    <s v="PROD2865"/>
    <s v="Headphones"/>
    <x v="1"/>
    <x v="2"/>
    <x v="33"/>
    <x v="128"/>
    <n v="5"/>
    <n v="2270"/>
    <n v="10"/>
    <n v="10770"/>
    <n v="10215.86"/>
    <n v="554.14"/>
    <s v="Credit card"/>
    <s v="Pending"/>
    <s v="Kemp, Carter and Lowery"/>
    <s v="robert04@adams.net"/>
    <n v="35"/>
    <s v="No"/>
    <n v="0"/>
  </r>
  <r>
    <s v="ORD1129"/>
    <x v="3"/>
    <d v="2024-07-31T00:00:00"/>
    <s v="CUST350"/>
    <x v="129"/>
    <x v="0"/>
    <s v="PROD3026"/>
    <s v="Sugar"/>
    <x v="3"/>
    <x v="2"/>
    <x v="28"/>
    <x v="129"/>
    <n v="9"/>
    <n v="1990"/>
    <n v="0"/>
    <n v="18465"/>
    <n v="17910.810000000001"/>
    <n v="554.19000000000005"/>
    <s v="Credit card"/>
    <s v="Returned"/>
    <s v="Ramirez PLC"/>
    <s v="xavierparsons@castro-small.info"/>
    <n v="6"/>
    <s v="Yes"/>
    <n v="44"/>
  </r>
  <r>
    <s v="ORD1130"/>
    <x v="82"/>
    <d v="2024-12-29T00:00:00"/>
    <s v="CUST136"/>
    <x v="130"/>
    <x v="2"/>
    <s v="PROD4129"/>
    <s v="Stapler"/>
    <x v="0"/>
    <x v="1"/>
    <x v="13"/>
    <x v="130"/>
    <n v="9"/>
    <n v="3393"/>
    <n v="15"/>
    <n v="26511.45"/>
    <n v="25957.08"/>
    <n v="554.37"/>
    <s v="Cash"/>
    <s v="Cancelled"/>
    <s v="Walker and Sons"/>
    <s v="devinlarson@kelley.com"/>
    <n v="16"/>
    <s v="No"/>
    <n v="0"/>
  </r>
  <r>
    <s v="ORD1131"/>
    <x v="114"/>
    <d v="2024-09-15T00:00:00"/>
    <s v="CUST273"/>
    <x v="131"/>
    <x v="2"/>
    <s v="PROD8632"/>
    <s v="Laptop"/>
    <x v="1"/>
    <x v="0"/>
    <x v="34"/>
    <x v="131"/>
    <n v="9"/>
    <n v="2840"/>
    <n v="20"/>
    <n v="21003"/>
    <n v="20448.66"/>
    <n v="554.34"/>
    <s v="UPI"/>
    <s v="Pending"/>
    <s v="Marshall-Mclean"/>
    <s v="suttonjason@thompson.com"/>
    <n v="24"/>
    <s v="No"/>
    <n v="0"/>
  </r>
  <r>
    <s v="ORD1132"/>
    <x v="115"/>
    <d v="2025-01-29T00:00:00"/>
    <s v="CUST975"/>
    <x v="132"/>
    <x v="0"/>
    <s v="PROD6083"/>
    <s v="Study Table"/>
    <x v="2"/>
    <x v="0"/>
    <x v="23"/>
    <x v="8"/>
    <n v="5"/>
    <n v="4474"/>
    <n v="15"/>
    <n v="19569.5"/>
    <n v="19015.189999999999"/>
    <n v="554.30999999999995"/>
    <s v="UPI"/>
    <s v="Pending"/>
    <s v="Noble-Williams"/>
    <s v="ysheppard@ortiz-gonzales.info"/>
    <n v="17"/>
    <s v="No"/>
    <n v="0"/>
  </r>
  <r>
    <s v="ORD1133"/>
    <x v="116"/>
    <d v="2025-09-28T00:00:00"/>
    <s v="CUST686"/>
    <x v="133"/>
    <x v="1"/>
    <s v="PROD6809"/>
    <s v="Pen"/>
    <x v="0"/>
    <x v="2"/>
    <x v="30"/>
    <x v="132"/>
    <n v="9"/>
    <n v="1385"/>
    <n v="5"/>
    <n v="12396.75"/>
    <n v="11842.39"/>
    <n v="554.36"/>
    <s v="UPI"/>
    <s v="Delivered"/>
    <s v="Price PLC"/>
    <s v="lonnie76@baker-jenkins.com"/>
    <n v="33"/>
    <s v="No"/>
    <n v="0"/>
  </r>
  <r>
    <s v="ORD1134"/>
    <x v="24"/>
    <d v="2024-03-26T00:00:00"/>
    <s v="CUST509"/>
    <x v="134"/>
    <x v="2"/>
    <s v="PROD6018"/>
    <s v="Keyboard"/>
    <x v="1"/>
    <x v="0"/>
    <x v="34"/>
    <x v="133"/>
    <n v="10"/>
    <n v="1983"/>
    <n v="20"/>
    <n v="16419"/>
    <n v="15864.79"/>
    <n v="554.21"/>
    <s v="Cash"/>
    <s v="Cancelled"/>
    <s v="Mueller Group"/>
    <s v="barrysanchez@lynch.com"/>
    <n v="9"/>
    <s v="Yes"/>
    <n v="29"/>
  </r>
  <r>
    <s v="ORD1135"/>
    <x v="117"/>
    <d v="2025-05-05T00:00:00"/>
    <s v="CUST159"/>
    <x v="135"/>
    <x v="0"/>
    <s v="PROD5572"/>
    <s v="Juice Pack"/>
    <x v="3"/>
    <x v="3"/>
    <x v="37"/>
    <x v="134"/>
    <n v="5"/>
    <n v="3314"/>
    <n v="20"/>
    <n v="13931"/>
    <n v="13256.69"/>
    <n v="674.31"/>
    <s v="Credit card"/>
    <s v="Returned"/>
    <s v="Young, Johnson and Walker"/>
    <s v="marshallchristopher@stephenson.org"/>
    <n v="35"/>
    <s v="No"/>
    <n v="0"/>
  </r>
  <r>
    <s v="ORD1136"/>
    <x v="118"/>
    <d v="2025-07-09T00:00:00"/>
    <s v="CUST577"/>
    <x v="136"/>
    <x v="0"/>
    <s v="PROD3872"/>
    <s v="Juice Pack"/>
    <x v="3"/>
    <x v="1"/>
    <x v="15"/>
    <x v="135"/>
    <n v="3"/>
    <n v="2597"/>
    <n v="5"/>
    <n v="8076.45"/>
    <n v="7402.33"/>
    <n v="674.12"/>
    <s v="Net Banking"/>
    <s v="Cancelled"/>
    <s v="Clark, Adams and King"/>
    <s v="robertscristian@johnson.com"/>
    <n v="16"/>
    <s v="No"/>
    <n v="0"/>
  </r>
  <r>
    <s v="ORD1137"/>
    <x v="119"/>
    <d v="2024-04-18T00:00:00"/>
    <s v="CUST780"/>
    <x v="137"/>
    <x v="2"/>
    <s v="PROD5339"/>
    <s v="Pen"/>
    <x v="0"/>
    <x v="2"/>
    <x v="40"/>
    <x v="136"/>
    <n v="5"/>
    <n v="4660"/>
    <n v="5"/>
    <n v="22810"/>
    <n v="22135.77"/>
    <n v="674.23"/>
    <s v="UPI"/>
    <s v="Returned"/>
    <s v="Carroll-Maxwell"/>
    <s v="regina32@hamilton-small.com"/>
    <n v="32"/>
    <s v="No"/>
    <n v="0"/>
  </r>
  <r>
    <s v="ORD1138"/>
    <x v="120"/>
    <d v="2025-11-07T00:00:00"/>
    <s v="CUST205"/>
    <x v="138"/>
    <x v="2"/>
    <s v="PROD3216"/>
    <s v="Headphones"/>
    <x v="1"/>
    <x v="0"/>
    <x v="20"/>
    <x v="137"/>
    <n v="6"/>
    <n v="2362"/>
    <n v="15"/>
    <n v="12721.2"/>
    <n v="12046.89"/>
    <n v="674.31"/>
    <s v="Net Banking"/>
    <s v="Pending"/>
    <s v="Cohen, Williams and Ford"/>
    <s v="tammy74@hancock.com"/>
    <n v="42"/>
    <s v="No"/>
    <n v="0"/>
  </r>
  <r>
    <s v="ORD1139"/>
    <x v="121"/>
    <d v="2025-03-15T00:00:00"/>
    <s v="CUST855"/>
    <x v="139"/>
    <x v="1"/>
    <s v="PROD8626"/>
    <s v="Keyboard"/>
    <x v="1"/>
    <x v="1"/>
    <x v="37"/>
    <x v="138"/>
    <n v="1"/>
    <n v="3614"/>
    <n v="15"/>
    <n v="3746.9"/>
    <n v="3072.63"/>
    <n v="674.27"/>
    <s v="Credit card"/>
    <s v="Delivered"/>
    <s v="Brown Inc"/>
    <s v="phebert@mcintosh.com"/>
    <n v="24"/>
    <s v="No"/>
    <n v="0"/>
  </r>
  <r>
    <s v="ORD1140"/>
    <x v="122"/>
    <d v="2025-02-16T00:00:00"/>
    <s v="CUST376"/>
    <x v="140"/>
    <x v="2"/>
    <s v="PROD5984"/>
    <s v="Notebook"/>
    <x v="0"/>
    <x v="3"/>
    <x v="47"/>
    <x v="139"/>
    <n v="5"/>
    <n v="814"/>
    <n v="0"/>
    <n v="4745"/>
    <n v="4070.73"/>
    <n v="674.27"/>
    <s v="Cash"/>
    <s v="Cancelled"/>
    <s v="Carpenter, Curtis and Moore"/>
    <s v="rebecca33@martinez.com"/>
    <n v="26"/>
    <s v="No"/>
    <n v="0"/>
  </r>
  <r>
    <s v="ORD1141"/>
    <x v="123"/>
    <d v="2025-07-08T00:00:00"/>
    <s v="CUST657"/>
    <x v="141"/>
    <x v="1"/>
    <s v="PROD7540"/>
    <s v="Stapler"/>
    <x v="0"/>
    <x v="2"/>
    <x v="38"/>
    <x v="140"/>
    <n v="3"/>
    <n v="2965"/>
    <n v="15"/>
    <n v="8235.75"/>
    <n v="7561.53"/>
    <n v="674.22"/>
    <s v="UPI"/>
    <s v="Pending"/>
    <s v="Matthews Ltd"/>
    <s v="jerrymercado@hampton.com"/>
    <n v="40"/>
    <s v="No"/>
    <n v="0"/>
  </r>
  <r>
    <s v="ORD1142"/>
    <x v="124"/>
    <d v="2025-01-08T00:00:00"/>
    <s v="CUST888"/>
    <x v="142"/>
    <x v="2"/>
    <s v="PROD5103"/>
    <s v="Stapler"/>
    <x v="0"/>
    <x v="3"/>
    <x v="17"/>
    <x v="141"/>
    <n v="9"/>
    <n v="4646"/>
    <n v="0"/>
    <n v="42489"/>
    <n v="41814.870000000003"/>
    <n v="674.13"/>
    <s v="Net Banking"/>
    <s v="Pending"/>
    <s v="Russell, Green and Herring"/>
    <s v="robertsclarence@smith-king.net"/>
    <n v="46"/>
    <s v="No"/>
    <n v="0"/>
  </r>
  <r>
    <s v="ORD1143"/>
    <x v="125"/>
    <d v="2024-08-08T00:00:00"/>
    <s v="CUST672"/>
    <x v="143"/>
    <x v="2"/>
    <s v="PROD6641"/>
    <s v="Sofa"/>
    <x v="2"/>
    <x v="2"/>
    <x v="10"/>
    <x v="142"/>
    <n v="2"/>
    <n v="2733"/>
    <n v="5"/>
    <n v="5867.7"/>
    <n v="5193.53"/>
    <n v="674.17"/>
    <s v="Credit card"/>
    <s v="Cancelled"/>
    <s v="Hale-Higgins"/>
    <s v="jackmorris@hernandez-rhodes.org"/>
    <n v="11"/>
    <s v="No"/>
    <n v="0"/>
  </r>
  <r>
    <s v="ORD1144"/>
    <x v="126"/>
    <d v="2024-06-06T00:00:00"/>
    <s v="CUST988"/>
    <x v="144"/>
    <x v="0"/>
    <s v="PROD8974"/>
    <s v="Study Table"/>
    <x v="2"/>
    <x v="1"/>
    <x v="20"/>
    <x v="143"/>
    <n v="9"/>
    <n v="1642"/>
    <n v="5"/>
    <n v="14714.1"/>
    <n v="14039.92"/>
    <n v="674.18"/>
    <s v="UPI"/>
    <s v="Returned"/>
    <s v="Frazier, Castro and Phillips"/>
    <s v="cmartinez@pratt.com"/>
    <n v="18"/>
    <s v="No"/>
    <n v="0"/>
  </r>
  <r>
    <s v="ORD1145"/>
    <x v="127"/>
    <d v="2024-02-04T00:00:00"/>
    <s v="CUST758"/>
    <x v="145"/>
    <x v="2"/>
    <s v="PROD5222"/>
    <s v="Pen"/>
    <x v="0"/>
    <x v="3"/>
    <x v="4"/>
    <x v="144"/>
    <n v="8"/>
    <n v="4684"/>
    <n v="20"/>
    <n v="30652.6"/>
    <n v="29978.45"/>
    <n v="674.15"/>
    <s v="Credit card"/>
    <s v="Cancelled"/>
    <s v="Joyce-Yoder"/>
    <s v="twagner@ellison.org"/>
    <n v="22"/>
    <s v="No"/>
    <n v="0"/>
  </r>
  <r>
    <s v="ORD1146"/>
    <x v="128"/>
    <d v="2024-04-10T00:00:00"/>
    <s v="CUST581"/>
    <x v="146"/>
    <x v="2"/>
    <s v="PROD7509"/>
    <s v="Pen"/>
    <x v="0"/>
    <x v="3"/>
    <x v="42"/>
    <x v="145"/>
    <n v="9"/>
    <n v="695"/>
    <n v="15"/>
    <n v="5991.75"/>
    <n v="5317.45"/>
    <n v="674.3"/>
    <s v="Credit card"/>
    <s v="Pending"/>
    <s v="Cole and Sons"/>
    <s v="nunezshannon@brooks-blanchard.com"/>
    <n v="27"/>
    <s v="No"/>
    <n v="0"/>
  </r>
  <r>
    <s v="ORD1147"/>
    <x v="129"/>
    <d v="2024-04-29T00:00:00"/>
    <s v="CUST654"/>
    <x v="147"/>
    <x v="1"/>
    <s v="PROD6125"/>
    <s v="Bookshell"/>
    <x v="2"/>
    <x v="1"/>
    <x v="14"/>
    <x v="146"/>
    <n v="10"/>
    <n v="3070"/>
    <n v="5"/>
    <n v="29840"/>
    <n v="29165.78"/>
    <n v="674.22"/>
    <s v="Cash"/>
    <s v="Returned"/>
    <s v="Hardy-Mathews"/>
    <s v="gward@gonzalez.com"/>
    <n v="3"/>
    <s v="Yes"/>
    <n v="22"/>
  </r>
  <r>
    <s v="ORD1148"/>
    <x v="38"/>
    <d v="2024-12-31T00:00:00"/>
    <s v="CUST298"/>
    <x v="148"/>
    <x v="0"/>
    <s v="PROD2605"/>
    <s v="Mouse"/>
    <x v="1"/>
    <x v="0"/>
    <x v="27"/>
    <x v="147"/>
    <n v="9"/>
    <n v="4850"/>
    <n v="0"/>
    <n v="44325"/>
    <n v="43650.61"/>
    <n v="674.39"/>
    <s v="Credit card"/>
    <s v="Pending"/>
    <s v="Delgado, Garcia and Gonzalez"/>
    <s v="myerstommy@thompson-johnson.com"/>
    <n v="29"/>
    <s v="No"/>
    <n v="0"/>
  </r>
  <r>
    <s v="ORD1149"/>
    <x v="130"/>
    <d v="2024-03-22T00:00:00"/>
    <s v="CUST571"/>
    <x v="149"/>
    <x v="0"/>
    <s v="PROD6365"/>
    <s v="Pen"/>
    <x v="0"/>
    <x v="2"/>
    <x v="5"/>
    <x v="148"/>
    <n v="6"/>
    <n v="4997"/>
    <n v="20"/>
    <n v="24660.6"/>
    <n v="23986.35"/>
    <n v="674.25"/>
    <s v="Credit card"/>
    <s v="Returned"/>
    <s v="Mcgee-Newton"/>
    <s v="amywilliams@holt.com"/>
    <n v="42"/>
    <s v="No"/>
    <n v="0"/>
  </r>
  <r>
    <s v="ORD1150"/>
    <x v="131"/>
    <d v="2024-02-10T00:00:00"/>
    <s v="CUST732"/>
    <x v="150"/>
    <x v="0"/>
    <s v="PROD3614"/>
    <s v="Keyboard"/>
    <x v="1"/>
    <x v="1"/>
    <x v="18"/>
    <x v="149"/>
    <n v="4"/>
    <n v="4106"/>
    <n v="15"/>
    <n v="14635.4"/>
    <n v="13961.04"/>
    <n v="674.36"/>
    <s v="Credit card"/>
    <s v="Pending"/>
    <s v="Rodriguez, Harris and Green"/>
    <s v="christopher76@fowler.org"/>
    <n v="15"/>
    <s v="No"/>
    <n v="0"/>
  </r>
  <r>
    <s v="ORD1151"/>
    <x v="132"/>
    <d v="2024-10-25T00:00:00"/>
    <s v="CUST197"/>
    <x v="151"/>
    <x v="1"/>
    <s v="PROD6191"/>
    <s v="Sofa"/>
    <x v="2"/>
    <x v="0"/>
    <x v="14"/>
    <x v="150"/>
    <n v="3"/>
    <n v="1166"/>
    <n v="20"/>
    <n v="3473.4"/>
    <n v="2799.12"/>
    <n v="674.28"/>
    <s v="Credit card"/>
    <s v="Returned"/>
    <s v="Evans LLC"/>
    <s v="ublanchard@murphy.org"/>
    <n v="21"/>
    <s v="No"/>
    <n v="0"/>
  </r>
  <r>
    <s v="ORD1152"/>
    <x v="133"/>
    <d v="2023-11-19T00:00:00"/>
    <s v="CUST368"/>
    <x v="152"/>
    <x v="2"/>
    <s v="PROD6157"/>
    <s v="Dining Table"/>
    <x v="2"/>
    <x v="3"/>
    <x v="23"/>
    <x v="151"/>
    <n v="2"/>
    <n v="1485"/>
    <n v="0"/>
    <n v="3645"/>
    <n v="2970.74"/>
    <n v="674.26"/>
    <s v="Cash"/>
    <s v="Delivered"/>
    <s v="Moore, Baker and Garcia"/>
    <s v="crystalgutierrez@beard.info"/>
    <n v="32"/>
    <s v="No"/>
    <n v="0"/>
  </r>
  <r>
    <s v="ORD1153"/>
    <x v="134"/>
    <d v="2025-03-13T00:00:00"/>
    <s v="CUST305"/>
    <x v="153"/>
    <x v="2"/>
    <s v="PROD6247"/>
    <s v="Keyboard"/>
    <x v="1"/>
    <x v="1"/>
    <x v="28"/>
    <x v="152"/>
    <n v="2"/>
    <n v="2264"/>
    <n v="0"/>
    <n v="5203"/>
    <n v="4528.6099999999997"/>
    <n v="674.39"/>
    <s v="Cash"/>
    <s v="Delivered"/>
    <s v="Mccullough, Mathews and Ramirez"/>
    <s v="andrewschristopher@beard.com"/>
    <n v="18"/>
    <s v="No"/>
    <n v="0"/>
  </r>
  <r>
    <s v="ORD1154"/>
    <x v="135"/>
    <d v="2024-06-10T00:00:00"/>
    <s v="CUST596"/>
    <x v="154"/>
    <x v="0"/>
    <s v="PROD6182"/>
    <s v="Bookshell"/>
    <x v="2"/>
    <x v="2"/>
    <x v="45"/>
    <x v="153"/>
    <n v="7"/>
    <n v="3084"/>
    <n v="0"/>
    <n v="22263"/>
    <n v="21588.62"/>
    <n v="674.38"/>
    <s v="UPI"/>
    <s v="Cancelled"/>
    <s v="Peterson and Sons"/>
    <s v="gonzalescorey@murphy.com"/>
    <n v="28"/>
    <s v="No"/>
    <n v="0"/>
  </r>
  <r>
    <s v="ORD1155"/>
    <x v="136"/>
    <d v="2025-03-02T00:00:00"/>
    <s v="CUST757"/>
    <x v="155"/>
    <x v="1"/>
    <s v="PROD2945"/>
    <s v="Mouse"/>
    <x v="1"/>
    <x v="3"/>
    <x v="39"/>
    <x v="154"/>
    <n v="7"/>
    <n v="2375"/>
    <n v="10"/>
    <n v="15637.5"/>
    <n v="14963.16"/>
    <n v="674.34"/>
    <s v="Credit card"/>
    <s v="Returned"/>
    <s v="Moore, Lopez and Robinson"/>
    <s v="mayssusan@crosby-hernandez.com"/>
    <n v="3"/>
    <s v="Yes"/>
    <n v="42"/>
  </r>
  <r>
    <s v="ORD1156"/>
    <x v="137"/>
    <d v="2024-10-27T00:00:00"/>
    <s v="CUST847"/>
    <x v="156"/>
    <x v="0"/>
    <s v="PROD5789"/>
    <s v="Headphones"/>
    <x v="1"/>
    <x v="1"/>
    <x v="18"/>
    <x v="155"/>
    <n v="9"/>
    <n v="3020"/>
    <n v="5"/>
    <n v="26496"/>
    <n v="25821.66"/>
    <n v="674.34"/>
    <s v="UPI"/>
    <s v="Cancelled"/>
    <s v="Porter, Mitchell and Rivers"/>
    <s v="nlopez@ramirez-rogers.org"/>
    <n v="13"/>
    <s v="No"/>
    <n v="0"/>
  </r>
  <r>
    <s v="ORD1157"/>
    <x v="138"/>
    <d v="2025-04-04T00:00:00"/>
    <s v="CUST659"/>
    <x v="157"/>
    <x v="1"/>
    <s v="PROD2210"/>
    <s v="Mouse"/>
    <x v="1"/>
    <x v="3"/>
    <x v="32"/>
    <x v="156"/>
    <n v="4"/>
    <n v="114"/>
    <n v="20"/>
    <n v="1039.8"/>
    <n v="365.41"/>
    <n v="674.39"/>
    <s v="UPI"/>
    <s v="Pending"/>
    <s v="Williams Group"/>
    <s v="teresa90@johnson-payne.net"/>
    <n v="33"/>
    <s v="No"/>
    <n v="0"/>
  </r>
  <r>
    <s v="ORD1158"/>
    <x v="139"/>
    <d v="2025-10-23T00:00:00"/>
    <s v="CUST696"/>
    <x v="158"/>
    <x v="0"/>
    <s v="PROD4538"/>
    <s v="Sugar"/>
    <x v="3"/>
    <x v="2"/>
    <x v="22"/>
    <x v="157"/>
    <n v="4"/>
    <n v="3824"/>
    <n v="5"/>
    <n v="15206.2"/>
    <n v="14531.95"/>
    <n v="674.25"/>
    <s v="Credit card"/>
    <s v="Pending"/>
    <s v="Thompson and Sons"/>
    <s v="juan66@glover-carter.org"/>
    <n v="12"/>
    <s v="No"/>
    <n v="0"/>
  </r>
  <r>
    <s v="ORD1159"/>
    <x v="140"/>
    <d v="2025-03-19T00:00:00"/>
    <s v="CUST181"/>
    <x v="159"/>
    <x v="0"/>
    <s v="PROD5399"/>
    <s v="Pen"/>
    <x v="0"/>
    <x v="2"/>
    <x v="30"/>
    <x v="158"/>
    <n v="7"/>
    <n v="1372"/>
    <n v="20"/>
    <n v="8358.2000000000007"/>
    <n v="7684.06"/>
    <n v="674.14"/>
    <s v="Cash"/>
    <s v="Pending"/>
    <s v="Gonzalez-Gray"/>
    <s v="jasondavis@todd-roach.com"/>
    <n v="38"/>
    <s v="No"/>
    <n v="0"/>
  </r>
  <r>
    <s v="ORD1160"/>
    <x v="141"/>
    <d v="2023-12-19T00:00:00"/>
    <s v="CUST349"/>
    <x v="160"/>
    <x v="0"/>
    <s v="PROD4397"/>
    <s v="Pen"/>
    <x v="0"/>
    <x v="2"/>
    <x v="18"/>
    <x v="159"/>
    <n v="5"/>
    <n v="2734"/>
    <n v="5"/>
    <n v="13661.5"/>
    <n v="12987.3"/>
    <n v="674.2"/>
    <s v="Cash"/>
    <s v="Cancelled"/>
    <s v="Fitzgerald Ltd"/>
    <s v="prattwilliam@brown.com"/>
    <n v="16"/>
    <s v="No"/>
    <n v="0"/>
  </r>
  <r>
    <s v="ORD1161"/>
    <x v="4"/>
    <d v="2024-10-25T00:00:00"/>
    <s v="CUST602"/>
    <x v="161"/>
    <x v="1"/>
    <s v="PROD1203"/>
    <s v="Headphones"/>
    <x v="1"/>
    <x v="3"/>
    <x v="2"/>
    <x v="160"/>
    <n v="10"/>
    <n v="831"/>
    <n v="5"/>
    <n v="8569.5"/>
    <n v="7895.29"/>
    <n v="674.21"/>
    <s v="Credit card"/>
    <s v="Returned"/>
    <s v="Garcia-Burke"/>
    <s v="danielsjimmy@watts.com"/>
    <n v="16"/>
    <s v="No"/>
    <n v="0"/>
  </r>
  <r>
    <s v="ORD1162"/>
    <x v="35"/>
    <d v="2023-12-17T00:00:00"/>
    <s v="CUST252"/>
    <x v="162"/>
    <x v="2"/>
    <s v="PROD5113"/>
    <s v="Sugar"/>
    <x v="3"/>
    <x v="3"/>
    <x v="25"/>
    <x v="161"/>
    <n v="9"/>
    <n v="3916"/>
    <n v="0"/>
    <n v="35919"/>
    <n v="35244.620000000003"/>
    <n v="674.38"/>
    <s v="Cash"/>
    <s v="Delivered"/>
    <s v="Brown-Collins"/>
    <s v="kmendez@brown.com"/>
    <n v="0"/>
    <s v="Yes"/>
    <n v="29"/>
  </r>
  <r>
    <s v="ORD1163"/>
    <x v="1"/>
    <d v="2025-07-23T00:00:00"/>
    <s v="CUST962"/>
    <x v="163"/>
    <x v="1"/>
    <s v="PROD4715"/>
    <s v="Rice Bag"/>
    <x v="3"/>
    <x v="0"/>
    <x v="22"/>
    <x v="162"/>
    <n v="2"/>
    <n v="1819"/>
    <n v="20"/>
    <n v="3585.4"/>
    <n v="2911.06"/>
    <n v="674.34"/>
    <s v="Cash"/>
    <s v="Returned"/>
    <s v="Moore-Campbell"/>
    <s v="zhunter@johnson-mcbride.com"/>
    <n v="46"/>
    <s v="No"/>
    <n v="0"/>
  </r>
  <r>
    <s v="ORD1164"/>
    <x v="142"/>
    <d v="2024-04-23T00:00:00"/>
    <s v="CUST244"/>
    <x v="164"/>
    <x v="1"/>
    <s v="PROD8565"/>
    <s v="File Folder"/>
    <x v="0"/>
    <x v="0"/>
    <x v="13"/>
    <x v="163"/>
    <n v="2"/>
    <n v="3966"/>
    <n v="15"/>
    <n v="7417.2"/>
    <n v="6742.94"/>
    <n v="674.26"/>
    <s v="Credit card"/>
    <s v="Cancelled"/>
    <s v="Miller, Luna and Ortiz"/>
    <s v="jennifer44@english-evans.info"/>
    <n v="50"/>
    <s v="No"/>
    <n v="0"/>
  </r>
  <r>
    <s v="ORD1165"/>
    <x v="33"/>
    <d v="2024-07-21T00:00:00"/>
    <s v="CUST630"/>
    <x v="165"/>
    <x v="1"/>
    <s v="PROD1038"/>
    <s v="Headphones"/>
    <x v="1"/>
    <x v="0"/>
    <x v="8"/>
    <x v="164"/>
    <n v="6"/>
    <n v="2721"/>
    <n v="15"/>
    <n v="14552.1"/>
    <n v="13877.86"/>
    <n v="674.24"/>
    <s v="Net Banking"/>
    <s v="Returned"/>
    <s v="Carter Group"/>
    <s v="mary50@gonzales.com"/>
    <n v="22"/>
    <s v="No"/>
    <n v="0"/>
  </r>
  <r>
    <s v="ORD1166"/>
    <x v="143"/>
    <d v="2024-11-30T00:00:00"/>
    <s v="CUST749"/>
    <x v="166"/>
    <x v="1"/>
    <s v="PROD9842"/>
    <s v="Snacks"/>
    <x v="3"/>
    <x v="3"/>
    <x v="34"/>
    <x v="165"/>
    <n v="3"/>
    <n v="999"/>
    <n v="5"/>
    <n v="3522.15"/>
    <n v="2847.85"/>
    <n v="674.3"/>
    <s v="UPI"/>
    <s v="Returned"/>
    <s v="Moore Ltd"/>
    <s v="laura24@thompson-zamora.com"/>
    <n v="29"/>
    <s v="No"/>
    <n v="0"/>
  </r>
  <r>
    <s v="ORD1167"/>
    <x v="17"/>
    <d v="2025-11-08T00:00:00"/>
    <s v="CUST297"/>
    <x v="167"/>
    <x v="0"/>
    <s v="PROD6060"/>
    <s v="Mouse"/>
    <x v="1"/>
    <x v="0"/>
    <x v="48"/>
    <x v="166"/>
    <n v="1"/>
    <n v="4374"/>
    <n v="20"/>
    <n v="4174.2"/>
    <n v="3499.86"/>
    <n v="674.34"/>
    <s v="Credit card"/>
    <s v="Returned"/>
    <s v="Blair-Cisneros"/>
    <s v="troy57@maldonado.net"/>
    <n v="46"/>
    <s v="No"/>
    <n v="0"/>
  </r>
  <r>
    <s v="ORD1168"/>
    <x v="144"/>
    <d v="2025-03-23T00:00:00"/>
    <s v="CUST582"/>
    <x v="168"/>
    <x v="2"/>
    <s v="PROD6001"/>
    <s v="Mouse"/>
    <x v="1"/>
    <x v="1"/>
    <x v="36"/>
    <x v="167"/>
    <n v="2"/>
    <n v="2417"/>
    <n v="10"/>
    <n v="5025.6000000000004"/>
    <n v="4351.2299999999996"/>
    <n v="674.37"/>
    <s v="UPI"/>
    <s v="Cancelled"/>
    <s v="Gaines PLC"/>
    <s v="noblemichelle@french.com"/>
    <n v="9"/>
    <s v="Yes"/>
    <n v="46"/>
  </r>
  <r>
    <s v="ORD1169"/>
    <x v="145"/>
    <d v="2024-07-11T00:00:00"/>
    <s v="CUST626"/>
    <x v="169"/>
    <x v="1"/>
    <s v="PROD8605"/>
    <s v="Cooking oil"/>
    <x v="3"/>
    <x v="3"/>
    <x v="15"/>
    <x v="168"/>
    <n v="6"/>
    <n v="1668"/>
    <n v="20"/>
    <n v="8681.4"/>
    <n v="8007.21"/>
    <n v="674.19"/>
    <s v="Net Banking"/>
    <s v="Cancelled"/>
    <s v="Duran-Smith"/>
    <s v="steven01@chavez-townsend.net"/>
    <n v="20"/>
    <s v="No"/>
    <n v="0"/>
  </r>
  <r>
    <s v="ORD1170"/>
    <x v="146"/>
    <d v="2024-12-27T00:00:00"/>
    <s v="CUST419"/>
    <x v="170"/>
    <x v="2"/>
    <s v="PROD7755"/>
    <s v="Headphones"/>
    <x v="1"/>
    <x v="2"/>
    <x v="11"/>
    <x v="169"/>
    <n v="5"/>
    <n v="676"/>
    <n v="20"/>
    <n v="3379"/>
    <n v="2704.74"/>
    <n v="674.26"/>
    <s v="Net Banking"/>
    <s v="Delivered"/>
    <s v="Walsh-Dickerson"/>
    <s v="bryanrosario@bridges-martin.biz"/>
    <n v="13"/>
    <s v="No"/>
    <n v="0"/>
  </r>
  <r>
    <s v="ORD1171"/>
    <x v="147"/>
    <d v="2023-11-17T00:00:00"/>
    <s v="CUST788"/>
    <x v="171"/>
    <x v="2"/>
    <s v="PROD1628"/>
    <s v="Laptop"/>
    <x v="1"/>
    <x v="3"/>
    <x v="2"/>
    <x v="170"/>
    <n v="5"/>
    <n v="1467"/>
    <n v="0"/>
    <n v="8010"/>
    <n v="7335.9"/>
    <n v="674.1"/>
    <s v="Cash"/>
    <s v="Delivered"/>
    <s v="Becker Inc"/>
    <s v="jgreen@parker.com"/>
    <n v="0"/>
    <s v="Yes"/>
    <n v="50"/>
  </r>
  <r>
    <s v="ORD1172"/>
    <x v="134"/>
    <d v="2025-03-09T00:00:00"/>
    <s v="CUST632"/>
    <x v="172"/>
    <x v="1"/>
    <s v="PROD6808"/>
    <s v="Calculator"/>
    <x v="0"/>
    <x v="1"/>
    <x v="4"/>
    <x v="171"/>
    <n v="10"/>
    <n v="2938"/>
    <n v="15"/>
    <n v="25648"/>
    <n v="24973.81"/>
    <n v="674.19"/>
    <s v="UPI"/>
    <s v="Delivered"/>
    <s v="Le-Benton"/>
    <s v="adamdavis@cohen-rodriguez.org"/>
    <n v="44"/>
    <s v="No"/>
    <n v="0"/>
  </r>
  <r>
    <s v="ORD1173"/>
    <x v="148"/>
    <d v="2025-01-09T00:00:00"/>
    <s v="CUST808"/>
    <x v="173"/>
    <x v="2"/>
    <s v="PROD3162"/>
    <s v="Rice Bag"/>
    <x v="3"/>
    <x v="2"/>
    <x v="30"/>
    <x v="172"/>
    <n v="8"/>
    <n v="2224"/>
    <n v="20"/>
    <n v="14908.6"/>
    <n v="14234.28"/>
    <n v="674.32"/>
    <s v="UPI"/>
    <s v="Pending"/>
    <s v="Kelley Group"/>
    <s v="heather11@foster-howell.com"/>
    <n v="19"/>
    <s v="No"/>
    <n v="0"/>
  </r>
  <r>
    <s v="ORD1174"/>
    <x v="149"/>
    <d v="2025-09-26T00:00:00"/>
    <s v="CUST589"/>
    <x v="174"/>
    <x v="2"/>
    <s v="PROD3255"/>
    <s v="File Folder"/>
    <x v="0"/>
    <x v="0"/>
    <x v="8"/>
    <x v="173"/>
    <n v="4"/>
    <n v="3718"/>
    <n v="0"/>
    <n v="15547"/>
    <n v="14872.69"/>
    <n v="674.31"/>
    <s v="Credit card"/>
    <s v="Pending"/>
    <s v="Dennis Ltd"/>
    <s v="johnvance@marquez.info"/>
    <n v="25"/>
    <s v="No"/>
    <n v="0"/>
  </r>
  <r>
    <s v="ORD1175"/>
    <x v="150"/>
    <d v="2024-12-13T00:00:00"/>
    <s v="CUST846"/>
    <x v="175"/>
    <x v="1"/>
    <s v="PROD2342"/>
    <s v="Headphones"/>
    <x v="1"/>
    <x v="2"/>
    <x v="44"/>
    <x v="174"/>
    <n v="3"/>
    <n v="2509"/>
    <n v="10"/>
    <n v="7449.3"/>
    <n v="6775.04"/>
    <n v="674.26"/>
    <s v="Credit card"/>
    <s v="Pending"/>
    <s v="Davidson, Brown and Green"/>
    <s v="robertmiller@conner.net"/>
    <n v="34"/>
    <s v="No"/>
    <n v="0"/>
  </r>
  <r>
    <s v="ORD1176"/>
    <x v="151"/>
    <d v="2024-03-15T00:00:00"/>
    <s v="CUST417"/>
    <x v="176"/>
    <x v="2"/>
    <s v="PROD6214"/>
    <s v="Bookshell"/>
    <x v="2"/>
    <x v="3"/>
    <x v="47"/>
    <x v="175"/>
    <n v="3"/>
    <n v="4781"/>
    <n v="0"/>
    <n v="15018"/>
    <n v="14343.88"/>
    <n v="674.12"/>
    <s v="Credit card"/>
    <s v="Pending"/>
    <s v="Edwards PLC"/>
    <s v="james40@blankenship.net"/>
    <n v="2"/>
    <s v="Yes"/>
    <n v="20"/>
  </r>
  <r>
    <s v="ORD1177"/>
    <x v="152"/>
    <d v="2024-07-18T00:00:00"/>
    <s v="CUST640"/>
    <x v="177"/>
    <x v="2"/>
    <s v="PROD9025"/>
    <s v="Snacks"/>
    <x v="3"/>
    <x v="3"/>
    <x v="18"/>
    <x v="176"/>
    <n v="8"/>
    <n v="583"/>
    <n v="15"/>
    <n v="4639.3999999999996"/>
    <n v="3965.16"/>
    <n v="674.24"/>
    <s v="Net Banking"/>
    <s v="Pending"/>
    <s v="Henderson Inc"/>
    <s v="ndavis@dodson.com"/>
    <n v="44"/>
    <s v="No"/>
    <n v="0"/>
  </r>
  <r>
    <s v="ORD1178"/>
    <x v="153"/>
    <d v="2025-09-30T00:00:00"/>
    <s v="CUST771"/>
    <x v="178"/>
    <x v="0"/>
    <s v="PROD4218"/>
    <s v="Dining Table"/>
    <x v="2"/>
    <x v="2"/>
    <x v="37"/>
    <x v="177"/>
    <n v="1"/>
    <n v="2448"/>
    <n v="0"/>
    <n v="3123"/>
    <n v="2448.64"/>
    <n v="674.36"/>
    <s v="Credit card"/>
    <s v="Pending"/>
    <s v="Martinez and Sons"/>
    <s v="lloydjoshua@raymond.net"/>
    <n v="37"/>
    <s v="No"/>
    <n v="0"/>
  </r>
  <r>
    <s v="ORD1179"/>
    <x v="154"/>
    <d v="2024-07-04T00:00:00"/>
    <s v="CUST722"/>
    <x v="179"/>
    <x v="1"/>
    <s v="PROD2631"/>
    <s v="Laptop"/>
    <x v="1"/>
    <x v="0"/>
    <x v="15"/>
    <x v="178"/>
    <n v="5"/>
    <n v="766"/>
    <n v="20"/>
    <n v="3739"/>
    <n v="3064.82"/>
    <n v="674.18"/>
    <s v="Credit card"/>
    <s v="Delivered"/>
    <s v="Garrett LLC"/>
    <s v="bonniewagner@bauer.net"/>
    <n v="8"/>
    <s v="Yes"/>
    <n v="37"/>
  </r>
  <r>
    <s v="ORD1180"/>
    <x v="155"/>
    <d v="2024-07-04T00:00:00"/>
    <s v="CUST208"/>
    <x v="180"/>
    <x v="2"/>
    <s v="PROD8267"/>
    <s v="Rice Bag"/>
    <x v="3"/>
    <x v="1"/>
    <x v="7"/>
    <x v="179"/>
    <n v="1"/>
    <n v="4215"/>
    <n v="20"/>
    <n v="4047"/>
    <n v="3372.8"/>
    <n v="674.2"/>
    <s v="Credit card"/>
    <s v="Pending"/>
    <s v="Mcdonald, Perez and Morgan"/>
    <s v="imcdowell@smith-schmitt.com"/>
    <n v="34"/>
    <s v="No"/>
    <n v="0"/>
  </r>
  <r>
    <s v="ORD1181"/>
    <x v="156"/>
    <d v="2025-07-18T00:00:00"/>
    <s v="CUST960"/>
    <x v="181"/>
    <x v="1"/>
    <s v="PROD7864"/>
    <s v="File Folder"/>
    <x v="0"/>
    <x v="3"/>
    <x v="12"/>
    <x v="180"/>
    <n v="4"/>
    <n v="993"/>
    <n v="5"/>
    <n v="4448.3999999999996"/>
    <n v="3774.2"/>
    <n v="674.2"/>
    <s v="Net Banking"/>
    <s v="Cancelled"/>
    <s v="Brown LLC"/>
    <s v="diana63@adkins.org"/>
    <n v="1"/>
    <s v="Yes"/>
    <n v="37"/>
  </r>
  <r>
    <s v="ORD1182"/>
    <x v="157"/>
    <d v="2025-04-12T00:00:00"/>
    <s v="CUST991"/>
    <x v="182"/>
    <x v="2"/>
    <s v="PROD1416"/>
    <s v="Headphones"/>
    <x v="1"/>
    <x v="1"/>
    <x v="44"/>
    <x v="181"/>
    <n v="1"/>
    <n v="3584"/>
    <n v="5"/>
    <n v="4079.8"/>
    <n v="3405.48"/>
    <n v="674.32"/>
    <s v="UPI"/>
    <s v="Pending"/>
    <s v="Wells-Rodriguez"/>
    <s v="bsmith@mays.com"/>
    <n v="28"/>
    <s v="No"/>
    <n v="0"/>
  </r>
  <r>
    <s v="ORD1183"/>
    <x v="158"/>
    <d v="2024-02-17T00:00:00"/>
    <s v="CUST666"/>
    <x v="183"/>
    <x v="2"/>
    <s v="PROD8241"/>
    <s v="Keyboard"/>
    <x v="1"/>
    <x v="1"/>
    <x v="44"/>
    <x v="182"/>
    <n v="5"/>
    <n v="960"/>
    <n v="10"/>
    <n v="4995"/>
    <n v="4320.88"/>
    <n v="674.12"/>
    <s v="Cash"/>
    <s v="Pending"/>
    <s v="Cox, Harris and Wilson"/>
    <s v="scottstevenson@mccarty-hammond.com"/>
    <n v="4"/>
    <s v="Yes"/>
    <n v="20"/>
  </r>
  <r>
    <s v="ORD1184"/>
    <x v="159"/>
    <d v="2025-06-08T00:00:00"/>
    <s v="CUST556"/>
    <x v="184"/>
    <x v="0"/>
    <s v="PROD6273"/>
    <s v="Laptop"/>
    <x v="1"/>
    <x v="2"/>
    <x v="22"/>
    <x v="183"/>
    <n v="1"/>
    <n v="3959"/>
    <n v="5"/>
    <n v="4436.05"/>
    <n v="3761.9"/>
    <n v="674.15"/>
    <s v="Credit card"/>
    <s v="Delivered"/>
    <s v="Cook, Gonzalez and Barnett"/>
    <s v="chernandez@vincent.info"/>
    <n v="29"/>
    <s v="No"/>
    <n v="0"/>
  </r>
  <r>
    <s v="ORD1185"/>
    <x v="160"/>
    <d v="2025-04-03T00:00:00"/>
    <s v="CUST605"/>
    <x v="185"/>
    <x v="1"/>
    <s v="PROD4603"/>
    <s v="Bookshell"/>
    <x v="2"/>
    <x v="0"/>
    <x v="24"/>
    <x v="184"/>
    <n v="3"/>
    <n v="3173"/>
    <n v="15"/>
    <n v="8766.15"/>
    <n v="8091.83"/>
    <n v="674.32"/>
    <s v="Credit card"/>
    <s v="Pending"/>
    <s v="Jordan, Mcdowell and Jones"/>
    <s v="christy27@villa-barker.org"/>
    <n v="49"/>
    <s v="No"/>
    <n v="0"/>
  </r>
  <r>
    <s v="ORD1186"/>
    <x v="161"/>
    <d v="2025-03-06T00:00:00"/>
    <s v="CUST160"/>
    <x v="186"/>
    <x v="2"/>
    <s v="PROD2256"/>
    <s v="Laptop"/>
    <x v="1"/>
    <x v="3"/>
    <x v="37"/>
    <x v="185"/>
    <n v="4"/>
    <n v="1891"/>
    <n v="5"/>
    <n v="7860.8"/>
    <n v="7186.43"/>
    <n v="674.37"/>
    <s v="Cash"/>
    <s v="Returned"/>
    <s v="Rogers Group"/>
    <s v="mariaoliver@hughes.com"/>
    <n v="39"/>
    <s v="No"/>
    <n v="0"/>
  </r>
  <r>
    <s v="ORD1187"/>
    <x v="2"/>
    <d v="2025-10-25T00:00:00"/>
    <s v="CUST118"/>
    <x v="187"/>
    <x v="2"/>
    <s v="PROD1656"/>
    <s v="Stapler"/>
    <x v="0"/>
    <x v="3"/>
    <x v="42"/>
    <x v="186"/>
    <n v="5"/>
    <n v="1698"/>
    <n v="20"/>
    <n v="7467"/>
    <n v="6792.79"/>
    <n v="674.21"/>
    <s v="Cash"/>
    <s v="Cancelled"/>
    <s v="Lucas PLC"/>
    <s v="scottwilliam@boyle.org"/>
    <n v="27"/>
    <s v="No"/>
    <n v="0"/>
  </r>
  <r>
    <s v="ORD1188"/>
    <x v="162"/>
    <d v="2025-06-03T00:00:00"/>
    <s v="CUST241"/>
    <x v="188"/>
    <x v="2"/>
    <s v="PROD9485"/>
    <s v="Pen"/>
    <x v="0"/>
    <x v="2"/>
    <x v="30"/>
    <x v="187"/>
    <n v="9"/>
    <n v="991"/>
    <n v="0"/>
    <n v="9594"/>
    <n v="8919.7099999999991"/>
    <n v="674.29"/>
    <s v="Credit card"/>
    <s v="Cancelled"/>
    <s v="Doyle, Williams and Davis"/>
    <s v="gdaniels@castillo.com"/>
    <n v="37"/>
    <s v="No"/>
    <n v="0"/>
  </r>
  <r>
    <s v="ORD1189"/>
    <x v="163"/>
    <d v="2025-04-03T00:00:00"/>
    <s v="CUST133"/>
    <x v="189"/>
    <x v="1"/>
    <s v="PROD1561"/>
    <s v="Headphones"/>
    <x v="1"/>
    <x v="2"/>
    <x v="17"/>
    <x v="188"/>
    <n v="9"/>
    <n v="320"/>
    <n v="5"/>
    <n v="3411"/>
    <n v="2736.66"/>
    <n v="674.34"/>
    <s v="UPI"/>
    <s v="Cancelled"/>
    <s v="Hendricks, Whitaker and Cox"/>
    <s v="ramirezkaren@martinez-henson.com"/>
    <n v="12"/>
    <s v="No"/>
    <n v="0"/>
  </r>
  <r>
    <s v="ORD1190"/>
    <x v="164"/>
    <d v="2024-12-15T00:00:00"/>
    <s v="CUST951"/>
    <x v="190"/>
    <x v="2"/>
    <s v="PROD4696"/>
    <s v="Headphones"/>
    <x v="1"/>
    <x v="2"/>
    <x v="45"/>
    <x v="189"/>
    <n v="7"/>
    <n v="397"/>
    <n v="0"/>
    <n v="3454"/>
    <n v="2779.83"/>
    <n v="674.17"/>
    <s v="Cash"/>
    <s v="Delivered"/>
    <s v="Morris-Evans"/>
    <s v="egarcia@gaines.biz"/>
    <n v="27"/>
    <s v="No"/>
    <n v="0"/>
  </r>
  <r>
    <s v="ORD1191"/>
    <x v="34"/>
    <d v="2025-03-10T00:00:00"/>
    <s v="CUST141"/>
    <x v="191"/>
    <x v="0"/>
    <s v="PROD3280"/>
    <s v="File Folder"/>
    <x v="0"/>
    <x v="1"/>
    <x v="22"/>
    <x v="190"/>
    <n v="8"/>
    <n v="3231"/>
    <n v="15"/>
    <n v="22645.8"/>
    <n v="21971.48"/>
    <n v="674.32"/>
    <s v="Net Banking"/>
    <s v="Delivered"/>
    <s v="Kelley, Salazar and Mcmahon"/>
    <s v="braunalbert@castillo.com"/>
    <n v="37"/>
    <s v="No"/>
    <n v="0"/>
  </r>
  <r>
    <s v="ORD1192"/>
    <x v="105"/>
    <d v="2025-07-22T00:00:00"/>
    <s v="CUST288"/>
    <x v="192"/>
    <x v="2"/>
    <s v="PROD9501"/>
    <s v="Monitor"/>
    <x v="1"/>
    <x v="2"/>
    <x v="9"/>
    <x v="191"/>
    <n v="10"/>
    <n v="2366"/>
    <n v="10"/>
    <n v="21969"/>
    <n v="21294.73"/>
    <n v="674.27"/>
    <s v="Net Banking"/>
    <s v="Cancelled"/>
    <s v="Wang, Nguyen and Tucker"/>
    <s v="jesseellis@scott.com"/>
    <n v="25"/>
    <s v="No"/>
    <n v="0"/>
  </r>
  <r>
    <s v="ORD1193"/>
    <x v="132"/>
    <d v="2024-10-25T00:00:00"/>
    <s v="CUST183"/>
    <x v="193"/>
    <x v="1"/>
    <s v="PROD8644"/>
    <s v="Headphones"/>
    <x v="1"/>
    <x v="2"/>
    <x v="5"/>
    <x v="192"/>
    <n v="10"/>
    <n v="2398"/>
    <n v="5"/>
    <n v="23456"/>
    <n v="22781.72"/>
    <n v="674.28"/>
    <s v="Net Banking"/>
    <s v="Delivered"/>
    <s v="Hill, Byrd and Johnson"/>
    <s v="qbooker@hopkins.com"/>
    <n v="31"/>
    <s v="No"/>
    <n v="0"/>
  </r>
  <r>
    <s v="ORD1194"/>
    <x v="165"/>
    <d v="2024-07-30T00:00:00"/>
    <s v="CUST802"/>
    <x v="194"/>
    <x v="1"/>
    <s v="PROD9101"/>
    <s v="Mouse"/>
    <x v="1"/>
    <x v="0"/>
    <x v="23"/>
    <x v="193"/>
    <n v="7"/>
    <n v="785"/>
    <n v="0"/>
    <n v="6170"/>
    <n v="5495.84"/>
    <n v="674.16"/>
    <s v="Net Banking"/>
    <s v="Pending"/>
    <s v="Little, Delgado and Reed"/>
    <s v="matthewharper@sheppard.com"/>
    <n v="48"/>
    <s v="No"/>
    <n v="0"/>
  </r>
  <r>
    <s v="ORD1195"/>
    <x v="10"/>
    <d v="2024-06-09T00:00:00"/>
    <s v="CUST775"/>
    <x v="195"/>
    <x v="1"/>
    <s v="PROD7448"/>
    <s v="Study Table"/>
    <x v="2"/>
    <x v="2"/>
    <x v="43"/>
    <x v="194"/>
    <n v="3"/>
    <n v="1229"/>
    <n v="15"/>
    <n v="3808.95"/>
    <n v="3134.67"/>
    <n v="674.28"/>
    <s v="Cash"/>
    <s v="Returned"/>
    <s v="King Ltd"/>
    <s v="renee51@russo.com"/>
    <n v="26"/>
    <s v="No"/>
    <n v="0"/>
  </r>
  <r>
    <s v="ORD1196"/>
    <x v="166"/>
    <d v="2025-10-03T00:00:00"/>
    <s v="CUST266"/>
    <x v="196"/>
    <x v="1"/>
    <s v="PROD6856"/>
    <s v="Monitor"/>
    <x v="1"/>
    <x v="0"/>
    <x v="21"/>
    <x v="195"/>
    <n v="7"/>
    <n v="878"/>
    <n v="0"/>
    <n v="6821"/>
    <n v="6146.82"/>
    <n v="674.18"/>
    <s v="UPI"/>
    <s v="Delivered"/>
    <s v="Atkinson-Crawford"/>
    <s v="melendezbreanna@stanley.com"/>
    <n v="28"/>
    <s v="No"/>
    <n v="0"/>
  </r>
  <r>
    <s v="ORD1197"/>
    <x v="78"/>
    <d v="2024-01-08T00:00:00"/>
    <s v="CUST628"/>
    <x v="197"/>
    <x v="0"/>
    <s v="PROD7973"/>
    <s v="Office Chair"/>
    <x v="2"/>
    <x v="1"/>
    <x v="8"/>
    <x v="196"/>
    <n v="2"/>
    <n v="2687"/>
    <n v="20"/>
    <n v="4974.2"/>
    <n v="4300.09"/>
    <n v="674.11"/>
    <s v="Cash"/>
    <s v="Delivered"/>
    <s v="Bishop, Smith and Huff"/>
    <s v="ashleyreed@james.com"/>
    <n v="1"/>
    <s v="Yes"/>
    <n v="42"/>
  </r>
  <r>
    <s v="ORD1198"/>
    <x v="167"/>
    <d v="2024-11-23T00:00:00"/>
    <s v="CUST678"/>
    <x v="198"/>
    <x v="2"/>
    <s v="PROD1937"/>
    <s v="Bookshell"/>
    <x v="2"/>
    <x v="1"/>
    <x v="29"/>
    <x v="197"/>
    <n v="3"/>
    <n v="3202"/>
    <n v="10"/>
    <n v="9320.4"/>
    <n v="8646.14"/>
    <n v="674.26"/>
    <s v="Net Banking"/>
    <s v="Pending"/>
    <s v="Page and Sons"/>
    <s v="oroberts@parrish.com"/>
    <n v="26"/>
    <s v="No"/>
    <n v="0"/>
  </r>
  <r>
    <s v="ORD1199"/>
    <x v="168"/>
    <d v="2024-06-11T00:00:00"/>
    <s v="CUST661"/>
    <x v="199"/>
    <x v="0"/>
    <s v="PROD3357"/>
    <s v="Bookshell"/>
    <x v="2"/>
    <x v="0"/>
    <x v="5"/>
    <x v="198"/>
    <n v="3"/>
    <n v="3870"/>
    <n v="15"/>
    <n v="10543.5"/>
    <n v="9869.3799999999992"/>
    <n v="674.12"/>
    <s v="Credit card"/>
    <s v="Cancelled"/>
    <s v="Hurst and Sons"/>
    <s v="tgibson@glass-may.biz"/>
    <n v="1"/>
    <s v="Yes"/>
    <n v="36"/>
  </r>
  <r>
    <s v="ORD1200"/>
    <x v="169"/>
    <d v="2025-11-08T00:00:00"/>
    <s v="CUST984"/>
    <x v="200"/>
    <x v="0"/>
    <s v="PROD1207"/>
    <s v="File Folder"/>
    <x v="0"/>
    <x v="3"/>
    <x v="40"/>
    <x v="199"/>
    <n v="7"/>
    <n v="551"/>
    <n v="0"/>
    <n v="4532"/>
    <n v="3857.83"/>
    <n v="674.17"/>
    <s v="Cash"/>
    <s v="Pending"/>
    <s v="Rodriguez-Horton"/>
    <s v="olewis@figueroa.biz"/>
    <n v="36"/>
    <s v="No"/>
    <n v="0"/>
  </r>
  <r>
    <s v="ORD1201"/>
    <x v="170"/>
    <d v="2025-08-24T00:00:00"/>
    <s v="CUST726"/>
    <x v="201"/>
    <x v="1"/>
    <s v="PROD6496"/>
    <s v="Cooking oil"/>
    <x v="3"/>
    <x v="0"/>
    <x v="4"/>
    <x v="200"/>
    <n v="5"/>
    <n v="296"/>
    <n v="15"/>
    <n v="1933"/>
    <n v="1258.76"/>
    <n v="674.24"/>
    <s v="Cash"/>
    <s v="Cancelled"/>
    <s v="Davis-White"/>
    <s v="cody77@dickerson.org"/>
    <n v="50"/>
    <s v="No"/>
    <n v="0"/>
  </r>
  <r>
    <s v="ORD1202"/>
    <x v="171"/>
    <d v="2024-06-02T00:00:00"/>
    <s v="CUST205"/>
    <x v="202"/>
    <x v="2"/>
    <s v="PROD9289"/>
    <s v="Monitor"/>
    <x v="1"/>
    <x v="0"/>
    <x v="14"/>
    <x v="201"/>
    <n v="7"/>
    <n v="2692"/>
    <n v="0"/>
    <n v="19519"/>
    <n v="18844.89"/>
    <n v="674.11"/>
    <s v="UPI"/>
    <s v="Returned"/>
    <s v="Hall-Morris"/>
    <s v="edwardcruz@simon-ramirez.com"/>
    <n v="30"/>
    <s v="No"/>
    <n v="0"/>
  </r>
  <r>
    <s v="ORD1203"/>
    <x v="172"/>
    <d v="2024-07-07T00:00:00"/>
    <s v="CUST167"/>
    <x v="203"/>
    <x v="0"/>
    <s v="PROD2503"/>
    <s v="Headphones"/>
    <x v="1"/>
    <x v="3"/>
    <x v="12"/>
    <x v="202"/>
    <n v="1"/>
    <n v="909"/>
    <n v="5"/>
    <n v="1538.55"/>
    <n v="864.22"/>
    <n v="674.33"/>
    <s v="Cash"/>
    <s v="Delivered"/>
    <s v="Martinez Ltd"/>
    <s v="sara33@baker.org"/>
    <n v="4"/>
    <s v="Yes"/>
    <n v="44"/>
  </r>
  <r>
    <s v="ORD1204"/>
    <x v="173"/>
    <d v="2025-02-23T00:00:00"/>
    <s v="CUST853"/>
    <x v="204"/>
    <x v="2"/>
    <s v="PROD9776"/>
    <s v="Dining Table"/>
    <x v="2"/>
    <x v="0"/>
    <x v="16"/>
    <x v="203"/>
    <n v="3"/>
    <n v="3054"/>
    <n v="15"/>
    <n v="8462.7000000000007"/>
    <n v="7788.59"/>
    <n v="674.11"/>
    <s v="Credit card"/>
    <s v="Delivered"/>
    <s v="Dunn, Duran and Carr"/>
    <s v="susan45@davidson.biz"/>
    <n v="38"/>
    <s v="No"/>
    <n v="0"/>
  </r>
  <r>
    <s v="ORD1205"/>
    <x v="35"/>
    <d v="2023-12-19T00:00:00"/>
    <s v="CUST948"/>
    <x v="205"/>
    <x v="2"/>
    <s v="PROD3753"/>
    <s v="Dining Table"/>
    <x v="2"/>
    <x v="3"/>
    <x v="43"/>
    <x v="204"/>
    <n v="8"/>
    <n v="2040"/>
    <n v="15"/>
    <n v="14547"/>
    <n v="13872.67"/>
    <n v="674.33"/>
    <s v="UPI"/>
    <s v="Delivered"/>
    <s v="Black, Nelson and Turner"/>
    <s v="nphillips@hernandez-garrett.org"/>
    <n v="5"/>
    <s v="Yes"/>
    <n v="23"/>
  </r>
  <r>
    <s v="ORD1206"/>
    <x v="69"/>
    <d v="2025-06-26T00:00:00"/>
    <s v="CUST984"/>
    <x v="206"/>
    <x v="2"/>
    <s v="PROD2441"/>
    <s v="Sofa"/>
    <x v="2"/>
    <x v="2"/>
    <x v="37"/>
    <x v="205"/>
    <n v="3"/>
    <n v="4255"/>
    <n v="5"/>
    <n v="12801.75"/>
    <n v="12127.38"/>
    <n v="674.37"/>
    <s v="Net Banking"/>
    <s v="Cancelled"/>
    <s v="Garcia-Smith"/>
    <s v="lauriekelley@harris-hammond.com"/>
    <n v="36"/>
    <s v="No"/>
    <n v="0"/>
  </r>
  <r>
    <s v="ORD1207"/>
    <x v="174"/>
    <d v="2025-03-29T00:00:00"/>
    <s v="CUST441"/>
    <x v="207"/>
    <x v="2"/>
    <s v="PROD5499"/>
    <s v="Stapler"/>
    <x v="0"/>
    <x v="2"/>
    <x v="26"/>
    <x v="206"/>
    <n v="3"/>
    <n v="3471"/>
    <n v="20"/>
    <n v="9005.4"/>
    <n v="8331.2800000000007"/>
    <n v="674.12"/>
    <s v="Credit card"/>
    <s v="Returned"/>
    <s v="Villanueva, Perry and Moore"/>
    <s v="perezmichelle@wong-king.net"/>
    <n v="32"/>
    <s v="No"/>
    <n v="0"/>
  </r>
  <r>
    <s v="ORD1208"/>
    <x v="175"/>
    <d v="2024-11-06T00:00:00"/>
    <s v="CUST852"/>
    <x v="208"/>
    <x v="0"/>
    <s v="PROD3180"/>
    <s v="Pen"/>
    <x v="0"/>
    <x v="3"/>
    <x v="6"/>
    <x v="207"/>
    <n v="6"/>
    <n v="3572"/>
    <n v="20"/>
    <n v="17820.599999999999"/>
    <n v="17146.240000000002"/>
    <n v="674.36"/>
    <s v="Net Banking"/>
    <s v="Returned"/>
    <s v="Serrano Ltd"/>
    <s v="daviscorey@king.info"/>
    <n v="49"/>
    <s v="No"/>
    <n v="0"/>
  </r>
  <r>
    <s v="ORD1209"/>
    <x v="176"/>
    <d v="2024-02-29T00:00:00"/>
    <s v="CUST151"/>
    <x v="209"/>
    <x v="1"/>
    <s v="PROD8704"/>
    <s v="File Folder"/>
    <x v="0"/>
    <x v="2"/>
    <x v="12"/>
    <x v="208"/>
    <n v="5"/>
    <n v="1775"/>
    <n v="15"/>
    <n v="8218.75"/>
    <n v="7544.37"/>
    <n v="674.38"/>
    <s v="Cash"/>
    <s v="Returned"/>
    <s v="Johnson, Davis and Lin"/>
    <s v="williamsbobby@clark.info"/>
    <n v="4"/>
    <s v="Yes"/>
    <n v="50"/>
  </r>
  <r>
    <s v="ORD1210"/>
    <x v="177"/>
    <d v="2025-05-09T00:00:00"/>
    <s v="CUST472"/>
    <x v="210"/>
    <x v="1"/>
    <s v="PROD7535"/>
    <s v="Bookshell"/>
    <x v="2"/>
    <x v="0"/>
    <x v="9"/>
    <x v="209"/>
    <n v="4"/>
    <n v="929"/>
    <n v="10"/>
    <n v="4019.4"/>
    <n v="3345.22"/>
    <n v="674.18"/>
    <s v="Credit card"/>
    <s v="Delivered"/>
    <s v="Hampton, Atkinson and Nichols"/>
    <s v="qcastillo@mayo.com"/>
    <n v="33"/>
    <s v="No"/>
    <n v="0"/>
  </r>
  <r>
    <s v="ORD1211"/>
    <x v="178"/>
    <d v="2025-05-06T00:00:00"/>
    <s v="CUST581"/>
    <x v="211"/>
    <x v="0"/>
    <s v="PROD8466"/>
    <s v="Sugar"/>
    <x v="3"/>
    <x v="1"/>
    <x v="22"/>
    <x v="210"/>
    <n v="6"/>
    <n v="1684"/>
    <n v="20"/>
    <n v="8758.2000000000007"/>
    <n v="8083.9"/>
    <n v="674.3"/>
    <s v="UPI"/>
    <s v="Delivered"/>
    <s v="Ortiz and Sons"/>
    <s v="rebecca51@carter-campbell.info"/>
    <n v="47"/>
    <s v="No"/>
    <n v="0"/>
  </r>
  <r>
    <s v="ORD1212"/>
    <x v="179"/>
    <d v="2025-10-05T00:00:00"/>
    <s v="CUST952"/>
    <x v="212"/>
    <x v="0"/>
    <s v="PROD4954"/>
    <s v="Monitor"/>
    <x v="1"/>
    <x v="1"/>
    <x v="15"/>
    <x v="211"/>
    <n v="6"/>
    <n v="1006"/>
    <n v="5"/>
    <n v="6409.2"/>
    <n v="5734.99"/>
    <n v="674.21"/>
    <s v="Net Banking"/>
    <s v="Returned"/>
    <s v="Lambert Inc"/>
    <s v="huntwilliam@clark-nunez.biz"/>
    <n v="48"/>
    <s v="No"/>
    <n v="0"/>
  </r>
  <r>
    <s v="ORD1213"/>
    <x v="180"/>
    <d v="2024-05-05T00:00:00"/>
    <s v="CUST301"/>
    <x v="213"/>
    <x v="0"/>
    <s v="PROD3170"/>
    <s v="Office Chair"/>
    <x v="2"/>
    <x v="1"/>
    <x v="19"/>
    <x v="212"/>
    <n v="4"/>
    <n v="4750"/>
    <n v="15"/>
    <n v="16825"/>
    <n v="16150.66"/>
    <n v="674.34"/>
    <s v="Credit card"/>
    <s v="Pending"/>
    <s v="Robertson, Bell and Curtis"/>
    <s v="mmorgan@crawford.com"/>
    <n v="19"/>
    <s v="No"/>
    <n v="0"/>
  </r>
  <r>
    <s v="ORD1214"/>
    <x v="181"/>
    <d v="2025-03-17T00:00:00"/>
    <s v="CUST795"/>
    <x v="214"/>
    <x v="2"/>
    <s v="PROD4676"/>
    <s v="Study Table"/>
    <x v="2"/>
    <x v="0"/>
    <x v="20"/>
    <x v="213"/>
    <n v="4"/>
    <n v="1283"/>
    <n v="15"/>
    <n v="5037.2"/>
    <n v="4363.1000000000004"/>
    <n v="674.1"/>
    <s v="Net Banking"/>
    <s v="Pending"/>
    <s v="Singleton, Leach and Jackson"/>
    <s v="hgregory@smith-gonzalez.com"/>
    <n v="39"/>
    <s v="No"/>
    <n v="0"/>
  </r>
  <r>
    <s v="ORD1215"/>
    <x v="182"/>
    <d v="2024-12-02T00:00:00"/>
    <s v="CUST513"/>
    <x v="215"/>
    <x v="0"/>
    <s v="PROD1657"/>
    <s v="Study Table"/>
    <x v="2"/>
    <x v="1"/>
    <x v="11"/>
    <x v="214"/>
    <n v="3"/>
    <n v="3300"/>
    <n v="10"/>
    <n v="9585"/>
    <n v="8910.66"/>
    <n v="674.34"/>
    <s v="Credit card"/>
    <s v="Returned"/>
    <s v="Lewis-Holmes"/>
    <s v="kevinhughes@english.biz"/>
    <n v="16"/>
    <s v="No"/>
    <n v="0"/>
  </r>
  <r>
    <s v="ORD1216"/>
    <x v="183"/>
    <d v="2024-05-29T00:00:00"/>
    <s v="CUST432"/>
    <x v="216"/>
    <x v="2"/>
    <s v="PROD6226"/>
    <s v="Juice Pack"/>
    <x v="3"/>
    <x v="0"/>
    <x v="28"/>
    <x v="215"/>
    <n v="10"/>
    <n v="2066"/>
    <n v="15"/>
    <n v="18236"/>
    <n v="17561.75"/>
    <n v="674.25"/>
    <s v="UPI"/>
    <s v="Pending"/>
    <s v="Middleton PLC"/>
    <s v="richardsuarez@reid.com"/>
    <n v="20"/>
    <s v="No"/>
    <n v="0"/>
  </r>
  <r>
    <s v="ORD1217"/>
    <x v="184"/>
    <d v="2025-04-20T00:00:00"/>
    <s v="CUST959"/>
    <x v="217"/>
    <x v="0"/>
    <s v="PROD1735"/>
    <s v="Snacks"/>
    <x v="3"/>
    <x v="2"/>
    <x v="2"/>
    <x v="216"/>
    <n v="1"/>
    <n v="2495"/>
    <n v="20"/>
    <n v="2671"/>
    <n v="1996.71"/>
    <n v="674.29"/>
    <s v="Net Banking"/>
    <s v="Pending"/>
    <s v="Ray, Miller and Nichols"/>
    <s v="woodswesley@bailey-anderson.net"/>
    <n v="22"/>
    <s v="No"/>
    <n v="0"/>
  </r>
  <r>
    <s v="ORD1218"/>
    <x v="160"/>
    <d v="2025-04-08T00:00:00"/>
    <s v="CUST590"/>
    <x v="218"/>
    <x v="0"/>
    <s v="PROD4872"/>
    <s v="Mouse"/>
    <x v="1"/>
    <x v="2"/>
    <x v="37"/>
    <x v="217"/>
    <n v="7"/>
    <n v="1580"/>
    <n v="5"/>
    <n v="11182"/>
    <n v="10507.74"/>
    <n v="674.26"/>
    <s v="Cash"/>
    <s v="Delivered"/>
    <s v="Mills-Matthews"/>
    <s v="pmccormick@ferguson.org"/>
    <n v="26"/>
    <s v="No"/>
    <n v="0"/>
  </r>
  <r>
    <s v="ORD1219"/>
    <x v="185"/>
    <d v="2025-08-16T00:00:00"/>
    <s v="CUST784"/>
    <x v="219"/>
    <x v="1"/>
    <s v="PROD3607"/>
    <s v="Sofa"/>
    <x v="2"/>
    <x v="0"/>
    <x v="38"/>
    <x v="218"/>
    <n v="9"/>
    <n v="4241"/>
    <n v="5"/>
    <n v="36935.550000000003"/>
    <n v="36261.19"/>
    <n v="674.36"/>
    <s v="UPI"/>
    <s v="Pending"/>
    <s v="Johnson-Stephens"/>
    <s v="kaitlynvaldez@stevens.com"/>
    <n v="15"/>
    <s v="No"/>
    <n v="0"/>
  </r>
  <r>
    <s v="ORD1220"/>
    <x v="10"/>
    <d v="2024-06-09T00:00:00"/>
    <s v="CUST850"/>
    <x v="220"/>
    <x v="0"/>
    <s v="PROD9367"/>
    <s v="Headphones"/>
    <x v="1"/>
    <x v="2"/>
    <x v="48"/>
    <x v="219"/>
    <n v="8"/>
    <n v="2218"/>
    <n v="5"/>
    <n v="17531.8"/>
    <n v="16857.48"/>
    <n v="674.32"/>
    <s v="Cash"/>
    <s v="Delivered"/>
    <s v="Moreno-Sanders"/>
    <s v="davisdebra@james.com"/>
    <n v="43"/>
    <s v="No"/>
    <n v="0"/>
  </r>
  <r>
    <s v="ORD1221"/>
    <x v="186"/>
    <d v="2025-07-11T00:00:00"/>
    <s v="CUST902"/>
    <x v="221"/>
    <x v="1"/>
    <s v="PROD9382"/>
    <s v="Office Chair"/>
    <x v="2"/>
    <x v="2"/>
    <x v="17"/>
    <x v="220"/>
    <n v="1"/>
    <n v="1162"/>
    <n v="10"/>
    <n v="1720.8"/>
    <n v="1046.55"/>
    <n v="674.25"/>
    <s v="Net Banking"/>
    <s v="Cancelled"/>
    <s v="Sanchez Ltd"/>
    <s v="amanda69@powell.com"/>
    <n v="10"/>
    <s v="No"/>
    <n v="0"/>
  </r>
  <r>
    <s v="ORD1222"/>
    <x v="187"/>
    <d v="2025-01-14T00:00:00"/>
    <s v="CUST873"/>
    <x v="222"/>
    <x v="2"/>
    <s v="PROD4887"/>
    <s v="Laptop"/>
    <x v="1"/>
    <x v="2"/>
    <x v="15"/>
    <x v="221"/>
    <n v="8"/>
    <n v="4330"/>
    <n v="15"/>
    <n v="30119"/>
    <n v="29444.69"/>
    <n v="674.31"/>
    <s v="UPI"/>
    <s v="Pending"/>
    <s v="Lee, Martin and Ramirez"/>
    <s v="oestrada@hall.com"/>
    <n v="25"/>
    <s v="No"/>
    <n v="0"/>
  </r>
  <r>
    <s v="ORD1223"/>
    <x v="188"/>
    <d v="2024-06-07T00:00:00"/>
    <s v="CUST258"/>
    <x v="223"/>
    <x v="1"/>
    <s v="PROD2162"/>
    <s v="Monitor"/>
    <x v="1"/>
    <x v="3"/>
    <x v="14"/>
    <x v="222"/>
    <n v="4"/>
    <n v="1476"/>
    <n v="5"/>
    <n v="6283.8"/>
    <n v="5609.57"/>
    <n v="674.23"/>
    <s v="Credit card"/>
    <s v="Pending"/>
    <s v="Mitchell Inc"/>
    <s v="bhawkins@wheeler.org"/>
    <n v="10"/>
    <s v="No"/>
    <n v="0"/>
  </r>
  <r>
    <s v="ORD1224"/>
    <x v="189"/>
    <d v="2024-03-09T00:00:00"/>
    <s v="CUST720"/>
    <x v="224"/>
    <x v="2"/>
    <s v="PROD9547"/>
    <s v="Bookshell"/>
    <x v="2"/>
    <x v="1"/>
    <x v="35"/>
    <x v="223"/>
    <n v="8"/>
    <n v="2339"/>
    <n v="15"/>
    <n v="16580.2"/>
    <n v="15906.01"/>
    <n v="674.19"/>
    <s v="Cash"/>
    <s v="Cancelled"/>
    <s v="Jones and Sons"/>
    <s v="aimee48@montes.com"/>
    <n v="3"/>
    <s v="Yes"/>
    <n v="48"/>
  </r>
  <r>
    <s v="ORD1225"/>
    <x v="170"/>
    <d v="2025-08-24T00:00:00"/>
    <s v="CUST684"/>
    <x v="225"/>
    <x v="0"/>
    <s v="PROD4985"/>
    <s v="Bookshell"/>
    <x v="2"/>
    <x v="0"/>
    <x v="10"/>
    <x v="224"/>
    <n v="10"/>
    <n v="1540"/>
    <n v="20"/>
    <n v="12995"/>
    <n v="12320.77"/>
    <n v="674.23"/>
    <s v="Credit card"/>
    <s v="Returned"/>
    <s v="Richards, Soto and Clark"/>
    <s v="bentonsusan@black.com"/>
    <n v="4"/>
    <s v="Yes"/>
    <n v="26"/>
  </r>
  <r>
    <s v="ORD1226"/>
    <x v="35"/>
    <d v="2023-12-15T00:00:00"/>
    <s v="CUST599"/>
    <x v="226"/>
    <x v="1"/>
    <s v="PROD3507"/>
    <s v="Bookshell"/>
    <x v="2"/>
    <x v="3"/>
    <x v="22"/>
    <x v="225"/>
    <n v="6"/>
    <n v="2720"/>
    <n v="0"/>
    <n v="16995"/>
    <n v="16320.79"/>
    <n v="674.21"/>
    <s v="Credit card"/>
    <s v="Cancelled"/>
    <s v="Lewis, Fry and Wilson"/>
    <s v="joyce63@jones.com"/>
    <n v="29"/>
    <s v="No"/>
    <n v="0"/>
  </r>
  <r>
    <s v="ORD1227"/>
    <x v="190"/>
    <d v="2023-11-24T00:00:00"/>
    <s v="CUST252"/>
    <x v="227"/>
    <x v="0"/>
    <s v="PROD2351"/>
    <s v="Monitor"/>
    <x v="1"/>
    <x v="0"/>
    <x v="37"/>
    <x v="167"/>
    <n v="2"/>
    <n v="741"/>
    <n v="10"/>
    <n v="2008.8"/>
    <n v="1334.59"/>
    <n v="674.21"/>
    <s v="Credit card"/>
    <s v="Returned"/>
    <s v="Thompson-Pittman"/>
    <s v="tiffany13@pratt.com"/>
    <n v="5"/>
    <s v="Yes"/>
    <n v="27"/>
  </r>
  <r>
    <s v="ORD1228"/>
    <x v="191"/>
    <d v="2024-05-02T00:00:00"/>
    <s v="CUST238"/>
    <x v="228"/>
    <x v="1"/>
    <s v="PROD8833"/>
    <s v="Notebook"/>
    <x v="0"/>
    <x v="2"/>
    <x v="18"/>
    <x v="226"/>
    <n v="8"/>
    <n v="1052"/>
    <n v="5"/>
    <n v="8670.2000000000007"/>
    <n v="7995.99"/>
    <n v="674.21"/>
    <s v="Cash"/>
    <s v="Returned"/>
    <s v="Smith-Wall"/>
    <s v="hannahsmith@jennings.com"/>
    <n v="50"/>
    <s v="No"/>
    <n v="0"/>
  </r>
  <r>
    <s v="ORD1229"/>
    <x v="192"/>
    <d v="2025-08-08T00:00:00"/>
    <s v="CUST296"/>
    <x v="229"/>
    <x v="2"/>
    <s v="PROD5743"/>
    <s v="Study Table"/>
    <x v="2"/>
    <x v="0"/>
    <x v="27"/>
    <x v="227"/>
    <n v="8"/>
    <n v="4588"/>
    <n v="20"/>
    <n v="30038.2"/>
    <n v="29364.06"/>
    <n v="674.14"/>
    <s v="Net Banking"/>
    <s v="Delivered"/>
    <s v="Garza-Chang"/>
    <s v="laramichael@rios.biz"/>
    <n v="34"/>
    <s v="No"/>
    <n v="0"/>
  </r>
  <r>
    <s v="ORD1230"/>
    <x v="193"/>
    <d v="2024-08-16T00:00:00"/>
    <s v="CUST750"/>
    <x v="230"/>
    <x v="0"/>
    <s v="PROD4392"/>
    <s v="Pen"/>
    <x v="0"/>
    <x v="0"/>
    <x v="22"/>
    <x v="228"/>
    <n v="7"/>
    <n v="979"/>
    <n v="10"/>
    <n v="6842.7"/>
    <n v="6168.33"/>
    <n v="674.37"/>
    <s v="UPI"/>
    <s v="Delivered"/>
    <s v="Ochoa-Gallagher"/>
    <s v="dboyd@wilson.net"/>
    <n v="0"/>
    <s v="Yes"/>
    <n v="49"/>
  </r>
  <r>
    <s v="ORD1231"/>
    <x v="81"/>
    <d v="2024-09-16T00:00:00"/>
    <s v="CUST917"/>
    <x v="231"/>
    <x v="1"/>
    <s v="PROD4199"/>
    <s v="Juice Pack"/>
    <x v="3"/>
    <x v="0"/>
    <x v="26"/>
    <x v="229"/>
    <n v="7"/>
    <n v="3475"/>
    <n v="5"/>
    <n v="23783.75"/>
    <n v="23109.5"/>
    <n v="674.25"/>
    <s v="Cash"/>
    <s v="Returned"/>
    <s v="Taylor-Jennings"/>
    <s v="millerbrittany@wang.com"/>
    <n v="27"/>
    <s v="No"/>
    <n v="0"/>
  </r>
  <r>
    <s v="ORD1232"/>
    <x v="194"/>
    <d v="2025-08-31T00:00:00"/>
    <s v="CUST949"/>
    <x v="232"/>
    <x v="2"/>
    <s v="PROD1959"/>
    <s v="Calculator"/>
    <x v="0"/>
    <x v="1"/>
    <x v="24"/>
    <x v="230"/>
    <n v="7"/>
    <n v="1068"/>
    <n v="5"/>
    <n v="7333.2"/>
    <n v="7102.91"/>
    <n v="230.29"/>
    <s v="Cash"/>
    <s v="Pending"/>
    <s v="Mills-Garcia"/>
    <s v="patricia64@osborne-waters.info"/>
    <n v="22"/>
    <s v="No"/>
    <n v="0"/>
  </r>
  <r>
    <s v="ORD1233"/>
    <x v="195"/>
    <d v="2024-12-17T00:00:00"/>
    <s v="CUST149"/>
    <x v="233"/>
    <x v="2"/>
    <s v="PROD3568"/>
    <s v="Notebook"/>
    <x v="0"/>
    <x v="3"/>
    <x v="43"/>
    <x v="231"/>
    <n v="2"/>
    <n v="4943"/>
    <n v="15"/>
    <n v="8634.1"/>
    <n v="8403.9699999999993"/>
    <n v="230.13"/>
    <s v="Credit card"/>
    <s v="Pending"/>
    <s v="Trevino and Sons"/>
    <s v="steelebrittany@hernandez.com"/>
    <n v="42"/>
    <s v="No"/>
    <n v="0"/>
  </r>
  <r>
    <s v="ORD1234"/>
    <x v="196"/>
    <d v="2024-09-25T00:00:00"/>
    <s v="CUST129"/>
    <x v="234"/>
    <x v="2"/>
    <s v="PROD3795"/>
    <s v="Sofa"/>
    <x v="2"/>
    <x v="1"/>
    <x v="36"/>
    <x v="232"/>
    <n v="9"/>
    <n v="4889"/>
    <n v="15"/>
    <n v="37631.85"/>
    <n v="37401.449999999997"/>
    <n v="230.4"/>
    <s v="UPI"/>
    <s v="Delivered"/>
    <s v="Brooks-Morales"/>
    <s v="gregory74@stafford-smith.com"/>
    <n v="41"/>
    <s v="No"/>
    <n v="0"/>
  </r>
  <r>
    <s v="ORD1235"/>
    <x v="194"/>
    <d v="2025-09-01T00:00:00"/>
    <s v="CUST149"/>
    <x v="235"/>
    <x v="2"/>
    <s v="PROD8258"/>
    <s v="Study Table"/>
    <x v="2"/>
    <x v="3"/>
    <x v="28"/>
    <x v="233"/>
    <n v="9"/>
    <n v="2698"/>
    <n v="10"/>
    <n v="22084.799999999999"/>
    <n v="21854.53"/>
    <n v="230.27"/>
    <s v="UPI"/>
    <s v="Cancelled"/>
    <s v="Walls, Carter and Knapp"/>
    <s v="dixonlaura@guerrero-miller.com"/>
    <n v="31"/>
    <s v="No"/>
    <n v="0"/>
  </r>
  <r>
    <s v="ORD1236"/>
    <x v="171"/>
    <d v="2024-06-03T00:00:00"/>
    <s v="CUST579"/>
    <x v="236"/>
    <x v="0"/>
    <s v="PROD7971"/>
    <s v="Juice Pack"/>
    <x v="3"/>
    <x v="2"/>
    <x v="25"/>
    <x v="234"/>
    <n v="9"/>
    <n v="563"/>
    <n v="5"/>
    <n v="5044.6499999999996"/>
    <n v="4814.29"/>
    <n v="230.36"/>
    <s v="UPI"/>
    <s v="Cancelled"/>
    <s v="King, Perry and Jennings"/>
    <s v="ntaylor@hall-mills.com"/>
    <n v="13"/>
    <s v="No"/>
    <n v="0"/>
  </r>
  <r>
    <s v="ORD1237"/>
    <x v="161"/>
    <d v="2025-03-04T00:00:00"/>
    <s v="CUST918"/>
    <x v="237"/>
    <x v="0"/>
    <s v="PROD9761"/>
    <s v="Laptop"/>
    <x v="1"/>
    <x v="3"/>
    <x v="28"/>
    <x v="235"/>
    <n v="7"/>
    <n v="420"/>
    <n v="20"/>
    <n v="2583"/>
    <n v="2352.66"/>
    <n v="230.34"/>
    <s v="Cash"/>
    <s v="Delivered"/>
    <s v="Stevens, Thompson and Ball"/>
    <s v="karen44@anderson.com"/>
    <n v="42"/>
    <s v="No"/>
    <n v="0"/>
  </r>
  <r>
    <s v="ORD1238"/>
    <x v="197"/>
    <d v="2024-03-06T00:00:00"/>
    <s v="CUST738"/>
    <x v="238"/>
    <x v="0"/>
    <s v="PROD5950"/>
    <s v="Study Table"/>
    <x v="2"/>
    <x v="0"/>
    <x v="29"/>
    <x v="236"/>
    <n v="3"/>
    <n v="4561"/>
    <n v="15"/>
    <n v="11861.55"/>
    <n v="11631.32"/>
    <n v="230.23"/>
    <s v="Net Banking"/>
    <s v="Delivered"/>
    <s v="Hurst Group"/>
    <s v="wrightnicholas@huang.com"/>
    <n v="8"/>
    <s v="Yes"/>
    <n v="26"/>
  </r>
  <r>
    <s v="ORD1239"/>
    <x v="198"/>
    <d v="2025-08-24T00:00:00"/>
    <s v="CUST993"/>
    <x v="239"/>
    <x v="1"/>
    <s v="PROD4953"/>
    <s v="Rice Bag"/>
    <x v="3"/>
    <x v="3"/>
    <x v="9"/>
    <x v="237"/>
    <n v="10"/>
    <n v="2495"/>
    <n v="5"/>
    <n v="23933.5"/>
    <n v="23703.29"/>
    <n v="230.21"/>
    <s v="UPI"/>
    <s v="Pending"/>
    <s v="Franklin-Barker"/>
    <s v="khobbs@white.org"/>
    <n v="6"/>
    <s v="Yes"/>
    <n v="27"/>
  </r>
  <r>
    <s v="ORD1240"/>
    <x v="199"/>
    <d v="2024-09-01T00:00:00"/>
    <s v="CUST627"/>
    <x v="240"/>
    <x v="1"/>
    <s v="PROD7425"/>
    <s v="Bookshell"/>
    <x v="2"/>
    <x v="0"/>
    <x v="39"/>
    <x v="238"/>
    <n v="10"/>
    <n v="2041"/>
    <n v="15"/>
    <n v="17579.5"/>
    <n v="17349.150000000001"/>
    <n v="230.35"/>
    <s v="Cash"/>
    <s v="Delivered"/>
    <s v="Nunez-Jones"/>
    <s v="scottkelly@jensen.info"/>
    <n v="32"/>
    <s v="No"/>
    <n v="0"/>
  </r>
  <r>
    <s v="ORD1241"/>
    <x v="200"/>
    <d v="2024-12-28T00:00:00"/>
    <s v="CUST747"/>
    <x v="241"/>
    <x v="2"/>
    <s v="PROD7549"/>
    <s v="Stapler"/>
    <x v="0"/>
    <x v="3"/>
    <x v="31"/>
    <x v="239"/>
    <n v="9"/>
    <n v="1170"/>
    <n v="10"/>
    <n v="9708"/>
    <n v="9477.81"/>
    <n v="230.19"/>
    <s v="Net Banking"/>
    <s v="Returned"/>
    <s v="Black, Fowler and Edwards"/>
    <s v="wgarcia@reed.org"/>
    <n v="6"/>
    <s v="Yes"/>
    <n v="25"/>
  </r>
  <r>
    <s v="ORD1242"/>
    <x v="201"/>
    <d v="2024-10-04T00:00:00"/>
    <s v="CUST357"/>
    <x v="242"/>
    <x v="2"/>
    <s v="PROD4972"/>
    <s v="Headphones"/>
    <x v="1"/>
    <x v="3"/>
    <x v="32"/>
    <x v="240"/>
    <n v="1"/>
    <n v="4602"/>
    <n v="20"/>
    <n v="3912.6"/>
    <n v="3682.2"/>
    <n v="230.4"/>
    <s v="Cash"/>
    <s v="Pending"/>
    <s v="Smith-Munoz"/>
    <s v="jason95@martin-chen.info"/>
    <n v="50"/>
    <s v="No"/>
    <n v="0"/>
  </r>
  <r>
    <s v="ORD1243"/>
    <x v="13"/>
    <d v="2025-06-25T00:00:00"/>
    <s v="CUST191"/>
    <x v="243"/>
    <x v="1"/>
    <s v="PROD5875"/>
    <s v="Keyboard"/>
    <x v="1"/>
    <x v="2"/>
    <x v="46"/>
    <x v="241"/>
    <n v="1"/>
    <n v="1032"/>
    <n v="10"/>
    <n v="1159.8"/>
    <n v="929.44"/>
    <n v="230.36"/>
    <s v="UPI"/>
    <s v="Returned"/>
    <s v="Davidson-Ayala"/>
    <s v="pwells@silva-shields.com"/>
    <n v="24"/>
    <s v="No"/>
    <n v="0"/>
  </r>
  <r>
    <s v="ORD1244"/>
    <x v="202"/>
    <d v="2025-06-01T00:00:00"/>
    <s v="CUST582"/>
    <x v="244"/>
    <x v="1"/>
    <s v="PROD8581"/>
    <s v="Office Chair"/>
    <x v="2"/>
    <x v="0"/>
    <x v="14"/>
    <x v="242"/>
    <n v="4"/>
    <n v="1018"/>
    <n v="5"/>
    <n v="4099.3999999999996"/>
    <n v="3869.06"/>
    <n v="230.34"/>
    <s v="Net Banking"/>
    <s v="Pending"/>
    <s v="Stone, White and Chavez"/>
    <s v="emilyhays@diaz-sanders.com"/>
    <n v="48"/>
    <s v="No"/>
    <n v="0"/>
  </r>
  <r>
    <s v="ORD1245"/>
    <x v="203"/>
    <d v="2025-05-03T00:00:00"/>
    <s v="CUST800"/>
    <x v="245"/>
    <x v="0"/>
    <s v="PROD5594"/>
    <s v="Monitor"/>
    <x v="1"/>
    <x v="0"/>
    <x v="44"/>
    <x v="243"/>
    <n v="10"/>
    <n v="162"/>
    <n v="20"/>
    <n v="1527"/>
    <n v="1296.8800000000001"/>
    <n v="230.12"/>
    <s v="Net Banking"/>
    <s v="Cancelled"/>
    <s v="Doyle, Flores and Hines"/>
    <s v="collinsangela@chang.info"/>
    <n v="12"/>
    <s v="No"/>
    <n v="0"/>
  </r>
  <r>
    <s v="ORD1246"/>
    <x v="138"/>
    <d v="2025-04-05T00:00:00"/>
    <s v="CUST662"/>
    <x v="246"/>
    <x v="2"/>
    <s v="PROD2790"/>
    <s v="Pen"/>
    <x v="0"/>
    <x v="2"/>
    <x v="15"/>
    <x v="244"/>
    <n v="1"/>
    <n v="1997"/>
    <n v="20"/>
    <n v="1828.6"/>
    <n v="1598.45"/>
    <n v="230.15"/>
    <s v="Net Banking"/>
    <s v="Returned"/>
    <s v="Bush-Jones"/>
    <s v="lauraanderson@gibbs.com"/>
    <n v="14"/>
    <s v="No"/>
    <n v="0"/>
  </r>
  <r>
    <s v="ORD1247"/>
    <x v="55"/>
    <d v="2023-12-17T00:00:00"/>
    <s v="CUST240"/>
    <x v="247"/>
    <x v="1"/>
    <s v="PROD1132"/>
    <s v="Bookshell"/>
    <x v="2"/>
    <x v="0"/>
    <x v="36"/>
    <x v="245"/>
    <n v="6"/>
    <n v="3762"/>
    <n v="10"/>
    <n v="20545.8"/>
    <n v="20315.599999999999"/>
    <n v="230.2"/>
    <s v="Net Banking"/>
    <s v="Returned"/>
    <s v="Bowman Group"/>
    <s v="castanedajessica@reynolds.com"/>
    <n v="36"/>
    <s v="No"/>
    <n v="0"/>
  </r>
  <r>
    <s v="ORD1248"/>
    <x v="204"/>
    <d v="2025-06-06T00:00:00"/>
    <s v="CUST952"/>
    <x v="248"/>
    <x v="0"/>
    <s v="PROD6179"/>
    <s v="File Folder"/>
    <x v="0"/>
    <x v="1"/>
    <x v="46"/>
    <x v="246"/>
    <n v="5"/>
    <n v="4599"/>
    <n v="15"/>
    <n v="19776.75"/>
    <n v="19546.38"/>
    <n v="230.37"/>
    <s v="UPI"/>
    <s v="Pending"/>
    <s v="Anderson PLC"/>
    <s v="parksean@gardner-williams.com"/>
    <n v="33"/>
    <s v="No"/>
    <n v="0"/>
  </r>
  <r>
    <s v="ORD1249"/>
    <x v="15"/>
    <d v="2024-01-01T00:00:00"/>
    <s v="CUST792"/>
    <x v="249"/>
    <x v="0"/>
    <s v="PROD7948"/>
    <s v="File Folder"/>
    <x v="0"/>
    <x v="2"/>
    <x v="6"/>
    <x v="247"/>
    <n v="6"/>
    <n v="3034"/>
    <n v="10"/>
    <n v="16614.599999999999"/>
    <n v="16384.259999999998"/>
    <n v="230.34"/>
    <s v="Net Banking"/>
    <s v="Returned"/>
    <s v="Moore-Thomas"/>
    <s v="sandra47@wang.com"/>
    <n v="46"/>
    <s v="No"/>
    <n v="0"/>
  </r>
  <r>
    <s v="ORD1250"/>
    <x v="153"/>
    <d v="2025-09-27T00:00:00"/>
    <s v="CUST543"/>
    <x v="250"/>
    <x v="1"/>
    <s v="PROD1672"/>
    <s v="Sofa"/>
    <x v="2"/>
    <x v="1"/>
    <x v="44"/>
    <x v="248"/>
    <n v="3"/>
    <n v="1604"/>
    <n v="10"/>
    <n v="4561.8"/>
    <n v="4331.62"/>
    <n v="230.18"/>
    <s v="Credit card"/>
    <s v="Cancelled"/>
    <s v="Santos, Holland and Nichols"/>
    <s v="burnettmichael@gamble-sullivan.com"/>
    <n v="28"/>
    <s v="No"/>
    <n v="0"/>
  </r>
  <r>
    <s v="ORD1251"/>
    <x v="205"/>
    <d v="2024-05-18T00:00:00"/>
    <s v="CUST830"/>
    <x v="251"/>
    <x v="2"/>
    <s v="PROD2428"/>
    <s v="Study Table"/>
    <x v="2"/>
    <x v="3"/>
    <x v="17"/>
    <x v="249"/>
    <n v="5"/>
    <n v="1262"/>
    <n v="10"/>
    <n v="5910"/>
    <n v="5679.83"/>
    <n v="230.17"/>
    <s v="UPI"/>
    <s v="Pending"/>
    <s v="Lopez-Willis"/>
    <s v="swilliams@beck.com"/>
    <n v="7"/>
    <s v="Yes"/>
    <n v="45"/>
  </r>
  <r>
    <s v="ORD1252"/>
    <x v="114"/>
    <d v="2024-09-19T00:00:00"/>
    <s v="CUST627"/>
    <x v="252"/>
    <x v="2"/>
    <s v="PROD8589"/>
    <s v="Rice Bag"/>
    <x v="3"/>
    <x v="0"/>
    <x v="3"/>
    <x v="250"/>
    <n v="1"/>
    <n v="4616"/>
    <n v="0"/>
    <n v="4847"/>
    <n v="4616.84"/>
    <n v="230.16"/>
    <s v="Net Banking"/>
    <s v="Pending"/>
    <s v="Sampson PLC"/>
    <s v="david99@walker-torres.info"/>
    <n v="9"/>
    <s v="Yes"/>
    <n v="40"/>
  </r>
  <r>
    <s v="ORD1253"/>
    <x v="206"/>
    <d v="2025-09-12T00:00:00"/>
    <s v="CUST716"/>
    <x v="253"/>
    <x v="2"/>
    <s v="PROD4665"/>
    <s v="Monitor"/>
    <x v="1"/>
    <x v="3"/>
    <x v="33"/>
    <x v="251"/>
    <n v="4"/>
    <n v="2376"/>
    <n v="10"/>
    <n v="8784.6"/>
    <n v="8554.2900000000009"/>
    <n v="230.31"/>
    <s v="Credit card"/>
    <s v="Returned"/>
    <s v="Turner, Moore and Arias"/>
    <s v="christina28@roberts.com"/>
    <n v="14"/>
    <s v="No"/>
    <n v="0"/>
  </r>
  <r>
    <s v="ORD1254"/>
    <x v="155"/>
    <d v="2024-07-01T00:00:00"/>
    <s v="CUST659"/>
    <x v="254"/>
    <x v="1"/>
    <s v="PROD6503"/>
    <s v="Dining Table"/>
    <x v="2"/>
    <x v="0"/>
    <x v="25"/>
    <x v="252"/>
    <n v="8"/>
    <n v="4182"/>
    <n v="15"/>
    <n v="28668.6"/>
    <n v="28438.45"/>
    <n v="230.15"/>
    <s v="Net Banking"/>
    <s v="Delivered"/>
    <s v="Howard-Proctor"/>
    <s v="owensvickie@stone-johnson.net"/>
    <n v="14"/>
    <s v="No"/>
    <n v="0"/>
  </r>
  <r>
    <s v="ORD1255"/>
    <x v="207"/>
    <d v="2024-08-12T00:00:00"/>
    <s v="CUST208"/>
    <x v="255"/>
    <x v="2"/>
    <s v="PROD9602"/>
    <s v="Study Table"/>
    <x v="2"/>
    <x v="1"/>
    <x v="22"/>
    <x v="253"/>
    <n v="4"/>
    <n v="2091"/>
    <n v="10"/>
    <n v="7758.6"/>
    <n v="7528.3"/>
    <n v="230.3"/>
    <s v="Cash"/>
    <s v="Cancelled"/>
    <s v="Arroyo LLC"/>
    <s v="felicia03@moreno-wilson.com"/>
    <n v="49"/>
    <s v="No"/>
    <n v="0"/>
  </r>
  <r>
    <s v="ORD1256"/>
    <x v="208"/>
    <d v="2024-01-24T00:00:00"/>
    <s v="CUST549"/>
    <x v="256"/>
    <x v="2"/>
    <s v="PROD6919"/>
    <s v="Stapler"/>
    <x v="0"/>
    <x v="3"/>
    <x v="24"/>
    <x v="254"/>
    <n v="9"/>
    <n v="1938"/>
    <n v="15"/>
    <n v="15056.7"/>
    <n v="14826.43"/>
    <n v="230.27"/>
    <s v="Cash"/>
    <s v="Delivered"/>
    <s v="Camacho-Moore"/>
    <s v="denisevalencia@lyons.com"/>
    <n v="21"/>
    <s v="No"/>
    <n v="0"/>
  </r>
  <r>
    <s v="ORD1257"/>
    <x v="209"/>
    <d v="2024-06-21T00:00:00"/>
    <s v="CUST504"/>
    <x v="257"/>
    <x v="2"/>
    <s v="PROD3157"/>
    <s v="Snacks"/>
    <x v="3"/>
    <x v="2"/>
    <x v="1"/>
    <x v="255"/>
    <n v="1"/>
    <n v="3644"/>
    <n v="15"/>
    <n v="3328.4"/>
    <n v="3098.1"/>
    <n v="230.3"/>
    <s v="Credit card"/>
    <s v="Delivered"/>
    <s v="Roberts, Barnes and Allen"/>
    <s v="martinrichard@lucas.biz"/>
    <n v="44"/>
    <s v="No"/>
    <n v="0"/>
  </r>
  <r>
    <s v="ORD1258"/>
    <x v="210"/>
    <d v="2023-12-26T00:00:00"/>
    <s v="CUST620"/>
    <x v="258"/>
    <x v="2"/>
    <s v="PROD1924"/>
    <s v="Mouse"/>
    <x v="1"/>
    <x v="1"/>
    <x v="48"/>
    <x v="256"/>
    <n v="4"/>
    <n v="2891"/>
    <n v="5"/>
    <n v="11216.8"/>
    <n v="10986.52"/>
    <n v="230.28"/>
    <s v="Net Banking"/>
    <s v="Returned"/>
    <s v="Lee-Hill"/>
    <s v="benjamin67@hicks.com"/>
    <n v="29"/>
    <s v="No"/>
    <n v="0"/>
  </r>
  <r>
    <s v="ORD1259"/>
    <x v="211"/>
    <d v="2025-09-17T00:00:00"/>
    <s v="CUST470"/>
    <x v="259"/>
    <x v="1"/>
    <s v="PROD6661"/>
    <s v="Calculator"/>
    <x v="0"/>
    <x v="3"/>
    <x v="49"/>
    <x v="257"/>
    <n v="3"/>
    <n v="4831"/>
    <n v="0"/>
    <n v="14724"/>
    <n v="14493.75"/>
    <n v="230.25"/>
    <s v="Credit card"/>
    <s v="Delivered"/>
    <s v="Miller-Thornton"/>
    <s v="curtis77@harrison.org"/>
    <n v="35"/>
    <s v="No"/>
    <n v="0"/>
  </r>
  <r>
    <s v="ORD1260"/>
    <x v="212"/>
    <d v="2024-11-25T00:00:00"/>
    <s v="CUST843"/>
    <x v="260"/>
    <x v="0"/>
    <s v="PROD7623"/>
    <s v="Headphones"/>
    <x v="1"/>
    <x v="0"/>
    <x v="15"/>
    <x v="258"/>
    <n v="3"/>
    <n v="3022"/>
    <n v="5"/>
    <n v="8843.7000000000007"/>
    <n v="8613.3799999999992"/>
    <n v="230.32"/>
    <s v="UPI"/>
    <s v="Pending"/>
    <s v="Pittman-Harris"/>
    <s v="gware@davenport.org"/>
    <n v="34"/>
    <s v="No"/>
    <n v="0"/>
  </r>
  <r>
    <s v="ORD1261"/>
    <x v="213"/>
    <d v="2023-11-10T00:00:00"/>
    <s v="CUST400"/>
    <x v="261"/>
    <x v="2"/>
    <s v="PROD8536"/>
    <s v="Laptop"/>
    <x v="1"/>
    <x v="1"/>
    <x v="5"/>
    <x v="259"/>
    <n v="6"/>
    <n v="1016"/>
    <n v="15"/>
    <n v="5412.6"/>
    <n v="5182.5"/>
    <n v="230.1"/>
    <s v="Credit card"/>
    <s v="Cancelled"/>
    <s v="Rodriguez-Garrett"/>
    <s v="jonestina@alexander.org"/>
    <n v="48"/>
    <s v="No"/>
    <n v="0"/>
  </r>
  <r>
    <s v="ORD1262"/>
    <x v="85"/>
    <d v="2025-02-11T00:00:00"/>
    <s v="CUST918"/>
    <x v="262"/>
    <x v="1"/>
    <s v="PROD4166"/>
    <s v="Cooking oil"/>
    <x v="3"/>
    <x v="3"/>
    <x v="41"/>
    <x v="260"/>
    <n v="2"/>
    <n v="3880"/>
    <n v="10"/>
    <n v="7215"/>
    <n v="6984.83"/>
    <n v="230.17"/>
    <s v="UPI"/>
    <s v="Pending"/>
    <s v="Lam-Ball"/>
    <s v="princerodney@powell.info"/>
    <n v="14"/>
    <s v="No"/>
    <n v="0"/>
  </r>
  <r>
    <s v="ORD1263"/>
    <x v="214"/>
    <d v="2024-09-28T00:00:00"/>
    <s v="CUST882"/>
    <x v="263"/>
    <x v="1"/>
    <s v="PROD8229"/>
    <s v="Rice Bag"/>
    <x v="3"/>
    <x v="3"/>
    <x v="6"/>
    <x v="261"/>
    <n v="1"/>
    <n v="2543"/>
    <n v="0"/>
    <n v="2774"/>
    <n v="2543.65"/>
    <n v="230.35"/>
    <s v="Cash"/>
    <s v="Returned"/>
    <s v="Prince PLC"/>
    <s v="davidcarter@johnson.com"/>
    <n v="19"/>
    <s v="No"/>
    <n v="0"/>
  </r>
  <r>
    <s v="ORD1264"/>
    <x v="215"/>
    <d v="2025-09-14T00:00:00"/>
    <s v="CUST484"/>
    <x v="264"/>
    <x v="2"/>
    <s v="PROD9586"/>
    <s v="Dining Table"/>
    <x v="2"/>
    <x v="1"/>
    <x v="49"/>
    <x v="262"/>
    <n v="3"/>
    <n v="2153"/>
    <n v="10"/>
    <n v="6044.1"/>
    <n v="5813.87"/>
    <n v="230.23"/>
    <s v="UPI"/>
    <s v="Returned"/>
    <s v="Harris, Hernandez and Armstrong"/>
    <s v="maria93@dunn.net"/>
    <n v="7"/>
    <s v="Yes"/>
    <n v="50"/>
  </r>
  <r>
    <s v="ORD1265"/>
    <x v="122"/>
    <d v="2025-02-13T00:00:00"/>
    <s v="CUST437"/>
    <x v="265"/>
    <x v="1"/>
    <s v="PROD5236"/>
    <s v="Dining Table"/>
    <x v="2"/>
    <x v="1"/>
    <x v="47"/>
    <x v="263"/>
    <n v="1"/>
    <n v="2076"/>
    <n v="10"/>
    <n v="2099.4"/>
    <n v="1869.07"/>
    <n v="230.33"/>
    <s v="UPI"/>
    <s v="Pending"/>
    <s v="Tate PLC"/>
    <s v="maria49@brown-lloyd.biz"/>
    <n v="31"/>
    <s v="No"/>
    <n v="0"/>
  </r>
  <r>
    <s v="ORD1266"/>
    <x v="216"/>
    <d v="2024-07-30T00:00:00"/>
    <s v="CUST769"/>
    <x v="266"/>
    <x v="1"/>
    <s v="PROD6229"/>
    <s v="Monitor"/>
    <x v="1"/>
    <x v="1"/>
    <x v="30"/>
    <x v="264"/>
    <n v="5"/>
    <n v="711"/>
    <n v="20"/>
    <n v="3075"/>
    <n v="2844.87"/>
    <n v="230.13"/>
    <s v="Cash"/>
    <s v="Returned"/>
    <s v="Moreno Inc"/>
    <s v="ystewart@costa.biz"/>
    <n v="13"/>
    <s v="No"/>
    <n v="0"/>
  </r>
  <r>
    <s v="ORD1267"/>
    <x v="60"/>
    <d v="2024-10-19T00:00:00"/>
    <s v="CUST321"/>
    <x v="267"/>
    <x v="0"/>
    <s v="PROD3684"/>
    <s v="Office Chair"/>
    <x v="2"/>
    <x v="2"/>
    <x v="44"/>
    <x v="265"/>
    <n v="2"/>
    <n v="4925"/>
    <n v="15"/>
    <n v="8603.5"/>
    <n v="8373.17"/>
    <n v="230.33"/>
    <s v="Net Banking"/>
    <s v="Delivered"/>
    <s v="Allen, Jackson and Cook"/>
    <s v="elizabeth66@mathis.com"/>
    <n v="6"/>
    <s v="Yes"/>
    <n v="35"/>
  </r>
  <r>
    <s v="ORD1268"/>
    <x v="217"/>
    <d v="2024-01-10T00:00:00"/>
    <s v="CUST612"/>
    <x v="268"/>
    <x v="1"/>
    <s v="PROD3141"/>
    <s v="Mouse"/>
    <x v="1"/>
    <x v="0"/>
    <x v="21"/>
    <x v="266"/>
    <n v="10"/>
    <n v="512"/>
    <n v="20"/>
    <n v="4327"/>
    <n v="4096.62"/>
    <n v="230.38"/>
    <s v="Credit card"/>
    <s v="Cancelled"/>
    <s v="Manning, Mcdonald and Schultz"/>
    <s v="tammy07@li-johnson.org"/>
    <n v="3"/>
    <s v="Yes"/>
    <n v="48"/>
  </r>
  <r>
    <s v="ORD1269"/>
    <x v="218"/>
    <d v="2025-06-08T00:00:00"/>
    <s v="CUST381"/>
    <x v="269"/>
    <x v="2"/>
    <s v="PROD9630"/>
    <s v="Office Chair"/>
    <x v="2"/>
    <x v="3"/>
    <x v="38"/>
    <x v="267"/>
    <n v="10"/>
    <n v="1872"/>
    <n v="10"/>
    <n v="17079"/>
    <n v="16848.77"/>
    <n v="230.23"/>
    <s v="UPI"/>
    <s v="Returned"/>
    <s v="Kelly LLC"/>
    <s v="mckinneyerika@brown.info"/>
    <n v="15"/>
    <s v="No"/>
    <n v="0"/>
  </r>
  <r>
    <s v="ORD1270"/>
    <x v="219"/>
    <d v="2025-01-29T00:00:00"/>
    <s v="CUST442"/>
    <x v="270"/>
    <x v="1"/>
    <s v="PROD4477"/>
    <s v="Stapler"/>
    <x v="0"/>
    <x v="2"/>
    <x v="1"/>
    <x v="268"/>
    <n v="8"/>
    <n v="4204"/>
    <n v="20"/>
    <n v="27136.6"/>
    <n v="26906.22"/>
    <n v="230.38"/>
    <s v="UPI"/>
    <s v="Pending"/>
    <s v="Decker-Walker"/>
    <s v="harpermeghan@smith-young.com"/>
    <n v="48"/>
    <s v="No"/>
    <n v="0"/>
  </r>
  <r>
    <s v="ORD1271"/>
    <x v="220"/>
    <d v="2025-09-16T00:00:00"/>
    <s v="CUST823"/>
    <x v="271"/>
    <x v="0"/>
    <s v="PROD3143"/>
    <s v="Mouse"/>
    <x v="1"/>
    <x v="2"/>
    <x v="40"/>
    <x v="269"/>
    <n v="10"/>
    <n v="1145"/>
    <n v="0"/>
    <n v="11681"/>
    <n v="11450.84"/>
    <n v="230.16"/>
    <s v="Net Banking"/>
    <s v="Delivered"/>
    <s v="Mitchell-Williams"/>
    <s v="ashleyorr@harrington.com"/>
    <n v="3"/>
    <s v="Yes"/>
    <n v="44"/>
  </r>
  <r>
    <s v="ORD1272"/>
    <x v="221"/>
    <d v="2024-06-22T00:00:00"/>
    <s v="CUST747"/>
    <x v="272"/>
    <x v="2"/>
    <s v="PROD8253"/>
    <s v="Study Table"/>
    <x v="2"/>
    <x v="3"/>
    <x v="38"/>
    <x v="270"/>
    <n v="10"/>
    <n v="1992"/>
    <n v="20"/>
    <n v="16167"/>
    <n v="15936.83"/>
    <n v="230.17"/>
    <s v="Credit card"/>
    <s v="Pending"/>
    <s v="Villarreal, Smith and Sawyer"/>
    <s v="usmith@thompson.com"/>
    <n v="10"/>
    <s v="No"/>
    <n v="0"/>
  </r>
  <r>
    <s v="ORD1273"/>
    <x v="222"/>
    <d v="2025-05-23T00:00:00"/>
    <s v="CUST919"/>
    <x v="273"/>
    <x v="0"/>
    <s v="PROD2494"/>
    <s v="Keyboard"/>
    <x v="1"/>
    <x v="2"/>
    <x v="8"/>
    <x v="271"/>
    <n v="6"/>
    <n v="1381"/>
    <n v="0"/>
    <n v="8517"/>
    <n v="8286.74"/>
    <n v="230.26"/>
    <s v="Cash"/>
    <s v="Returned"/>
    <s v="Hicks-Evans"/>
    <s v="sylvia07@pierce-parker.com"/>
    <n v="3"/>
    <s v="Yes"/>
    <n v="33"/>
  </r>
  <r>
    <s v="ORD1274"/>
    <x v="223"/>
    <d v="2025-04-22T00:00:00"/>
    <s v="CUST642"/>
    <x v="274"/>
    <x v="0"/>
    <s v="PROD1352"/>
    <s v="Sugar"/>
    <x v="3"/>
    <x v="3"/>
    <x v="42"/>
    <x v="272"/>
    <n v="4"/>
    <n v="3670"/>
    <n v="5"/>
    <n v="14177"/>
    <n v="13946.68"/>
    <n v="230.32"/>
    <s v="UPI"/>
    <s v="Returned"/>
    <s v="Sullivan-Williams"/>
    <s v="shunter@hall.biz"/>
    <n v="19"/>
    <s v="No"/>
    <n v="0"/>
  </r>
  <r>
    <s v="ORD1275"/>
    <x v="224"/>
    <d v="2025-06-13T00:00:00"/>
    <s v="CUST952"/>
    <x v="275"/>
    <x v="2"/>
    <s v="PROD1908"/>
    <s v="Mouse"/>
    <x v="1"/>
    <x v="3"/>
    <x v="10"/>
    <x v="273"/>
    <n v="8"/>
    <n v="3891"/>
    <n v="20"/>
    <n v="25133.4"/>
    <n v="24903.21"/>
    <n v="230.19"/>
    <s v="Cash"/>
    <s v="Delivered"/>
    <s v="Stephens, Singleton and Mason"/>
    <s v="simpsonrobert@jones.com"/>
    <n v="43"/>
    <s v="No"/>
    <n v="0"/>
  </r>
  <r>
    <s v="ORD1276"/>
    <x v="225"/>
    <d v="2025-06-16T00:00:00"/>
    <s v="CUST689"/>
    <x v="276"/>
    <x v="1"/>
    <s v="PROD7036"/>
    <s v="Monitor"/>
    <x v="1"/>
    <x v="1"/>
    <x v="37"/>
    <x v="274"/>
    <n v="10"/>
    <n v="584"/>
    <n v="5"/>
    <n v="5779"/>
    <n v="5548.72"/>
    <n v="230.28"/>
    <s v="UPI"/>
    <s v="Delivered"/>
    <s v="Stone and Sons"/>
    <s v="jeffreycastillo@macias.biz"/>
    <n v="41"/>
    <s v="No"/>
    <n v="0"/>
  </r>
  <r>
    <s v="ORD1277"/>
    <x v="226"/>
    <d v="2025-06-07T00:00:00"/>
    <s v="CUST330"/>
    <x v="277"/>
    <x v="1"/>
    <s v="PROD5013"/>
    <s v="Bookshell"/>
    <x v="2"/>
    <x v="3"/>
    <x v="14"/>
    <x v="275"/>
    <n v="7"/>
    <n v="2565"/>
    <n v="0"/>
    <n v="18186"/>
    <n v="17955.82"/>
    <n v="230.18"/>
    <s v="Net Banking"/>
    <s v="Cancelled"/>
    <s v="Green, Christian and Perkins"/>
    <s v="teresa93@lyons-hernandez.info"/>
    <n v="35"/>
    <s v="No"/>
    <n v="0"/>
  </r>
  <r>
    <s v="ORD1278"/>
    <x v="7"/>
    <d v="2025-04-01T00:00:00"/>
    <s v="CUST365"/>
    <x v="278"/>
    <x v="2"/>
    <s v="PROD8363"/>
    <s v="Office Chair"/>
    <x v="2"/>
    <x v="0"/>
    <x v="1"/>
    <x v="276"/>
    <n v="4"/>
    <n v="4038"/>
    <n v="5"/>
    <n v="15575.4"/>
    <n v="15345.24"/>
    <n v="230.16"/>
    <s v="Cash"/>
    <s v="Cancelled"/>
    <s v="Nguyen PLC"/>
    <s v="qthomas@hernandez.net"/>
    <n v="47"/>
    <s v="No"/>
    <n v="0"/>
  </r>
  <r>
    <s v="ORD1279"/>
    <x v="227"/>
    <d v="2025-10-08T00:00:00"/>
    <s v="CUST944"/>
    <x v="279"/>
    <x v="0"/>
    <s v="PROD6991"/>
    <s v="Notebook"/>
    <x v="0"/>
    <x v="0"/>
    <x v="4"/>
    <x v="277"/>
    <n v="4"/>
    <n v="1346"/>
    <n v="20"/>
    <n v="4538.2"/>
    <n v="4308.0200000000004"/>
    <n v="230.18"/>
    <s v="Credit card"/>
    <s v="Delivered"/>
    <s v="Wade-Mcgee"/>
    <s v="donaldjohnson@nguyen-miller.info"/>
    <n v="26"/>
    <s v="No"/>
    <n v="0"/>
  </r>
  <r>
    <s v="ORD1280"/>
    <x v="222"/>
    <d v="2025-05-25T00:00:00"/>
    <s v="CUST632"/>
    <x v="280"/>
    <x v="0"/>
    <s v="PROD5965"/>
    <s v="File Folder"/>
    <x v="0"/>
    <x v="0"/>
    <x v="19"/>
    <x v="278"/>
    <n v="6"/>
    <n v="3889"/>
    <n v="0"/>
    <n v="23565"/>
    <n v="23334.61"/>
    <n v="230.39"/>
    <s v="UPI"/>
    <s v="Delivered"/>
    <s v="Gonzales, Mcintosh and Johnson"/>
    <s v="shellythomas@shields-phillips.net"/>
    <n v="41"/>
    <s v="No"/>
    <n v="0"/>
  </r>
  <r>
    <s v="ORD1281"/>
    <x v="228"/>
    <d v="2024-08-15T00:00:00"/>
    <s v="CUST857"/>
    <x v="281"/>
    <x v="1"/>
    <s v="PROD1404"/>
    <s v="Pen"/>
    <x v="0"/>
    <x v="1"/>
    <x v="17"/>
    <x v="279"/>
    <n v="5"/>
    <n v="279"/>
    <n v="5"/>
    <n v="1556.25"/>
    <n v="1326.15"/>
    <n v="230.1"/>
    <s v="Credit card"/>
    <s v="Delivered"/>
    <s v="Michael-Koch"/>
    <s v="jamieluna@weber.com"/>
    <n v="11"/>
    <s v="No"/>
    <n v="0"/>
  </r>
  <r>
    <s v="ORD1282"/>
    <x v="66"/>
    <d v="2025-10-26T00:00:00"/>
    <s v="CUST256"/>
    <x v="282"/>
    <x v="1"/>
    <s v="PROD4893"/>
    <s v="Mouse"/>
    <x v="1"/>
    <x v="3"/>
    <x v="5"/>
    <x v="280"/>
    <n v="9"/>
    <n v="974"/>
    <n v="15"/>
    <n v="7682.1"/>
    <n v="7451.82"/>
    <n v="230.28"/>
    <s v="Credit card"/>
    <s v="Delivered"/>
    <s v="Taylor PLC"/>
    <s v="kristine39@ford.net"/>
    <n v="3"/>
    <s v="Yes"/>
    <n v="31"/>
  </r>
  <r>
    <s v="ORD1283"/>
    <x v="229"/>
    <d v="2025-09-10T00:00:00"/>
    <s v="CUST897"/>
    <x v="283"/>
    <x v="0"/>
    <s v="PROD6996"/>
    <s v="Notebook"/>
    <x v="0"/>
    <x v="3"/>
    <x v="3"/>
    <x v="281"/>
    <n v="4"/>
    <n v="1353"/>
    <n v="0"/>
    <n v="5643"/>
    <n v="5412.83"/>
    <n v="230.17"/>
    <s v="Net Banking"/>
    <s v="Pending"/>
    <s v="West, Jacobs and Griffin"/>
    <s v="thomas82@rivera.com"/>
    <n v="1"/>
    <s v="Yes"/>
    <n v="31"/>
  </r>
  <r>
    <s v="ORD1284"/>
    <x v="230"/>
    <d v="2025-06-20T00:00:00"/>
    <s v="CUST636"/>
    <x v="284"/>
    <x v="2"/>
    <s v="PROD6415"/>
    <s v="Sofa"/>
    <x v="2"/>
    <x v="3"/>
    <x v="2"/>
    <x v="282"/>
    <n v="6"/>
    <n v="4430"/>
    <n v="5"/>
    <n v="25482"/>
    <n v="25251.86"/>
    <n v="230.14"/>
    <s v="Credit card"/>
    <s v="Pending"/>
    <s v="Young-Boyd"/>
    <s v="lisajones@harris-wilson.biz"/>
    <n v="17"/>
    <s v="No"/>
    <n v="0"/>
  </r>
  <r>
    <s v="ORD1285"/>
    <x v="179"/>
    <d v="2025-10-07T00:00:00"/>
    <s v="CUST188"/>
    <x v="285"/>
    <x v="0"/>
    <s v="PROD6901"/>
    <s v="File Folder"/>
    <x v="0"/>
    <x v="1"/>
    <x v="37"/>
    <x v="283"/>
    <n v="4"/>
    <n v="1443"/>
    <n v="0"/>
    <n v="6003"/>
    <n v="5772.68"/>
    <n v="230.32"/>
    <s v="Net Banking"/>
    <s v="Returned"/>
    <s v="Smith-Miranda"/>
    <s v="colemiguel@pham.biz"/>
    <n v="1"/>
    <s v="Yes"/>
    <n v="32"/>
  </r>
  <r>
    <s v="ORD1286"/>
    <x v="210"/>
    <d v="2023-12-23T00:00:00"/>
    <s v="CUST201"/>
    <x v="286"/>
    <x v="2"/>
    <s v="PROD2640"/>
    <s v="Pen"/>
    <x v="0"/>
    <x v="2"/>
    <x v="47"/>
    <x v="284"/>
    <n v="2"/>
    <n v="1720"/>
    <n v="20"/>
    <n v="2983"/>
    <n v="2752.9"/>
    <n v="230.1"/>
    <s v="Cash"/>
    <s v="Pending"/>
    <s v="Tate, Rodriguez and Harris"/>
    <s v="samantha97@skinner.info"/>
    <n v="1"/>
    <s v="Yes"/>
    <n v="29"/>
  </r>
  <r>
    <s v="ORD1287"/>
    <x v="231"/>
    <d v="2025-01-22T00:00:00"/>
    <s v="CUST652"/>
    <x v="287"/>
    <x v="1"/>
    <s v="PROD4623"/>
    <s v="Notebook"/>
    <x v="0"/>
    <x v="3"/>
    <x v="14"/>
    <x v="285"/>
    <n v="5"/>
    <n v="2838"/>
    <n v="0"/>
    <n v="14421"/>
    <n v="14190.81"/>
    <n v="230.19"/>
    <s v="Cash"/>
    <s v="Returned"/>
    <s v="Spencer-Williams"/>
    <s v="newtonmichelle@hoffman.net"/>
    <n v="3"/>
    <s v="Yes"/>
    <n v="50"/>
  </r>
  <r>
    <s v="ORD1288"/>
    <x v="134"/>
    <d v="2025-03-10T00:00:00"/>
    <s v="CUST864"/>
    <x v="288"/>
    <x v="1"/>
    <s v="PROD7193"/>
    <s v="Sofa"/>
    <x v="2"/>
    <x v="2"/>
    <x v="21"/>
    <x v="286"/>
    <n v="8"/>
    <n v="4292"/>
    <n v="20"/>
    <n v="27699.8"/>
    <n v="27469.64"/>
    <n v="230.16"/>
    <s v="UPI"/>
    <s v="Cancelled"/>
    <s v="Sexton PLC"/>
    <s v="matthew89@reese-walker.com"/>
    <n v="9"/>
    <s v="Yes"/>
    <n v="31"/>
  </r>
  <r>
    <s v="ORD1289"/>
    <x v="232"/>
    <d v="2024-05-04T00:00:00"/>
    <s v="CUST562"/>
    <x v="289"/>
    <x v="2"/>
    <s v="PROD1807"/>
    <s v="Juice Pack"/>
    <x v="3"/>
    <x v="1"/>
    <x v="43"/>
    <x v="287"/>
    <n v="3"/>
    <n v="1596"/>
    <n v="10"/>
    <n v="4540.2"/>
    <n v="4309.8100000000004"/>
    <n v="230.39"/>
    <s v="Net Banking"/>
    <s v="Cancelled"/>
    <s v="Castro, Miles and Burns"/>
    <s v="iguerra@wu-li.com"/>
    <n v="41"/>
    <s v="No"/>
    <n v="0"/>
  </r>
  <r>
    <s v="ORD1290"/>
    <x v="233"/>
    <d v="2025-10-26T00:00:00"/>
    <s v="CUST936"/>
    <x v="290"/>
    <x v="0"/>
    <s v="PROD5368"/>
    <s v="Notebook"/>
    <x v="0"/>
    <x v="3"/>
    <x v="27"/>
    <x v="288"/>
    <n v="2"/>
    <n v="308"/>
    <n v="0"/>
    <n v="847"/>
    <n v="616.77"/>
    <n v="230.23"/>
    <s v="Cash"/>
    <s v="Delivered"/>
    <s v="Harrington-Moreno"/>
    <s v="rwolf@jones.com"/>
    <n v="45"/>
    <s v="No"/>
    <n v="0"/>
  </r>
  <r>
    <s v="ORD1291"/>
    <x v="234"/>
    <d v="2024-07-20T00:00:00"/>
    <s v="CUST849"/>
    <x v="291"/>
    <x v="1"/>
    <s v="PROD4270"/>
    <s v="Juice Pack"/>
    <x v="3"/>
    <x v="1"/>
    <x v="13"/>
    <x v="16"/>
    <n v="5"/>
    <n v="3362"/>
    <n v="15"/>
    <n v="14519.5"/>
    <n v="14289.37"/>
    <n v="230.13"/>
    <s v="Credit card"/>
    <s v="Returned"/>
    <s v="Logan-Nelson"/>
    <s v="josephday@lewis.net"/>
    <n v="11"/>
    <s v="No"/>
    <n v="0"/>
  </r>
  <r>
    <s v="ORD1292"/>
    <x v="235"/>
    <d v="2024-01-20T00:00:00"/>
    <s v="CUST998"/>
    <x v="292"/>
    <x v="2"/>
    <s v="PROD4116"/>
    <s v="Dining Table"/>
    <x v="2"/>
    <x v="0"/>
    <x v="25"/>
    <x v="289"/>
    <n v="9"/>
    <n v="1202"/>
    <n v="5"/>
    <n v="10508.1"/>
    <n v="10277.91"/>
    <n v="230.19"/>
    <s v="UPI"/>
    <s v="Delivered"/>
    <s v="Huber PLC"/>
    <s v="aoneal@taylor-marks.com"/>
    <n v="44"/>
    <s v="No"/>
    <n v="0"/>
  </r>
  <r>
    <s v="ORD1293"/>
    <x v="211"/>
    <d v="2025-09-21T00:00:00"/>
    <s v="CUST816"/>
    <x v="293"/>
    <x v="1"/>
    <s v="PROD7571"/>
    <s v="Cooking oil"/>
    <x v="3"/>
    <x v="0"/>
    <x v="34"/>
    <x v="290"/>
    <n v="3"/>
    <n v="2509"/>
    <n v="5"/>
    <n v="7381.65"/>
    <n v="7151.53"/>
    <n v="230.12"/>
    <s v="Credit card"/>
    <s v="Returned"/>
    <s v="Oconnell-Green"/>
    <s v="hannahsanchez@marshall.com"/>
    <n v="15"/>
    <s v="No"/>
    <n v="0"/>
  </r>
  <r>
    <s v="ORD1294"/>
    <x v="28"/>
    <d v="2025-01-30T00:00:00"/>
    <s v="CUST968"/>
    <x v="294"/>
    <x v="2"/>
    <s v="PROD4343"/>
    <s v="Monitor"/>
    <x v="1"/>
    <x v="1"/>
    <x v="11"/>
    <x v="291"/>
    <n v="5"/>
    <n v="2778"/>
    <n v="15"/>
    <n v="12037.5"/>
    <n v="11807.29"/>
    <n v="230.21"/>
    <s v="Credit card"/>
    <s v="Delivered"/>
    <s v="Long and Sons"/>
    <s v="staylor@fletcher-mills.com"/>
    <n v="29"/>
    <s v="No"/>
    <n v="0"/>
  </r>
  <r>
    <s v="ORD1295"/>
    <x v="236"/>
    <d v="2023-12-07T00:00:00"/>
    <s v="CUST506"/>
    <x v="295"/>
    <x v="0"/>
    <s v="PROD9867"/>
    <s v="Keyboard"/>
    <x v="1"/>
    <x v="0"/>
    <x v="36"/>
    <x v="292"/>
    <n v="8"/>
    <n v="3610"/>
    <n v="5"/>
    <n v="27667"/>
    <n v="27436.77"/>
    <n v="230.23"/>
    <s v="UPI"/>
    <s v="Returned"/>
    <s v="Bates-Bennett"/>
    <s v="christinekrueger@webster-villanueva.com"/>
    <n v="17"/>
    <s v="No"/>
    <n v="0"/>
  </r>
  <r>
    <s v="ORD1296"/>
    <x v="237"/>
    <d v="2024-03-28T00:00:00"/>
    <s v="CUST282"/>
    <x v="296"/>
    <x v="2"/>
    <s v="PROD3899"/>
    <s v="Keyboard"/>
    <x v="1"/>
    <x v="2"/>
    <x v="7"/>
    <x v="293"/>
    <n v="5"/>
    <n v="581"/>
    <n v="15"/>
    <n v="2700.25"/>
    <n v="2470"/>
    <n v="230.25"/>
    <s v="Cash"/>
    <s v="Delivered"/>
    <s v="Fox LLC"/>
    <s v="qoconnell@frederick.com"/>
    <n v="20"/>
    <s v="No"/>
    <n v="0"/>
  </r>
  <r>
    <s v="ORD1297"/>
    <x v="238"/>
    <d v="2025-02-19T00:00:00"/>
    <s v="CUST638"/>
    <x v="297"/>
    <x v="0"/>
    <s v="PROD2764"/>
    <s v="Stapler"/>
    <x v="0"/>
    <x v="3"/>
    <x v="26"/>
    <x v="294"/>
    <n v="2"/>
    <n v="2203"/>
    <n v="15"/>
    <n v="3976.1"/>
    <n v="3745.86"/>
    <n v="230.24"/>
    <s v="UPI"/>
    <s v="Cancelled"/>
    <s v="Hill-Roberts"/>
    <s v="joelmcdaniel@conrad.com"/>
    <n v="22"/>
    <s v="No"/>
    <n v="0"/>
  </r>
  <r>
    <s v="ORD1298"/>
    <x v="234"/>
    <d v="2024-07-24T00:00:00"/>
    <s v="CUST461"/>
    <x v="298"/>
    <x v="0"/>
    <s v="PROD7947"/>
    <s v="Juice Pack"/>
    <x v="3"/>
    <x v="1"/>
    <x v="45"/>
    <x v="295"/>
    <n v="2"/>
    <n v="3462"/>
    <n v="20"/>
    <n v="5770.2"/>
    <n v="5539.8"/>
    <n v="230.4"/>
    <s v="Net Banking"/>
    <s v="Cancelled"/>
    <s v="Thomas-Miller"/>
    <s v="carlparker@carter-reeves.com"/>
    <n v="13"/>
    <s v="No"/>
    <n v="0"/>
  </r>
  <r>
    <s v="ORD1299"/>
    <x v="239"/>
    <d v="2025-04-18T00:00:00"/>
    <s v="CUST664"/>
    <x v="299"/>
    <x v="1"/>
    <s v="PROD6488"/>
    <s v="Rice Bag"/>
    <x v="3"/>
    <x v="0"/>
    <x v="23"/>
    <x v="149"/>
    <n v="1"/>
    <n v="1972"/>
    <n v="0"/>
    <n v="2203"/>
    <n v="1972.61"/>
    <n v="230.39"/>
    <s v="UPI"/>
    <s v="Delivered"/>
    <s v="Vargas-Travis"/>
    <s v="rebeccaevans@miller.info"/>
    <n v="32"/>
    <s v="No"/>
    <n v="0"/>
  </r>
  <r>
    <s v="ORD1300"/>
    <x v="240"/>
    <d v="2024-08-03T00:00:00"/>
    <s v="CUST416"/>
    <x v="300"/>
    <x v="2"/>
    <s v="PROD1548"/>
    <s v="Calculator"/>
    <x v="0"/>
    <x v="0"/>
    <x v="1"/>
    <x v="296"/>
    <n v="10"/>
    <n v="4744"/>
    <n v="5"/>
    <n v="45299"/>
    <n v="45068.65"/>
    <n v="230.35"/>
    <s v="Credit card"/>
    <s v="Delivered"/>
    <s v="Hill, Lewis and Gonzalez"/>
    <s v="kayla09@hanson-bennett.net"/>
    <n v="28"/>
    <s v="No"/>
    <n v="0"/>
  </r>
  <r>
    <s v="ORD1301"/>
    <x v="238"/>
    <d v="2025-02-19T00:00:00"/>
    <s v="CUST113"/>
    <x v="301"/>
    <x v="1"/>
    <s v="PROD6114"/>
    <s v="Calculator"/>
    <x v="0"/>
    <x v="2"/>
    <x v="4"/>
    <x v="297"/>
    <n v="10"/>
    <n v="4965"/>
    <n v="0"/>
    <n v="49881"/>
    <n v="49650.74"/>
    <n v="230.26"/>
    <s v="Cash"/>
    <s v="Delivered"/>
    <s v="Barnes, Morgan and Bauer"/>
    <s v="sarahescobar@huber.com"/>
    <n v="15"/>
    <s v="No"/>
    <n v="0"/>
  </r>
  <r>
    <s v="ORD1302"/>
    <x v="241"/>
    <d v="2024-12-06T00:00:00"/>
    <s v="CUST543"/>
    <x v="302"/>
    <x v="0"/>
    <s v="PROD6082"/>
    <s v="Monitor"/>
    <x v="1"/>
    <x v="3"/>
    <x v="11"/>
    <x v="298"/>
    <n v="1"/>
    <n v="4127"/>
    <n v="20"/>
    <n v="3532.6"/>
    <n v="3302.26"/>
    <n v="230.34"/>
    <s v="Credit card"/>
    <s v="Returned"/>
    <s v="Hicks, Taylor and Harris"/>
    <s v="kevinpalmer@hart.com"/>
    <n v="22"/>
    <s v="No"/>
    <n v="0"/>
  </r>
  <r>
    <s v="ORD1303"/>
    <x v="242"/>
    <d v="2024-02-24T00:00:00"/>
    <s v="CUST256"/>
    <x v="303"/>
    <x v="0"/>
    <s v="PROD4890"/>
    <s v="Keyboard"/>
    <x v="1"/>
    <x v="0"/>
    <x v="33"/>
    <x v="299"/>
    <n v="7"/>
    <n v="333"/>
    <n v="20"/>
    <n v="2095.8000000000002"/>
    <n v="1865.52"/>
    <n v="230.28"/>
    <s v="Cash"/>
    <s v="Pending"/>
    <s v="Ellis Group"/>
    <s v="heather24@harris.net"/>
    <n v="5"/>
    <s v="Yes"/>
    <n v="43"/>
  </r>
  <r>
    <s v="ORD1304"/>
    <x v="243"/>
    <d v="2025-01-04T00:00:00"/>
    <s v="CUST689"/>
    <x v="304"/>
    <x v="2"/>
    <s v="PROD4930"/>
    <s v="Office Chair"/>
    <x v="2"/>
    <x v="1"/>
    <x v="43"/>
    <x v="135"/>
    <n v="4"/>
    <n v="3051"/>
    <n v="5"/>
    <n v="11824.8"/>
    <n v="11594.47"/>
    <n v="230.33"/>
    <s v="Net Banking"/>
    <s v="Returned"/>
    <s v="Forbes, Buchanan and George"/>
    <s v="pho@gates.net"/>
    <n v="34"/>
    <s v="No"/>
    <n v="0"/>
  </r>
  <r>
    <s v="ORD1305"/>
    <x v="244"/>
    <d v="2025-06-01T00:00:00"/>
    <s v="CUST103"/>
    <x v="305"/>
    <x v="0"/>
    <s v="PROD4240"/>
    <s v="Mouse"/>
    <x v="1"/>
    <x v="3"/>
    <x v="31"/>
    <x v="300"/>
    <n v="8"/>
    <n v="4238"/>
    <n v="5"/>
    <n v="32439.8"/>
    <n v="32209.5"/>
    <n v="230.3"/>
    <s v="Cash"/>
    <s v="Cancelled"/>
    <s v="Tucker-Paul"/>
    <s v="erica15@weiss-andrews.com"/>
    <n v="48"/>
    <s v="No"/>
    <n v="0"/>
  </r>
  <r>
    <s v="ORD1306"/>
    <x v="245"/>
    <d v="2024-06-24T00:00:00"/>
    <s v="CUST176"/>
    <x v="306"/>
    <x v="1"/>
    <s v="PROD4807"/>
    <s v="Monitor"/>
    <x v="1"/>
    <x v="0"/>
    <x v="4"/>
    <x v="301"/>
    <n v="7"/>
    <n v="3247"/>
    <n v="20"/>
    <n v="18414.2"/>
    <n v="18183.849999999999"/>
    <n v="230.35"/>
    <s v="Net Banking"/>
    <s v="Pending"/>
    <s v="Collins-Bush"/>
    <s v="martinhenry@farrell-alvarado.net"/>
    <n v="8"/>
    <s v="Yes"/>
    <n v="36"/>
  </r>
  <r>
    <s v="ORD1307"/>
    <x v="246"/>
    <d v="2025-02-26T00:00:00"/>
    <s v="CUST350"/>
    <x v="307"/>
    <x v="1"/>
    <s v="PROD7221"/>
    <s v="Sugar"/>
    <x v="3"/>
    <x v="2"/>
    <x v="18"/>
    <x v="302"/>
    <n v="6"/>
    <n v="1330"/>
    <n v="5"/>
    <n v="7812"/>
    <n v="7581.77"/>
    <n v="230.23"/>
    <s v="Cash"/>
    <s v="Returned"/>
    <s v="Clayton-Hunter"/>
    <s v="kendra64@perez.com"/>
    <n v="8"/>
    <s v="Yes"/>
    <n v="49"/>
  </r>
  <r>
    <s v="ORD1308"/>
    <x v="16"/>
    <d v="2025-11-06T00:00:00"/>
    <s v="CUST590"/>
    <x v="308"/>
    <x v="2"/>
    <s v="PROD2878"/>
    <s v="Rice Bag"/>
    <x v="3"/>
    <x v="0"/>
    <x v="18"/>
    <x v="303"/>
    <n v="3"/>
    <n v="4236"/>
    <n v="15"/>
    <n v="11254.8"/>
    <n v="10802.68"/>
    <n v="452.12"/>
    <s v="Credit card"/>
    <s v="Delivered"/>
    <s v="Mitchell Inc"/>
    <s v="bjohnson@park-jackson.info"/>
    <n v="6"/>
    <s v="Yes"/>
    <n v="22"/>
  </r>
  <r>
    <s v="ORD1309"/>
    <x v="247"/>
    <d v="2024-04-13T00:00:00"/>
    <s v="CUST877"/>
    <x v="309"/>
    <x v="2"/>
    <s v="PROD8759"/>
    <s v="Cooking oil"/>
    <x v="3"/>
    <x v="1"/>
    <x v="4"/>
    <x v="304"/>
    <n v="7"/>
    <n v="436"/>
    <n v="5"/>
    <n v="3352.4"/>
    <n v="2900.16"/>
    <n v="452.24"/>
    <s v="Net Banking"/>
    <s v="Delivered"/>
    <s v="Perry-Rose"/>
    <s v="jacquelinetran@doyle.org"/>
    <n v="37"/>
    <s v="No"/>
    <n v="0"/>
  </r>
  <r>
    <s v="ORD1310"/>
    <x v="149"/>
    <d v="2025-09-29T00:00:00"/>
    <s v="CUST209"/>
    <x v="310"/>
    <x v="0"/>
    <s v="PROD8490"/>
    <s v="Cooking oil"/>
    <x v="3"/>
    <x v="2"/>
    <x v="19"/>
    <x v="305"/>
    <n v="6"/>
    <n v="4303"/>
    <n v="0"/>
    <n v="26271"/>
    <n v="25818.74"/>
    <n v="452.26"/>
    <s v="Cash"/>
    <s v="Returned"/>
    <s v="Bowen, Acosta and Gutierrez"/>
    <s v="robertwade@flores-church.info"/>
    <n v="35"/>
    <s v="No"/>
    <n v="0"/>
  </r>
  <r>
    <s v="ORD1311"/>
    <x v="248"/>
    <d v="2023-12-25T00:00:00"/>
    <s v="CUST169"/>
    <x v="311"/>
    <x v="2"/>
    <s v="PROD7097"/>
    <s v="Notebook"/>
    <x v="0"/>
    <x v="3"/>
    <x v="29"/>
    <x v="306"/>
    <n v="6"/>
    <n v="1042"/>
    <n v="15"/>
    <n v="5767.2"/>
    <n v="5315"/>
    <n v="452.2"/>
    <s v="Cash"/>
    <s v="Pending"/>
    <s v="Robinson-Cruz"/>
    <s v="daniel72@bell.org"/>
    <n v="24"/>
    <s v="No"/>
    <n v="0"/>
  </r>
  <r>
    <s v="ORD1312"/>
    <x v="249"/>
    <d v="2024-05-21T00:00:00"/>
    <s v="CUST790"/>
    <x v="312"/>
    <x v="1"/>
    <s v="PROD2314"/>
    <s v="Snacks"/>
    <x v="3"/>
    <x v="0"/>
    <x v="27"/>
    <x v="307"/>
    <n v="3"/>
    <n v="1891"/>
    <n v="15"/>
    <n v="5275.05"/>
    <n v="4822.82"/>
    <n v="452.23"/>
    <s v="Credit card"/>
    <s v="Returned"/>
    <s v="West LLC"/>
    <s v="elizabethharris@valenzuela.com"/>
    <n v="46"/>
    <s v="No"/>
    <n v="0"/>
  </r>
  <r>
    <s v="ORD1313"/>
    <x v="250"/>
    <d v="2025-08-26T00:00:00"/>
    <s v="CUST184"/>
    <x v="313"/>
    <x v="0"/>
    <s v="PROD6530"/>
    <s v="Sugar"/>
    <x v="3"/>
    <x v="3"/>
    <x v="8"/>
    <x v="308"/>
    <n v="4"/>
    <n v="3061"/>
    <n v="15"/>
    <n v="10860.4"/>
    <n v="10408.09"/>
    <n v="452.31"/>
    <s v="UPI"/>
    <s v="Pending"/>
    <s v="Daniels-Flores"/>
    <s v="shannoncole@leon.com"/>
    <n v="47"/>
    <s v="No"/>
    <n v="0"/>
  </r>
  <r>
    <s v="ORD1314"/>
    <x v="38"/>
    <d v="2025-01-02T00:00:00"/>
    <s v="CUST592"/>
    <x v="314"/>
    <x v="2"/>
    <s v="PROD1364"/>
    <s v="Keyboard"/>
    <x v="1"/>
    <x v="0"/>
    <x v="34"/>
    <x v="309"/>
    <n v="10"/>
    <n v="1283"/>
    <n v="20"/>
    <n v="10717"/>
    <n v="10264.75"/>
    <n v="452.25"/>
    <s v="UPI"/>
    <s v="Delivered"/>
    <s v="Kirk, Anderson and Franklin"/>
    <s v="nolanjesse@higgins-lopez.biz"/>
    <n v="27"/>
    <s v="No"/>
    <n v="0"/>
  </r>
  <r>
    <s v="ORD1315"/>
    <x v="109"/>
    <d v="2025-07-26T00:00:00"/>
    <s v="CUST917"/>
    <x v="315"/>
    <x v="1"/>
    <s v="PROD8250"/>
    <s v="Monitor"/>
    <x v="1"/>
    <x v="2"/>
    <x v="21"/>
    <x v="310"/>
    <n v="9"/>
    <n v="1135"/>
    <n v="20"/>
    <n v="8625"/>
    <n v="8172.74"/>
    <n v="452.26"/>
    <s v="UPI"/>
    <s v="Cancelled"/>
    <s v="Mendez LLC"/>
    <s v="sandovaljeffery@mccarty-cochran.com"/>
    <n v="16"/>
    <s v="No"/>
    <n v="0"/>
  </r>
  <r>
    <s v="ORD1316"/>
    <x v="251"/>
    <d v="2024-04-03T00:00:00"/>
    <s v="CUST529"/>
    <x v="316"/>
    <x v="2"/>
    <s v="PROD6494"/>
    <s v="Keyboard"/>
    <x v="1"/>
    <x v="0"/>
    <x v="34"/>
    <x v="311"/>
    <n v="1"/>
    <n v="1301"/>
    <n v="15"/>
    <n v="1558.85"/>
    <n v="1106.49"/>
    <n v="452.36"/>
    <s v="Cash"/>
    <s v="Returned"/>
    <s v="Walters-Robertson"/>
    <s v="tammy47@fowler-herring.org"/>
    <n v="27"/>
    <s v="No"/>
    <n v="0"/>
  </r>
  <r>
    <s v="ORD1317"/>
    <x v="252"/>
    <d v="2023-12-28T00:00:00"/>
    <s v="CUST285"/>
    <x v="317"/>
    <x v="2"/>
    <s v="PROD5961"/>
    <s v="Notebook"/>
    <x v="0"/>
    <x v="1"/>
    <x v="31"/>
    <x v="312"/>
    <n v="7"/>
    <n v="2090"/>
    <n v="15"/>
    <n v="12888.5"/>
    <n v="12436.13"/>
    <n v="452.37"/>
    <s v="Credit card"/>
    <s v="Pending"/>
    <s v="Carter and Sons"/>
    <s v="lodonnell@jacobs.com"/>
    <n v="36"/>
    <s v="No"/>
    <n v="0"/>
  </r>
  <r>
    <s v="ORD1318"/>
    <x v="253"/>
    <d v="2024-04-10T00:00:00"/>
    <s v="CUST464"/>
    <x v="318"/>
    <x v="0"/>
    <s v="PROD7795"/>
    <s v="Keyboard"/>
    <x v="1"/>
    <x v="1"/>
    <x v="37"/>
    <x v="313"/>
    <n v="8"/>
    <n v="1617"/>
    <n v="15"/>
    <n v="11448.6"/>
    <n v="10996.24"/>
    <n v="452.36"/>
    <s v="Cash"/>
    <s v="Returned"/>
    <s v="Boyle, Smith and Miller"/>
    <s v="floresrandy@lee.biz"/>
    <n v="4"/>
    <s v="Yes"/>
    <n v="43"/>
  </r>
  <r>
    <s v="ORD1319"/>
    <x v="254"/>
    <d v="2024-05-14T00:00:00"/>
    <s v="CUST389"/>
    <x v="319"/>
    <x v="1"/>
    <s v="PROD1597"/>
    <s v="Stapler"/>
    <x v="0"/>
    <x v="2"/>
    <x v="3"/>
    <x v="314"/>
    <n v="8"/>
    <n v="3208"/>
    <n v="20"/>
    <n v="20984.2"/>
    <n v="20532.04"/>
    <n v="452.16"/>
    <s v="UPI"/>
    <s v="Pending"/>
    <s v="Garza and Sons"/>
    <s v="charles21@murphy.biz"/>
    <n v="24"/>
    <s v="No"/>
    <n v="0"/>
  </r>
  <r>
    <s v="ORD1320"/>
    <x v="255"/>
    <d v="2024-06-02T00:00:00"/>
    <s v="CUST699"/>
    <x v="320"/>
    <x v="0"/>
    <s v="PROD1124"/>
    <s v="Sugar"/>
    <x v="3"/>
    <x v="0"/>
    <x v="28"/>
    <x v="315"/>
    <n v="3"/>
    <n v="3522"/>
    <n v="5"/>
    <n v="10490.7"/>
    <n v="10038.59"/>
    <n v="452.11"/>
    <s v="Net Banking"/>
    <s v="Delivered"/>
    <s v="Ford-Olsen"/>
    <s v="martinezchristopher@vaughan.org"/>
    <n v="5"/>
    <s v="Yes"/>
    <n v="26"/>
  </r>
  <r>
    <s v="ORD1321"/>
    <x v="36"/>
    <d v="2024-07-11T00:00:00"/>
    <s v="CUST485"/>
    <x v="321"/>
    <x v="1"/>
    <s v="PROD5805"/>
    <s v="Pen"/>
    <x v="0"/>
    <x v="1"/>
    <x v="6"/>
    <x v="316"/>
    <n v="2"/>
    <n v="107"/>
    <n v="20"/>
    <n v="624.20000000000005"/>
    <n v="171.84"/>
    <n v="452.36"/>
    <s v="Cash"/>
    <s v="Delivered"/>
    <s v="Barry-Carroll"/>
    <s v="vking@young.com"/>
    <n v="11"/>
    <s v="No"/>
    <n v="0"/>
  </r>
  <r>
    <s v="ORD1322"/>
    <x v="256"/>
    <d v="2025-04-14T00:00:00"/>
    <s v="CUST170"/>
    <x v="322"/>
    <x v="0"/>
    <s v="PROD4680"/>
    <s v="Dining Table"/>
    <x v="2"/>
    <x v="0"/>
    <x v="21"/>
    <x v="317"/>
    <n v="8"/>
    <n v="2938"/>
    <n v="5"/>
    <n v="22781.8"/>
    <n v="22329.58"/>
    <n v="452.22"/>
    <s v="Credit card"/>
    <s v="Delivered"/>
    <s v="Moore-Nelson"/>
    <s v="david19@tucker-martinez.com"/>
    <n v="40"/>
    <s v="No"/>
    <n v="0"/>
  </r>
  <r>
    <s v="ORD1323"/>
    <x v="1"/>
    <d v="2025-07-22T00:00:00"/>
    <s v="CUST304"/>
    <x v="323"/>
    <x v="2"/>
    <s v="PROD6236"/>
    <s v="Sofa"/>
    <x v="2"/>
    <x v="3"/>
    <x v="17"/>
    <x v="318"/>
    <n v="6"/>
    <n v="750"/>
    <n v="0"/>
    <n v="4953"/>
    <n v="4500.79"/>
    <n v="452.21"/>
    <s v="UPI"/>
    <s v="Returned"/>
    <s v="Fowler, Smith and Fuentes"/>
    <s v="janicemartin@scott.com"/>
    <n v="39"/>
    <s v="No"/>
    <n v="0"/>
  </r>
  <r>
    <s v="ORD1324"/>
    <x v="257"/>
    <d v="2025-02-07T00:00:00"/>
    <s v="CUST910"/>
    <x v="324"/>
    <x v="2"/>
    <s v="PROD6584"/>
    <s v="Sugar"/>
    <x v="3"/>
    <x v="3"/>
    <x v="9"/>
    <x v="319"/>
    <n v="4"/>
    <n v="436"/>
    <n v="5"/>
    <n v="2109.8000000000002"/>
    <n v="1657.49"/>
    <n v="452.31"/>
    <s v="Cash"/>
    <s v="Delivered"/>
    <s v="Medina and Sons"/>
    <s v="jenniferanderson@stokes-garza.com"/>
    <n v="36"/>
    <s v="No"/>
    <n v="0"/>
  </r>
  <r>
    <s v="ORD1325"/>
    <x v="258"/>
    <d v="2024-05-16T00:00:00"/>
    <s v="CUST244"/>
    <x v="325"/>
    <x v="2"/>
    <s v="PROD6203"/>
    <s v="Office Chair"/>
    <x v="2"/>
    <x v="1"/>
    <x v="26"/>
    <x v="320"/>
    <n v="3"/>
    <n v="108"/>
    <n v="20"/>
    <n v="712.2"/>
    <n v="260.02"/>
    <n v="452.18"/>
    <s v="Credit card"/>
    <s v="Cancelled"/>
    <s v="Miller, Lee and Beck"/>
    <s v="patricialowe@gould.com"/>
    <n v="1"/>
    <s v="Yes"/>
    <n v="33"/>
  </r>
  <r>
    <s v="ORD1326"/>
    <x v="259"/>
    <d v="2025-03-02T00:00:00"/>
    <s v="CUST185"/>
    <x v="326"/>
    <x v="2"/>
    <s v="PROD2826"/>
    <s v="File Folder"/>
    <x v="0"/>
    <x v="0"/>
    <x v="10"/>
    <x v="321"/>
    <n v="5"/>
    <n v="4162"/>
    <n v="5"/>
    <n v="20222.5"/>
    <n v="19770.28"/>
    <n v="452.22"/>
    <s v="Net Banking"/>
    <s v="Cancelled"/>
    <s v="Deleon-Kelley"/>
    <s v="cwolfe@taylor.com"/>
    <n v="24"/>
    <s v="No"/>
    <n v="0"/>
  </r>
  <r>
    <s v="ORD1327"/>
    <x v="260"/>
    <d v="2024-05-26T00:00:00"/>
    <s v="CUST866"/>
    <x v="327"/>
    <x v="0"/>
    <s v="PROD5910"/>
    <s v="Rice Bag"/>
    <x v="3"/>
    <x v="1"/>
    <x v="46"/>
    <x v="322"/>
    <n v="3"/>
    <n v="3487"/>
    <n v="0"/>
    <n v="10914"/>
    <n v="10461.629999999999"/>
    <n v="452.37"/>
    <s v="Cash"/>
    <s v="Cancelled"/>
    <s v="Arnold-Cameron"/>
    <s v="emorse@lewis.net"/>
    <n v="46"/>
    <s v="No"/>
    <n v="0"/>
  </r>
  <r>
    <s v="ORD1328"/>
    <x v="261"/>
    <d v="2024-10-10T00:00:00"/>
    <s v="CUST184"/>
    <x v="328"/>
    <x v="0"/>
    <s v="PROD6244"/>
    <s v="Stapler"/>
    <x v="0"/>
    <x v="0"/>
    <x v="24"/>
    <x v="323"/>
    <n v="2"/>
    <n v="3588"/>
    <n v="10"/>
    <n v="6911.4"/>
    <n v="6459.14"/>
    <n v="452.26"/>
    <s v="Cash"/>
    <s v="Returned"/>
    <s v="Powell PLC"/>
    <s v="qthompson@potter-hardy.com"/>
    <n v="13"/>
    <s v="No"/>
    <n v="0"/>
  </r>
  <r>
    <s v="ORD1329"/>
    <x v="262"/>
    <d v="2024-09-09T00:00:00"/>
    <s v="CUST238"/>
    <x v="329"/>
    <x v="2"/>
    <s v="PROD8645"/>
    <s v="File Folder"/>
    <x v="0"/>
    <x v="1"/>
    <x v="7"/>
    <x v="324"/>
    <n v="3"/>
    <n v="1813"/>
    <n v="10"/>
    <n v="5348.1"/>
    <n v="4895.82"/>
    <n v="452.28"/>
    <s v="Net Banking"/>
    <s v="Pending"/>
    <s v="Haas, Long and Wheeler"/>
    <s v="brandonskinner@berry.com"/>
    <n v="19"/>
    <s v="No"/>
    <n v="0"/>
  </r>
  <r>
    <s v="ORD1330"/>
    <x v="263"/>
    <d v="2024-03-02T00:00:00"/>
    <s v="CUST407"/>
    <x v="330"/>
    <x v="1"/>
    <s v="PROD4878"/>
    <s v="Keyboard"/>
    <x v="1"/>
    <x v="3"/>
    <x v="8"/>
    <x v="325"/>
    <n v="1"/>
    <n v="372"/>
    <n v="5"/>
    <n v="806.4"/>
    <n v="354.11"/>
    <n v="452.29"/>
    <s v="Cash"/>
    <s v="Cancelled"/>
    <s v="Larson, Hays and Schmidt"/>
    <s v="reillydavid@dyer.com"/>
    <n v="13"/>
    <s v="No"/>
    <n v="0"/>
  </r>
  <r>
    <s v="ORD1331"/>
    <x v="264"/>
    <d v="2024-11-02T00:00:00"/>
    <s v="CUST806"/>
    <x v="331"/>
    <x v="1"/>
    <s v="PROD2752"/>
    <s v="Headphones"/>
    <x v="1"/>
    <x v="3"/>
    <x v="11"/>
    <x v="326"/>
    <n v="8"/>
    <n v="681"/>
    <n v="0"/>
    <n v="5901"/>
    <n v="5448.76"/>
    <n v="452.24"/>
    <s v="Credit card"/>
    <s v="Returned"/>
    <s v="Hall, Smith and Matthews"/>
    <s v="castillostuart@lee.com"/>
    <n v="31"/>
    <s v="No"/>
    <n v="0"/>
  </r>
  <r>
    <s v="ORD1332"/>
    <x v="265"/>
    <d v="2025-04-26T00:00:00"/>
    <s v="CUST252"/>
    <x v="332"/>
    <x v="1"/>
    <s v="PROD3487"/>
    <s v="Keyboard"/>
    <x v="1"/>
    <x v="2"/>
    <x v="42"/>
    <x v="327"/>
    <n v="6"/>
    <n v="2064"/>
    <n v="15"/>
    <n v="10979.4"/>
    <n v="10527.11"/>
    <n v="452.29"/>
    <s v="UPI"/>
    <s v="Returned"/>
    <s v="Foster, Andrews and Huffman"/>
    <s v="melanie74@sellers.net"/>
    <n v="50"/>
    <s v="No"/>
    <n v="0"/>
  </r>
  <r>
    <s v="ORD1333"/>
    <x v="266"/>
    <d v="2025-08-15T00:00:00"/>
    <s v="CUST482"/>
    <x v="333"/>
    <x v="0"/>
    <s v="PROD8770"/>
    <s v="Sugar"/>
    <x v="3"/>
    <x v="0"/>
    <x v="0"/>
    <x v="328"/>
    <n v="4"/>
    <n v="3065"/>
    <n v="15"/>
    <n v="10874"/>
    <n v="10421.84"/>
    <n v="452.16"/>
    <s v="Cash"/>
    <s v="Delivered"/>
    <s v="Sullivan-Obrien"/>
    <s v="crystal54@matthews.com"/>
    <n v="3"/>
    <s v="Yes"/>
    <n v="38"/>
  </r>
  <r>
    <s v="ORD1334"/>
    <x v="267"/>
    <d v="2024-09-22T00:00:00"/>
    <s v="CUST679"/>
    <x v="334"/>
    <x v="2"/>
    <s v="PROD3985"/>
    <s v="Snacks"/>
    <x v="3"/>
    <x v="0"/>
    <x v="11"/>
    <x v="329"/>
    <n v="9"/>
    <n v="1781"/>
    <n v="0"/>
    <n v="16482"/>
    <n v="16029.64"/>
    <n v="452.36"/>
    <s v="Credit card"/>
    <s v="Returned"/>
    <s v="Hull-Miller"/>
    <s v="amyjacobs@sellers.net"/>
    <n v="14"/>
    <s v="No"/>
    <n v="0"/>
  </r>
  <r>
    <s v="ORD1335"/>
    <x v="210"/>
    <d v="2023-12-22T00:00:00"/>
    <s v="CUST422"/>
    <x v="335"/>
    <x v="0"/>
    <s v="PROD8421"/>
    <s v="Rice Bag"/>
    <x v="3"/>
    <x v="3"/>
    <x v="2"/>
    <x v="330"/>
    <n v="3"/>
    <n v="3894"/>
    <n v="20"/>
    <n v="9798.6"/>
    <n v="9346.31"/>
    <n v="452.29"/>
    <s v="Cash"/>
    <s v="Returned"/>
    <s v="Yates-Griffin"/>
    <s v="hansonamanda@harris.info"/>
    <n v="25"/>
    <s v="No"/>
    <n v="0"/>
  </r>
  <r>
    <s v="ORD1336"/>
    <x v="8"/>
    <d v="2025-10-16T00:00:00"/>
    <s v="CUST745"/>
    <x v="336"/>
    <x v="1"/>
    <s v="PROD5663"/>
    <s v="Study Table"/>
    <x v="2"/>
    <x v="1"/>
    <x v="23"/>
    <x v="331"/>
    <n v="3"/>
    <n v="4269"/>
    <n v="10"/>
    <n v="11979.3"/>
    <n v="11526.99"/>
    <n v="452.31"/>
    <s v="UPI"/>
    <s v="Cancelled"/>
    <s v="Potter and Sons"/>
    <s v="alexander31@moore.com"/>
    <n v="35"/>
    <s v="No"/>
    <n v="0"/>
  </r>
  <r>
    <s v="ORD1337"/>
    <x v="268"/>
    <d v="2024-12-16T00:00:00"/>
    <s v="CUST435"/>
    <x v="337"/>
    <x v="0"/>
    <s v="PROD6727"/>
    <s v="Snacks"/>
    <x v="3"/>
    <x v="2"/>
    <x v="33"/>
    <x v="332"/>
    <n v="8"/>
    <n v="2795"/>
    <n v="15"/>
    <n v="19459"/>
    <n v="19006.63"/>
    <n v="452.37"/>
    <s v="Net Banking"/>
    <s v="Returned"/>
    <s v="Fisher, Combs and English"/>
    <s v="nathancurry@elliott.com"/>
    <n v="17"/>
    <s v="No"/>
    <n v="0"/>
  </r>
  <r>
    <s v="ORD1338"/>
    <x v="51"/>
    <d v="2025-07-05T00:00:00"/>
    <s v="CUST654"/>
    <x v="338"/>
    <x v="2"/>
    <s v="PROD4684"/>
    <s v="Rice Bag"/>
    <x v="3"/>
    <x v="0"/>
    <x v="18"/>
    <x v="333"/>
    <n v="7"/>
    <n v="299"/>
    <n v="5"/>
    <n v="2441.35"/>
    <n v="1989.11"/>
    <n v="452.24"/>
    <s v="Net Banking"/>
    <s v="Cancelled"/>
    <s v="Pearson-Newman"/>
    <s v="mcgeesydney@perez.com"/>
    <n v="35"/>
    <s v="No"/>
    <n v="0"/>
  </r>
  <r>
    <s v="ORD1339"/>
    <x v="269"/>
    <d v="2024-05-06T00:00:00"/>
    <s v="CUST285"/>
    <x v="339"/>
    <x v="2"/>
    <s v="PROD9854"/>
    <s v="Rice Bag"/>
    <x v="3"/>
    <x v="0"/>
    <x v="10"/>
    <x v="334"/>
    <n v="1"/>
    <n v="2007"/>
    <n v="0"/>
    <n v="2460"/>
    <n v="2007.77"/>
    <n v="452.23"/>
    <s v="UPI"/>
    <s v="Delivered"/>
    <s v="Ferguson-Harrison"/>
    <s v="charles36@collins.com"/>
    <n v="47"/>
    <s v="No"/>
    <n v="0"/>
  </r>
  <r>
    <s v="ORD1340"/>
    <x v="270"/>
    <d v="2024-07-27T00:00:00"/>
    <s v="CUST484"/>
    <x v="340"/>
    <x v="1"/>
    <s v="PROD7614"/>
    <s v="Calculator"/>
    <x v="0"/>
    <x v="3"/>
    <x v="26"/>
    <x v="335"/>
    <n v="8"/>
    <n v="465"/>
    <n v="5"/>
    <n v="3987"/>
    <n v="3534.82"/>
    <n v="452.18"/>
    <s v="Cash"/>
    <s v="Cancelled"/>
    <s v="Pittman Ltd"/>
    <s v="evelyn78@mayo.com"/>
    <n v="6"/>
    <s v="Yes"/>
    <n v="37"/>
  </r>
  <r>
    <s v="ORD1341"/>
    <x v="271"/>
    <d v="2025-04-19T00:00:00"/>
    <s v="CUST727"/>
    <x v="341"/>
    <x v="2"/>
    <s v="PROD9338"/>
    <s v="Mouse"/>
    <x v="1"/>
    <x v="0"/>
    <x v="0"/>
    <x v="336"/>
    <n v="3"/>
    <n v="981"/>
    <n v="10"/>
    <n v="3425.7"/>
    <n v="2649.59"/>
    <n v="776.11"/>
    <s v="Cash"/>
    <s v="Cancelled"/>
    <s v="Weiss, Francis and Flores"/>
    <s v="jvilla@moore.com"/>
    <n v="2"/>
    <s v="Yes"/>
    <n v="39"/>
  </r>
  <r>
    <s v="ORD1342"/>
    <x v="272"/>
    <d v="2024-06-02T00:00:00"/>
    <s v="CUST322"/>
    <x v="342"/>
    <x v="1"/>
    <s v="PROD9082"/>
    <s v="Study Table"/>
    <x v="2"/>
    <x v="3"/>
    <x v="7"/>
    <x v="337"/>
    <n v="2"/>
    <n v="3953"/>
    <n v="5"/>
    <n v="8287.7000000000007"/>
    <n v="7511.45"/>
    <n v="776.25"/>
    <s v="UPI"/>
    <s v="Returned"/>
    <s v="Meyer-Baker"/>
    <s v="patrickdean@cherry-taylor.info"/>
    <n v="46"/>
    <s v="No"/>
    <n v="0"/>
  </r>
  <r>
    <s v="ORD1343"/>
    <x v="273"/>
    <d v="2024-10-10T00:00:00"/>
    <s v="CUST384"/>
    <x v="343"/>
    <x v="1"/>
    <s v="PROD9695"/>
    <s v="Rice Bag"/>
    <x v="3"/>
    <x v="0"/>
    <x v="8"/>
    <x v="338"/>
    <n v="10"/>
    <n v="412"/>
    <n v="20"/>
    <n v="4073"/>
    <n v="3296.71"/>
    <n v="776.29"/>
    <s v="Credit card"/>
    <s v="Returned"/>
    <s v="Ryan, Johnson and Brown"/>
    <s v="barbara55@sparks-rodriguez.org"/>
    <n v="12"/>
    <s v="No"/>
    <n v="0"/>
  </r>
  <r>
    <s v="ORD1344"/>
    <x v="274"/>
    <d v="2025-09-01T00:00:00"/>
    <s v="CUST864"/>
    <x v="344"/>
    <x v="2"/>
    <s v="PROD4175"/>
    <s v="Pen"/>
    <x v="0"/>
    <x v="0"/>
    <x v="34"/>
    <x v="339"/>
    <n v="7"/>
    <n v="3452"/>
    <n v="0"/>
    <n v="24941"/>
    <n v="24164.83"/>
    <n v="776.17"/>
    <s v="Cash"/>
    <s v="Pending"/>
    <s v="Phillips, Flores and Barron"/>
    <s v="robert40@choi.com"/>
    <n v="19"/>
    <s v="No"/>
    <n v="0"/>
  </r>
  <r>
    <s v="ORD1345"/>
    <x v="275"/>
    <d v="2025-05-10T00:00:00"/>
    <s v="CUST170"/>
    <x v="345"/>
    <x v="1"/>
    <s v="PROD7685"/>
    <s v="Stapler"/>
    <x v="0"/>
    <x v="0"/>
    <x v="24"/>
    <x v="340"/>
    <n v="7"/>
    <n v="4690"/>
    <n v="15"/>
    <n v="28682.5"/>
    <n v="27906.39"/>
    <n v="776.11"/>
    <s v="Cash"/>
    <s v="Delivered"/>
    <s v="Simpson, Moore and Ross"/>
    <s v="hjackson@barton-jones.biz"/>
    <n v="50"/>
    <s v="No"/>
    <n v="0"/>
  </r>
  <r>
    <s v="ORD1346"/>
    <x v="276"/>
    <d v="2025-02-20T00:00:00"/>
    <s v="CUST760"/>
    <x v="346"/>
    <x v="0"/>
    <s v="PROD5381"/>
    <s v="Bookshell"/>
    <x v="2"/>
    <x v="2"/>
    <x v="11"/>
    <x v="341"/>
    <n v="7"/>
    <n v="797"/>
    <n v="0"/>
    <n v="6356"/>
    <n v="5579.67"/>
    <n v="776.33"/>
    <s v="Cash"/>
    <s v="Returned"/>
    <s v="Campbell Group"/>
    <s v="mark97@kelly-stevens.com"/>
    <n v="12"/>
    <s v="No"/>
    <n v="0"/>
  </r>
  <r>
    <s v="ORD1347"/>
    <x v="52"/>
    <d v="2025-03-29T00:00:00"/>
    <s v="CUST634"/>
    <x v="347"/>
    <x v="1"/>
    <s v="PROD3342"/>
    <s v="Mouse"/>
    <x v="1"/>
    <x v="3"/>
    <x v="36"/>
    <x v="342"/>
    <n v="4"/>
    <n v="1275"/>
    <n v="20"/>
    <n v="4857"/>
    <n v="4080.7"/>
    <n v="776.3"/>
    <s v="UPI"/>
    <s v="Delivered"/>
    <s v="Hopkins-Lee"/>
    <s v="jerryflynn@wright.com"/>
    <n v="9"/>
    <s v="Yes"/>
    <n v="46"/>
  </r>
  <r>
    <s v="ORD1348"/>
    <x v="277"/>
    <d v="2025-03-26T00:00:00"/>
    <s v="CUST156"/>
    <x v="348"/>
    <x v="0"/>
    <s v="PROD4610"/>
    <s v="Keyboard"/>
    <x v="1"/>
    <x v="1"/>
    <x v="42"/>
    <x v="82"/>
    <n v="1"/>
    <n v="2159"/>
    <n v="20"/>
    <n v="2504.1999999999998"/>
    <n v="1727.81"/>
    <n v="776.39"/>
    <s v="Credit card"/>
    <s v="Pending"/>
    <s v="Brown-Miller"/>
    <s v="nicole88@alexander.net"/>
    <n v="19"/>
    <s v="No"/>
    <n v="0"/>
  </r>
  <r>
    <s v="ORD1349"/>
    <x v="278"/>
    <d v="2025-03-04T00:00:00"/>
    <s v="CUST791"/>
    <x v="349"/>
    <x v="2"/>
    <s v="PROD4998"/>
    <s v="Monitor"/>
    <x v="1"/>
    <x v="0"/>
    <x v="22"/>
    <x v="343"/>
    <n v="1"/>
    <n v="2602"/>
    <n v="5"/>
    <n v="3248.9"/>
    <n v="2472.65"/>
    <n v="776.25"/>
    <s v="UPI"/>
    <s v="Cancelled"/>
    <s v="Manning Inc"/>
    <s v="russellamy@carney.com"/>
    <n v="33"/>
    <s v="No"/>
    <n v="0"/>
  </r>
  <r>
    <s v="ORD1350"/>
    <x v="279"/>
    <d v="2024-12-09T00:00:00"/>
    <s v="CUST936"/>
    <x v="350"/>
    <x v="2"/>
    <s v="PROD2693"/>
    <s v="Notebook"/>
    <x v="0"/>
    <x v="1"/>
    <x v="48"/>
    <x v="344"/>
    <n v="6"/>
    <n v="398"/>
    <n v="10"/>
    <n v="2926.2"/>
    <n v="2149.88"/>
    <n v="776.32"/>
    <s v="Net Banking"/>
    <s v="Pending"/>
    <s v="Holden-Nguyen"/>
    <s v="leeconway@collins-johnson.info"/>
    <n v="47"/>
    <s v="No"/>
    <n v="0"/>
  </r>
  <r>
    <s v="ORD1351"/>
    <x v="280"/>
    <d v="2024-07-24T00:00:00"/>
    <s v="CUST906"/>
    <x v="351"/>
    <x v="0"/>
    <s v="PROD3526"/>
    <s v="Office Chair"/>
    <x v="2"/>
    <x v="2"/>
    <x v="8"/>
    <x v="345"/>
    <n v="1"/>
    <n v="972"/>
    <n v="0"/>
    <n v="1749"/>
    <n v="972.68"/>
    <n v="776.32"/>
    <s v="Cash"/>
    <s v="Pending"/>
    <s v="Smith-Gordon"/>
    <s v="michellegray@edwards.com"/>
    <n v="38"/>
    <s v="No"/>
    <n v="0"/>
  </r>
  <r>
    <s v="ORD1352"/>
    <x v="281"/>
    <d v="2025-10-16T00:00:00"/>
    <s v="CUST423"/>
    <x v="352"/>
    <x v="2"/>
    <s v="PROD9452"/>
    <s v="Laptop"/>
    <x v="1"/>
    <x v="0"/>
    <x v="39"/>
    <x v="346"/>
    <n v="5"/>
    <n v="3617"/>
    <n v="10"/>
    <n v="17053.5"/>
    <n v="16277.23"/>
    <n v="776.27"/>
    <s v="Cash"/>
    <s v="Pending"/>
    <s v="Gomez-Nelson"/>
    <s v="scarrillo@stewart.com"/>
    <n v="32"/>
    <s v="No"/>
    <n v="0"/>
  </r>
  <r>
    <s v="ORD1353"/>
    <x v="282"/>
    <d v="2024-08-10T00:00:00"/>
    <s v="CUST250"/>
    <x v="353"/>
    <x v="0"/>
    <s v="PROD4449"/>
    <s v="Laptop"/>
    <x v="1"/>
    <x v="2"/>
    <x v="28"/>
    <x v="347"/>
    <n v="6"/>
    <n v="4661"/>
    <n v="5"/>
    <n v="27344.7"/>
    <n v="26568.38"/>
    <n v="776.32"/>
    <s v="Net Banking"/>
    <s v="Returned"/>
    <s v="Leach-Padilla"/>
    <s v="kwells@shelton-mcclain.com"/>
    <n v="21"/>
    <s v="No"/>
    <n v="0"/>
  </r>
  <r>
    <s v="ORD1354"/>
    <x v="283"/>
    <d v="2024-01-04T00:00:00"/>
    <s v="CUST129"/>
    <x v="354"/>
    <x v="1"/>
    <s v="PROD1982"/>
    <s v="Bookshell"/>
    <x v="2"/>
    <x v="3"/>
    <x v="12"/>
    <x v="348"/>
    <n v="2"/>
    <n v="2401"/>
    <n v="0"/>
    <n v="5579"/>
    <n v="4802.76"/>
    <n v="776.24"/>
    <s v="Credit card"/>
    <s v="Pending"/>
    <s v="Wilson, Mullen and Love"/>
    <s v="wilsonphilip@alexander-hall.com"/>
    <n v="23"/>
    <s v="No"/>
    <n v="0"/>
  </r>
  <r>
    <s v="ORD1355"/>
    <x v="234"/>
    <d v="2024-07-20T00:00:00"/>
    <s v="CUST594"/>
    <x v="355"/>
    <x v="0"/>
    <s v="PROD8418"/>
    <s v="Monitor"/>
    <x v="1"/>
    <x v="3"/>
    <x v="0"/>
    <x v="349"/>
    <n v="1"/>
    <n v="3523"/>
    <n v="15"/>
    <n v="3771.55"/>
    <n v="2995.41"/>
    <n v="776.14"/>
    <s v="UPI"/>
    <s v="Pending"/>
    <s v="Potter Ltd"/>
    <s v="lewismichael@dean.com"/>
    <n v="5"/>
    <s v="Yes"/>
    <n v="43"/>
  </r>
  <r>
    <s v="ORD1356"/>
    <x v="284"/>
    <d v="2025-04-28T00:00:00"/>
    <s v="CUST570"/>
    <x v="356"/>
    <x v="1"/>
    <s v="PROD2571"/>
    <s v="Rice Bag"/>
    <x v="3"/>
    <x v="0"/>
    <x v="29"/>
    <x v="350"/>
    <n v="6"/>
    <n v="150"/>
    <n v="0"/>
    <n v="1677"/>
    <n v="900.63"/>
    <n v="776.37"/>
    <s v="Credit card"/>
    <s v="Cancelled"/>
    <s v="Mooney Group"/>
    <s v="rwright@johnson.com"/>
    <n v="2"/>
    <s v="Yes"/>
    <n v="37"/>
  </r>
  <r>
    <s v="ORD1357"/>
    <x v="251"/>
    <d v="2024-04-02T00:00:00"/>
    <s v="CUST405"/>
    <x v="357"/>
    <x v="1"/>
    <s v="PROD6519"/>
    <s v="File Folder"/>
    <x v="0"/>
    <x v="1"/>
    <x v="38"/>
    <x v="351"/>
    <n v="3"/>
    <n v="1545"/>
    <n v="0"/>
    <n v="5412"/>
    <n v="4635.8599999999997"/>
    <n v="776.14"/>
    <s v="Credit card"/>
    <s v="Pending"/>
    <s v="Ali, Cox and King"/>
    <s v="ross26@clark-williams.info"/>
    <n v="5"/>
    <s v="Yes"/>
    <n v="22"/>
  </r>
  <r>
    <s v="ORD1358"/>
    <x v="285"/>
    <d v="2025-04-17T00:00:00"/>
    <s v="CUST137"/>
    <x v="358"/>
    <x v="1"/>
    <s v="PROD4808"/>
    <s v="File Folder"/>
    <x v="0"/>
    <x v="3"/>
    <x v="24"/>
    <x v="352"/>
    <n v="5"/>
    <n v="3993"/>
    <n v="5"/>
    <n v="19743.75"/>
    <n v="18967.580000000002"/>
    <n v="776.17"/>
    <s v="Net Banking"/>
    <s v="Cancelled"/>
    <s v="Hamilton-Little"/>
    <s v="elizabethday@acosta.info"/>
    <n v="50"/>
    <s v="No"/>
    <n v="0"/>
  </r>
  <r>
    <s v="ORD1359"/>
    <x v="286"/>
    <d v="2025-05-30T00:00:00"/>
    <s v="CUST987"/>
    <x v="359"/>
    <x v="2"/>
    <s v="PROD6068"/>
    <s v="Sugar"/>
    <x v="3"/>
    <x v="1"/>
    <x v="6"/>
    <x v="353"/>
    <n v="9"/>
    <n v="1748"/>
    <n v="0"/>
    <n v="16509"/>
    <n v="15732.61"/>
    <n v="776.39"/>
    <s v="Cash"/>
    <s v="Cancelled"/>
    <s v="Wilkinson, Hoover and Cox"/>
    <s v="lsaunders@west.info"/>
    <n v="50"/>
    <s v="No"/>
    <n v="0"/>
  </r>
  <r>
    <s v="ORD1360"/>
    <x v="287"/>
    <d v="2024-06-13T00:00:00"/>
    <s v="CUST151"/>
    <x v="360"/>
    <x v="1"/>
    <s v="PROD4202"/>
    <s v="Mouse"/>
    <x v="1"/>
    <x v="0"/>
    <x v="41"/>
    <x v="354"/>
    <n v="4"/>
    <n v="4258"/>
    <n v="15"/>
    <n v="15254.2"/>
    <n v="14478.01"/>
    <n v="776.19"/>
    <s v="UPI"/>
    <s v="Pending"/>
    <s v="Le-Patrick"/>
    <s v="marcusmiller@thompson.com"/>
    <n v="45"/>
    <s v="No"/>
    <n v="0"/>
  </r>
  <r>
    <s v="ORD1361"/>
    <x v="243"/>
    <d v="2025-01-05T00:00:00"/>
    <s v="CUST173"/>
    <x v="361"/>
    <x v="0"/>
    <s v="PROD4827"/>
    <s v="Snacks"/>
    <x v="3"/>
    <x v="1"/>
    <x v="30"/>
    <x v="355"/>
    <n v="3"/>
    <n v="397"/>
    <n v="20"/>
    <n v="1729.8"/>
    <n v="953.66"/>
    <n v="776.14"/>
    <s v="Cash"/>
    <s v="Delivered"/>
    <s v="Jackson, Elliott and Martin"/>
    <s v="jamiepearson@griffin.com"/>
    <n v="37"/>
    <s v="No"/>
    <n v="0"/>
  </r>
  <r>
    <s v="ORD1362"/>
    <x v="82"/>
    <d v="2024-12-29T00:00:00"/>
    <s v="CUST774"/>
    <x v="362"/>
    <x v="2"/>
    <s v="PROD5739"/>
    <s v="Cooking oil"/>
    <x v="3"/>
    <x v="3"/>
    <x v="10"/>
    <x v="356"/>
    <n v="3"/>
    <n v="2331"/>
    <n v="5"/>
    <n v="7420.35"/>
    <n v="6644.22"/>
    <n v="776.13"/>
    <s v="UPI"/>
    <s v="Cancelled"/>
    <s v="Rodgers, Stephens and Green"/>
    <s v="williamsjustin@williams-davis.com"/>
    <n v="41"/>
    <s v="No"/>
    <n v="0"/>
  </r>
  <r>
    <s v="ORD1363"/>
    <x v="6"/>
    <d v="2024-11-26T00:00:00"/>
    <s v="CUST885"/>
    <x v="363"/>
    <x v="0"/>
    <s v="PROD5768"/>
    <s v="Keyboard"/>
    <x v="1"/>
    <x v="1"/>
    <x v="5"/>
    <x v="357"/>
    <n v="6"/>
    <n v="3525"/>
    <n v="5"/>
    <n v="20869.5"/>
    <n v="20093.39"/>
    <n v="776.11"/>
    <s v="Net Banking"/>
    <s v="Cancelled"/>
    <s v="Murray-Griffin"/>
    <s v="whitekaitlyn@reid-mccoy.com"/>
    <n v="33"/>
    <s v="No"/>
    <n v="0"/>
  </r>
  <r>
    <s v="ORD1364"/>
    <x v="43"/>
    <d v="2024-11-15T00:00:00"/>
    <s v="CUST538"/>
    <x v="364"/>
    <x v="1"/>
    <s v="PROD3362"/>
    <s v="File Folder"/>
    <x v="0"/>
    <x v="0"/>
    <x v="20"/>
    <x v="358"/>
    <n v="4"/>
    <n v="1158"/>
    <n v="0"/>
    <n v="5409"/>
    <n v="4632.67"/>
    <n v="776.33"/>
    <s v="Credit card"/>
    <s v="Pending"/>
    <s v="Perry-Marquez"/>
    <s v="bethanyclark@washington-frazier.net"/>
    <n v="29"/>
    <s v="No"/>
    <n v="0"/>
  </r>
  <r>
    <s v="ORD1365"/>
    <x v="166"/>
    <d v="2025-10-03T00:00:00"/>
    <s v="CUST898"/>
    <x v="365"/>
    <x v="2"/>
    <s v="PROD5370"/>
    <s v="Snacks"/>
    <x v="3"/>
    <x v="3"/>
    <x v="34"/>
    <x v="359"/>
    <n v="9"/>
    <n v="4323"/>
    <n v="20"/>
    <n v="31902.6"/>
    <n v="31126.49"/>
    <n v="776.11"/>
    <s v="Net Banking"/>
    <s v="Delivered"/>
    <s v="Miller-Johnson"/>
    <s v="clairebeltran@hernandez.com"/>
    <n v="31"/>
    <s v="No"/>
    <n v="0"/>
  </r>
  <r>
    <s v="ORD1366"/>
    <x v="174"/>
    <d v="2025-03-29T00:00:00"/>
    <s v="CUST922"/>
    <x v="366"/>
    <x v="2"/>
    <s v="PROD2646"/>
    <s v="Sofa"/>
    <x v="2"/>
    <x v="0"/>
    <x v="6"/>
    <x v="360"/>
    <n v="8"/>
    <n v="762"/>
    <n v="20"/>
    <n v="5653.8"/>
    <n v="4877.59"/>
    <n v="776.21"/>
    <s v="Credit card"/>
    <s v="Cancelled"/>
    <s v="Schwartz, Ramirez and Fields"/>
    <s v="bcarter@chang.biz"/>
    <n v="29"/>
    <s v="No"/>
    <n v="0"/>
  </r>
  <r>
    <s v="ORD1367"/>
    <x v="241"/>
    <d v="2024-12-04T00:00:00"/>
    <s v="CUST873"/>
    <x v="367"/>
    <x v="2"/>
    <s v="PROD5735"/>
    <s v="Office Chair"/>
    <x v="2"/>
    <x v="3"/>
    <x v="31"/>
    <x v="361"/>
    <n v="1"/>
    <n v="4715"/>
    <n v="20"/>
    <n v="4549"/>
    <n v="3772.83"/>
    <n v="776.17"/>
    <s v="Net Banking"/>
    <s v="Delivered"/>
    <s v="Calhoun, Reed and Rasmussen"/>
    <s v="michael61@schwartz.info"/>
    <n v="43"/>
    <s v="No"/>
    <n v="0"/>
  </r>
  <r>
    <s v="ORD1368"/>
    <x v="288"/>
    <d v="2024-04-02T00:00:00"/>
    <s v="CUST178"/>
    <x v="368"/>
    <x v="1"/>
    <s v="PROD8115"/>
    <s v="Headphones"/>
    <x v="1"/>
    <x v="1"/>
    <x v="21"/>
    <x v="362"/>
    <n v="10"/>
    <n v="1938"/>
    <n v="0"/>
    <n v="20157"/>
    <n v="19380.650000000001"/>
    <n v="776.35"/>
    <s v="Net Banking"/>
    <s v="Pending"/>
    <s v="Webster, Bailey and Fisher"/>
    <s v="ununez@neal-whitehead.com"/>
    <n v="25"/>
    <s v="No"/>
    <n v="0"/>
  </r>
  <r>
    <s v="ORD1369"/>
    <x v="289"/>
    <d v="2023-12-13T00:00:00"/>
    <s v="CUST236"/>
    <x v="369"/>
    <x v="0"/>
    <s v="PROD8296"/>
    <s v="Sugar"/>
    <x v="3"/>
    <x v="2"/>
    <x v="49"/>
    <x v="363"/>
    <n v="4"/>
    <n v="4557"/>
    <n v="5"/>
    <n v="18093.599999999999"/>
    <n v="17317.38"/>
    <n v="776.22"/>
    <s v="UPI"/>
    <s v="Returned"/>
    <s v="Clarke Group"/>
    <s v="wking@cohen-conley.com"/>
    <n v="31"/>
    <s v="No"/>
    <n v="0"/>
  </r>
  <r>
    <s v="ORD1370"/>
    <x v="290"/>
    <d v="2024-07-03T00:00:00"/>
    <s v="CUST741"/>
    <x v="370"/>
    <x v="2"/>
    <s v="PROD9134"/>
    <s v="Headphones"/>
    <x v="1"/>
    <x v="1"/>
    <x v="15"/>
    <x v="364"/>
    <n v="5"/>
    <n v="2251"/>
    <n v="0"/>
    <n v="12032"/>
    <n v="11255.65"/>
    <n v="776.35"/>
    <s v="UPI"/>
    <s v="Delivered"/>
    <s v="Ochoa Ltd"/>
    <s v="alexander15@tucker-skinner.net"/>
    <n v="49"/>
    <s v="No"/>
    <n v="0"/>
  </r>
  <r>
    <s v="ORD1371"/>
    <x v="291"/>
    <d v="2025-10-23T00:00:00"/>
    <s v="CUST404"/>
    <x v="371"/>
    <x v="0"/>
    <s v="PROD2529"/>
    <s v="Mouse"/>
    <x v="1"/>
    <x v="0"/>
    <x v="39"/>
    <x v="365"/>
    <n v="4"/>
    <n v="346"/>
    <n v="0"/>
    <n v="2161"/>
    <n v="1384.83"/>
    <n v="776.17"/>
    <s v="Cash"/>
    <s v="Delivered"/>
    <s v="Cunningham-Phillips"/>
    <s v="rollinsheather@berry.com"/>
    <n v="15"/>
    <s v="No"/>
    <n v="0"/>
  </r>
  <r>
    <s v="ORD1372"/>
    <x v="292"/>
    <d v="2024-04-18T00:00:00"/>
    <s v="CUST482"/>
    <x v="372"/>
    <x v="0"/>
    <s v="PROD3554"/>
    <s v="Headphones"/>
    <x v="1"/>
    <x v="3"/>
    <x v="42"/>
    <x v="366"/>
    <n v="10"/>
    <n v="963"/>
    <n v="15"/>
    <n v="8962.5"/>
    <n v="8186.24"/>
    <n v="776.26"/>
    <s v="Credit card"/>
    <s v="Cancelled"/>
    <s v="Jones-Hurst"/>
    <s v="gregorymegan@thomas.info"/>
    <n v="19"/>
    <s v="No"/>
    <n v="0"/>
  </r>
  <r>
    <s v="ORD1373"/>
    <x v="293"/>
    <d v="2024-10-02T00:00:00"/>
    <s v="CUST152"/>
    <x v="373"/>
    <x v="0"/>
    <s v="PROD6139"/>
    <s v="File Folder"/>
    <x v="0"/>
    <x v="0"/>
    <x v="23"/>
    <x v="367"/>
    <n v="4"/>
    <n v="686"/>
    <n v="5"/>
    <n v="3383.8"/>
    <n v="2607.69"/>
    <n v="776.11"/>
    <s v="Net Banking"/>
    <s v="Cancelled"/>
    <s v="Taylor-Pierce"/>
    <s v="loretta30@sanders.com"/>
    <n v="16"/>
    <s v="No"/>
    <n v="0"/>
  </r>
  <r>
    <s v="ORD1374"/>
    <x v="135"/>
    <d v="2024-06-14T00:00:00"/>
    <s v="CUST451"/>
    <x v="374"/>
    <x v="0"/>
    <s v="PROD5502"/>
    <s v="Calculator"/>
    <x v="0"/>
    <x v="2"/>
    <x v="20"/>
    <x v="368"/>
    <n v="4"/>
    <n v="3702"/>
    <n v="5"/>
    <n v="14844.6"/>
    <n v="14068.39"/>
    <n v="776.21"/>
    <s v="Net Banking"/>
    <s v="Returned"/>
    <s v="Thomas, Cantu and Dalton"/>
    <s v="shannon65@shepherd-johnson.com"/>
    <n v="19"/>
    <s v="No"/>
    <n v="0"/>
  </r>
  <r>
    <s v="ORD1375"/>
    <x v="4"/>
    <d v="2024-10-25T00:00:00"/>
    <s v="CUST782"/>
    <x v="375"/>
    <x v="1"/>
    <s v="PROD7827"/>
    <s v="Stapler"/>
    <x v="0"/>
    <x v="0"/>
    <x v="16"/>
    <x v="369"/>
    <n v="1"/>
    <n v="135"/>
    <n v="10"/>
    <n v="898.5"/>
    <n v="122.13"/>
    <n v="776.37"/>
    <s v="UPI"/>
    <s v="Cancelled"/>
    <s v="Finley, Benjamin and Duncan"/>
    <s v="nicolesmith@newton.org"/>
    <n v="0"/>
    <s v="Yes"/>
    <n v="29"/>
  </r>
  <r>
    <s v="ORD1376"/>
    <x v="181"/>
    <d v="2025-03-17T00:00:00"/>
    <s v="CUST673"/>
    <x v="376"/>
    <x v="1"/>
    <s v="PROD1395"/>
    <s v="Monitor"/>
    <x v="1"/>
    <x v="0"/>
    <x v="8"/>
    <x v="370"/>
    <n v="8"/>
    <n v="714"/>
    <n v="5"/>
    <n v="6203.4"/>
    <n v="5427.18"/>
    <n v="776.22"/>
    <s v="UPI"/>
    <s v="Delivered"/>
    <s v="Barnes and Sons"/>
    <s v="shelby18@cox.com"/>
    <n v="1"/>
    <s v="Yes"/>
    <n v="35"/>
  </r>
  <r>
    <s v="ORD1377"/>
    <x v="294"/>
    <d v="2024-05-16T00:00:00"/>
    <s v="CUST897"/>
    <x v="377"/>
    <x v="0"/>
    <s v="PROD9588"/>
    <s v="Headphones"/>
    <x v="1"/>
    <x v="2"/>
    <x v="33"/>
    <x v="371"/>
    <n v="6"/>
    <n v="2201"/>
    <n v="0"/>
    <n v="13983"/>
    <n v="13206.8"/>
    <n v="776.2"/>
    <s v="Cash"/>
    <s v="Returned"/>
    <s v="Barnes PLC"/>
    <s v="daniellenewton@oliver.com"/>
    <n v="42"/>
    <s v="No"/>
    <n v="0"/>
  </r>
  <r>
    <s v="ORD1378"/>
    <x v="220"/>
    <d v="2025-09-21T00:00:00"/>
    <s v="CUST162"/>
    <x v="378"/>
    <x v="0"/>
    <s v="PROD9919"/>
    <s v="Cooking oil"/>
    <x v="3"/>
    <x v="1"/>
    <x v="33"/>
    <x v="372"/>
    <n v="2"/>
    <n v="595"/>
    <n v="0"/>
    <n v="1967"/>
    <n v="1190.8800000000001"/>
    <n v="776.12"/>
    <s v="UPI"/>
    <s v="Delivered"/>
    <s v="Thompson, Simpson and Cook"/>
    <s v="adamatkins@johnston.com"/>
    <n v="26"/>
    <s v="No"/>
    <n v="0"/>
  </r>
  <r>
    <s v="ORD1379"/>
    <x v="161"/>
    <d v="2025-03-06T00:00:00"/>
    <s v="CUST279"/>
    <x v="379"/>
    <x v="0"/>
    <s v="PROD6340"/>
    <s v="Pen"/>
    <x v="0"/>
    <x v="2"/>
    <x v="6"/>
    <x v="373"/>
    <n v="8"/>
    <n v="1988"/>
    <n v="5"/>
    <n v="15885.8"/>
    <n v="15109.5"/>
    <n v="776.3"/>
    <s v="Net Banking"/>
    <s v="Returned"/>
    <s v="Hays, Andrade and Brown"/>
    <s v="tammyhill@barker.biz"/>
    <n v="29"/>
    <s v="No"/>
    <n v="0"/>
  </r>
  <r>
    <s v="ORD1380"/>
    <x v="72"/>
    <d v="2024-01-26T00:00:00"/>
    <s v="CUST798"/>
    <x v="157"/>
    <x v="2"/>
    <s v="PROD9778"/>
    <s v="File Folder"/>
    <x v="0"/>
    <x v="0"/>
    <x v="17"/>
    <x v="374"/>
    <n v="3"/>
    <n v="2696"/>
    <n v="20"/>
    <n v="7247.4"/>
    <n v="6471.02"/>
    <n v="776.38"/>
    <s v="Net Banking"/>
    <s v="Delivered"/>
    <s v="Torres Group"/>
    <s v="boltonjo@campbell-lewis.com"/>
    <n v="41"/>
    <s v="No"/>
    <n v="0"/>
  </r>
  <r>
    <s v="ORD1381"/>
    <x v="155"/>
    <d v="2024-07-04T00:00:00"/>
    <s v="CUST671"/>
    <x v="380"/>
    <x v="2"/>
    <s v="PROD7954"/>
    <s v="Rice Bag"/>
    <x v="3"/>
    <x v="1"/>
    <x v="27"/>
    <x v="375"/>
    <n v="3"/>
    <n v="3632"/>
    <n v="0"/>
    <n v="11673"/>
    <n v="10896.89"/>
    <n v="776.11"/>
    <s v="UPI"/>
    <s v="Returned"/>
    <s v="Morris-White"/>
    <s v="jamesthomas@nelson.net"/>
    <n v="4"/>
    <s v="Yes"/>
    <n v="35"/>
  </r>
  <r>
    <s v="ORD1382"/>
    <x v="295"/>
    <d v="2025-10-10T00:00:00"/>
    <s v="CUST676"/>
    <x v="381"/>
    <x v="1"/>
    <s v="PROD2038"/>
    <s v="Keyboard"/>
    <x v="1"/>
    <x v="3"/>
    <x v="0"/>
    <x v="376"/>
    <n v="10"/>
    <n v="189"/>
    <n v="20"/>
    <n v="2289"/>
    <n v="1512.88"/>
    <n v="776.12"/>
    <s v="Net Banking"/>
    <s v="Cancelled"/>
    <s v="Thomas PLC"/>
    <s v="tlewis@mann-adams.com"/>
    <n v="18"/>
    <s v="No"/>
    <n v="0"/>
  </r>
  <r>
    <s v="ORD1383"/>
    <x v="296"/>
    <d v="2025-06-24T00:00:00"/>
    <s v="CUST164"/>
    <x v="382"/>
    <x v="2"/>
    <s v="PROD7119"/>
    <s v="Notebook"/>
    <x v="0"/>
    <x v="2"/>
    <x v="20"/>
    <x v="377"/>
    <n v="5"/>
    <n v="2971"/>
    <n v="5"/>
    <n v="14889.25"/>
    <n v="14113.1"/>
    <n v="776.15"/>
    <s v="Net Banking"/>
    <s v="Cancelled"/>
    <s v="Mitchell PLC"/>
    <s v="taradaniel@fields.net"/>
    <n v="1"/>
    <s v="Yes"/>
    <n v="21"/>
  </r>
  <r>
    <s v="ORD1384"/>
    <x v="297"/>
    <d v="2024-04-21T00:00:00"/>
    <s v="CUST143"/>
    <x v="383"/>
    <x v="2"/>
    <s v="PROD2088"/>
    <s v="Dining Table"/>
    <x v="2"/>
    <x v="2"/>
    <x v="47"/>
    <x v="378"/>
    <n v="2"/>
    <n v="2786"/>
    <n v="0"/>
    <n v="6349"/>
    <n v="5572.88"/>
    <n v="776.12"/>
    <s v="Cash"/>
    <s v="Delivered"/>
    <s v="Murphy-Graham"/>
    <s v="popecarrie@chambers-freeman.com"/>
    <n v="38"/>
    <s v="No"/>
    <n v="0"/>
  </r>
  <r>
    <s v="ORD1385"/>
    <x v="298"/>
    <d v="2024-04-14T00:00:00"/>
    <s v="CUST167"/>
    <x v="384"/>
    <x v="0"/>
    <s v="PROD9629"/>
    <s v="Study Table"/>
    <x v="2"/>
    <x v="2"/>
    <x v="47"/>
    <x v="379"/>
    <n v="5"/>
    <n v="3074"/>
    <n v="5"/>
    <n v="15378.5"/>
    <n v="14602.39"/>
    <n v="776.11"/>
    <s v="Cash"/>
    <s v="Pending"/>
    <s v="Shelton, Hubbard and Black"/>
    <s v="taylor52@baker-burns.info"/>
    <n v="34"/>
    <s v="No"/>
    <n v="0"/>
  </r>
  <r>
    <s v="ORD1386"/>
    <x v="163"/>
    <d v="2025-04-02T00:00:00"/>
    <s v="CUST426"/>
    <x v="385"/>
    <x v="1"/>
    <s v="PROD9945"/>
    <s v="Pen"/>
    <x v="0"/>
    <x v="3"/>
    <x v="28"/>
    <x v="380"/>
    <n v="1"/>
    <n v="2166"/>
    <n v="0"/>
    <n v="2943"/>
    <n v="2166.69"/>
    <n v="776.31"/>
    <s v="Cash"/>
    <s v="Cancelled"/>
    <s v="Ford, Brown and Richardson"/>
    <s v="stephanie69@reilly.com"/>
    <n v="28"/>
    <s v="No"/>
    <n v="0"/>
  </r>
  <r>
    <s v="ORD1387"/>
    <x v="39"/>
    <d v="2025-10-20T00:00:00"/>
    <s v="CUST200"/>
    <x v="386"/>
    <x v="0"/>
    <s v="PROD9664"/>
    <s v="Mouse"/>
    <x v="1"/>
    <x v="0"/>
    <x v="37"/>
    <x v="381"/>
    <n v="1"/>
    <n v="3021"/>
    <n v="5"/>
    <n v="3646.95"/>
    <n v="2870.82"/>
    <n v="776.13"/>
    <s v="Net Banking"/>
    <s v="Returned"/>
    <s v="Morgan, Mills and Murray"/>
    <s v="wsmith@benson.net"/>
    <n v="47"/>
    <s v="No"/>
    <n v="0"/>
  </r>
  <r>
    <s v="ORD1388"/>
    <x v="299"/>
    <d v="2024-08-10T00:00:00"/>
    <s v="CUST159"/>
    <x v="387"/>
    <x v="1"/>
    <s v="PROD1741"/>
    <s v="Mouse"/>
    <x v="1"/>
    <x v="2"/>
    <x v="7"/>
    <x v="382"/>
    <n v="6"/>
    <n v="2120"/>
    <n v="5"/>
    <n v="12861"/>
    <n v="12084.85"/>
    <n v="776.15"/>
    <s v="Cash"/>
    <s v="Cancelled"/>
    <s v="Henderson Ltd"/>
    <s v="deckersusan@morris.net"/>
    <n v="22"/>
    <s v="No"/>
    <n v="0"/>
  </r>
  <r>
    <s v="ORD1389"/>
    <x v="250"/>
    <d v="2025-08-31T00:00:00"/>
    <s v="CUST983"/>
    <x v="388"/>
    <x v="0"/>
    <s v="PROD1656"/>
    <s v="Snacks"/>
    <x v="3"/>
    <x v="0"/>
    <x v="29"/>
    <x v="383"/>
    <n v="10"/>
    <n v="895"/>
    <n v="10"/>
    <n v="8832"/>
    <n v="8055.69"/>
    <n v="776.31"/>
    <s v="Credit card"/>
    <s v="Cancelled"/>
    <s v="Hickman, Ray and Hunt"/>
    <s v="velezcaitlin@peterson-zimmerman.com"/>
    <n v="7"/>
    <s v="Yes"/>
    <n v="48"/>
  </r>
  <r>
    <s v="ORD1390"/>
    <x v="145"/>
    <d v="2024-07-08T00:00:00"/>
    <s v="CUST102"/>
    <x v="389"/>
    <x v="1"/>
    <s v="PROD8141"/>
    <s v="Laptop"/>
    <x v="1"/>
    <x v="3"/>
    <x v="8"/>
    <x v="384"/>
    <n v="7"/>
    <n v="2505"/>
    <n v="15"/>
    <n v="15681.75"/>
    <n v="14905.41"/>
    <n v="776.34"/>
    <s v="Credit card"/>
    <s v="Returned"/>
    <s v="Shannon LLC"/>
    <s v="angela54@erickson-mann.org"/>
    <n v="41"/>
    <s v="No"/>
    <n v="0"/>
  </r>
  <r>
    <s v="ORD1391"/>
    <x v="21"/>
    <d v="2024-03-16T00:00:00"/>
    <s v="CUST545"/>
    <x v="390"/>
    <x v="1"/>
    <s v="PROD2218"/>
    <s v="Monitor"/>
    <x v="1"/>
    <x v="3"/>
    <x v="44"/>
    <x v="385"/>
    <n v="8"/>
    <n v="3026"/>
    <n v="10"/>
    <n v="22564.2"/>
    <n v="21787.98"/>
    <n v="776.22"/>
    <s v="Cash"/>
    <s v="Delivered"/>
    <s v="Harris-Webster"/>
    <s v="matthew59@gilbert.com"/>
    <n v="18"/>
    <s v="No"/>
    <n v="0"/>
  </r>
  <r>
    <s v="ORD1392"/>
    <x v="213"/>
    <d v="2023-11-07T00:00:00"/>
    <s v="CUST742"/>
    <x v="391"/>
    <x v="2"/>
    <s v="PROD6302"/>
    <s v="Sofa"/>
    <x v="2"/>
    <x v="0"/>
    <x v="49"/>
    <x v="386"/>
    <n v="7"/>
    <n v="3289"/>
    <n v="20"/>
    <n v="19195.400000000001"/>
    <n v="18419.169999999998"/>
    <n v="776.23"/>
    <s v="Cash"/>
    <s v="Cancelled"/>
    <s v="Finley PLC"/>
    <s v="lewisgina@sampson.net"/>
    <n v="45"/>
    <s v="No"/>
    <n v="0"/>
  </r>
  <r>
    <s v="ORD1393"/>
    <x v="300"/>
    <d v="2024-01-14T00:00:00"/>
    <s v="CUST656"/>
    <x v="392"/>
    <x v="1"/>
    <s v="PROD2244"/>
    <s v="Keyboard"/>
    <x v="1"/>
    <x v="2"/>
    <x v="36"/>
    <x v="387"/>
    <n v="5"/>
    <n v="2947"/>
    <n v="20"/>
    <n v="12565"/>
    <n v="11788.87"/>
    <n v="776.13"/>
    <s v="Credit card"/>
    <s v="Returned"/>
    <s v="Waters, Larson and Hensley"/>
    <s v="rachael32@harris.com"/>
    <n v="43"/>
    <s v="No"/>
    <n v="0"/>
  </r>
  <r>
    <s v="ORD1394"/>
    <x v="301"/>
    <d v="2024-10-10T00:00:00"/>
    <s v="CUST879"/>
    <x v="393"/>
    <x v="0"/>
    <s v="PROD4884"/>
    <s v="Mouse"/>
    <x v="1"/>
    <x v="0"/>
    <x v="16"/>
    <x v="388"/>
    <n v="1"/>
    <n v="509"/>
    <n v="0"/>
    <n v="1286"/>
    <n v="509.73"/>
    <n v="776.27"/>
    <s v="Cash"/>
    <s v="Returned"/>
    <s v="Thompson Group"/>
    <s v="michellehernandez@shaw.com"/>
    <n v="38"/>
    <s v="No"/>
    <n v="0"/>
  </r>
  <r>
    <s v="ORD1395"/>
    <x v="65"/>
    <d v="2024-01-20T00:00:00"/>
    <s v="CUST729"/>
    <x v="394"/>
    <x v="1"/>
    <s v="PROD2712"/>
    <s v="Calculator"/>
    <x v="0"/>
    <x v="3"/>
    <x v="39"/>
    <x v="389"/>
    <n v="6"/>
    <n v="4106"/>
    <n v="10"/>
    <n v="22949.4"/>
    <n v="22173.13"/>
    <n v="776.27"/>
    <s v="Credit card"/>
    <s v="Delivered"/>
    <s v="Hawkins-Barker"/>
    <s v="angela94@gallagher-roth.biz"/>
    <n v="44"/>
    <s v="No"/>
    <n v="0"/>
  </r>
  <r>
    <s v="ORD1396"/>
    <x v="302"/>
    <d v="2025-07-04T00:00:00"/>
    <s v="CUST900"/>
    <x v="395"/>
    <x v="2"/>
    <s v="PROD7461"/>
    <s v="Laptop"/>
    <x v="1"/>
    <x v="1"/>
    <x v="28"/>
    <x v="390"/>
    <n v="10"/>
    <n v="2709"/>
    <n v="15"/>
    <n v="23803.5"/>
    <n v="23027.19"/>
    <n v="776.31"/>
    <s v="Cash"/>
    <s v="Returned"/>
    <s v="Jones, Walters and Anderson"/>
    <s v="ctorres@peck.com"/>
    <n v="50"/>
    <s v="No"/>
    <n v="0"/>
  </r>
  <r>
    <s v="ORD1397"/>
    <x v="96"/>
    <d v="2025-10-22T00:00:00"/>
    <s v="CUST978"/>
    <x v="396"/>
    <x v="0"/>
    <s v="PROD5408"/>
    <s v="File Folder"/>
    <x v="0"/>
    <x v="0"/>
    <x v="11"/>
    <x v="391"/>
    <n v="3"/>
    <n v="1563"/>
    <n v="20"/>
    <n v="4528.2"/>
    <n v="3752.08"/>
    <n v="776.12"/>
    <s v="UPI"/>
    <s v="Pending"/>
    <s v="Middleton, Merritt and Vargas"/>
    <s v="bryangarcia@alvarez.com"/>
    <n v="46"/>
    <s v="No"/>
    <n v="0"/>
  </r>
  <r>
    <s v="ORD1398"/>
    <x v="303"/>
    <d v="2025-03-08T00:00:00"/>
    <s v="CUST474"/>
    <x v="397"/>
    <x v="1"/>
    <s v="PROD2301"/>
    <s v="Laptop"/>
    <x v="1"/>
    <x v="3"/>
    <x v="3"/>
    <x v="392"/>
    <n v="8"/>
    <n v="2621"/>
    <n v="10"/>
    <n v="19648.2"/>
    <n v="18872.009999999998"/>
    <n v="776.19"/>
    <s v="Credit card"/>
    <s v="Returned"/>
    <s v="Beasley, Gray and Armstrong"/>
    <s v="jgarcia@marquez.com"/>
    <n v="5"/>
    <s v="Yes"/>
    <n v="38"/>
  </r>
  <r>
    <s v="ORD1399"/>
    <x v="228"/>
    <d v="2024-08-18T00:00:00"/>
    <s v="CUST784"/>
    <x v="398"/>
    <x v="1"/>
    <s v="PROD2753"/>
    <s v="Bookshell"/>
    <x v="2"/>
    <x v="2"/>
    <x v="31"/>
    <x v="393"/>
    <n v="7"/>
    <n v="2279"/>
    <n v="5"/>
    <n v="15932.35"/>
    <n v="15156.17"/>
    <n v="776.18"/>
    <s v="Cash"/>
    <s v="Cancelled"/>
    <s v="Morgan Inc"/>
    <s v="jbailey@herring-torres.biz"/>
    <n v="15"/>
    <s v="No"/>
    <n v="0"/>
  </r>
  <r>
    <s v="ORD1400"/>
    <x v="304"/>
    <d v="2024-01-25T00:00:00"/>
    <s v="CUST808"/>
    <x v="399"/>
    <x v="0"/>
    <s v="PROD1185"/>
    <s v="Office Chair"/>
    <x v="2"/>
    <x v="3"/>
    <x v="30"/>
    <x v="394"/>
    <n v="9"/>
    <n v="3921"/>
    <n v="20"/>
    <n v="29008.2"/>
    <n v="28231.95"/>
    <n v="776.25"/>
    <s v="Credit card"/>
    <s v="Cancelled"/>
    <s v="Carter-Pace"/>
    <s v="ustark@davis.biz"/>
    <n v="44"/>
    <s v="No"/>
    <n v="0"/>
  </r>
  <r>
    <s v="ORD1401"/>
    <x v="305"/>
    <d v="2025-05-13T00:00:00"/>
    <s v="CUST811"/>
    <x v="400"/>
    <x v="0"/>
    <s v="PROD5409"/>
    <s v="Headphones"/>
    <x v="1"/>
    <x v="1"/>
    <x v="48"/>
    <x v="395"/>
    <n v="6"/>
    <n v="3178"/>
    <n v="0"/>
    <n v="19845"/>
    <n v="19068.759999999998"/>
    <n v="776.24"/>
    <s v="Credit card"/>
    <s v="Cancelled"/>
    <s v="Nixon, Robertson and Holloway"/>
    <s v="tmartinez@burton.com"/>
    <n v="37"/>
    <s v="No"/>
    <n v="0"/>
  </r>
  <r>
    <s v="ORD1402"/>
    <x v="306"/>
    <d v="2024-12-24T00:00:00"/>
    <s v="CUST182"/>
    <x v="401"/>
    <x v="0"/>
    <s v="PROD8976"/>
    <s v="Stapler"/>
    <x v="0"/>
    <x v="0"/>
    <x v="8"/>
    <x v="396"/>
    <n v="7"/>
    <n v="2951"/>
    <n v="0"/>
    <n v="21434"/>
    <n v="20657.73"/>
    <n v="776.27"/>
    <s v="UPI"/>
    <s v="Returned"/>
    <s v="Ayers, Pennington and Hunter"/>
    <s v="jacob32@whitaker-bennett.info"/>
    <n v="33"/>
    <s v="No"/>
    <n v="0"/>
  </r>
  <r>
    <s v="ORD1403"/>
    <x v="236"/>
    <d v="2023-12-12T00:00:00"/>
    <s v="CUST957"/>
    <x v="402"/>
    <x v="1"/>
    <s v="PROD1205"/>
    <s v="Laptop"/>
    <x v="1"/>
    <x v="0"/>
    <x v="46"/>
    <x v="397"/>
    <n v="6"/>
    <n v="2735"/>
    <n v="0"/>
    <n v="17187"/>
    <n v="16410.71"/>
    <n v="776.29"/>
    <s v="Net Banking"/>
    <s v="Cancelled"/>
    <s v="Smith, Fuller and Spencer"/>
    <s v="ubennett@dawson-green.net"/>
    <n v="47"/>
    <s v="No"/>
    <n v="0"/>
  </r>
  <r>
    <s v="ORD1404"/>
    <x v="307"/>
    <d v="2025-09-08T00:00:00"/>
    <s v="CUST193"/>
    <x v="403"/>
    <x v="1"/>
    <s v="PROD9073"/>
    <s v="Snacks"/>
    <x v="3"/>
    <x v="3"/>
    <x v="6"/>
    <x v="398"/>
    <n v="2"/>
    <n v="790"/>
    <n v="5"/>
    <n v="2278"/>
    <n v="1501.84"/>
    <n v="776.16"/>
    <s v="Credit card"/>
    <s v="Pending"/>
    <s v="Young Group"/>
    <s v="andrewmyers@hall-romero.com"/>
    <n v="28"/>
    <s v="No"/>
    <n v="0"/>
  </r>
  <r>
    <s v="ORD1405"/>
    <x v="308"/>
    <d v="2025-05-17T00:00:00"/>
    <s v="CUST626"/>
    <x v="404"/>
    <x v="1"/>
    <s v="PROD5783"/>
    <s v="Office Chair"/>
    <x v="2"/>
    <x v="2"/>
    <x v="46"/>
    <x v="399"/>
    <n v="8"/>
    <n v="4693"/>
    <n v="5"/>
    <n v="36443.800000000003"/>
    <n v="35667.43"/>
    <n v="776.37"/>
    <s v="Cash"/>
    <s v="Returned"/>
    <s v="Horne, Smith and Patton"/>
    <s v="beckerelizabeth@matthews.net"/>
    <n v="37"/>
    <s v="No"/>
    <n v="0"/>
  </r>
  <r>
    <s v="ORD1406"/>
    <x v="86"/>
    <d v="2025-04-18T00:00:00"/>
    <s v="CUST821"/>
    <x v="405"/>
    <x v="2"/>
    <s v="PROD9315"/>
    <s v="Office Chair"/>
    <x v="2"/>
    <x v="3"/>
    <x v="32"/>
    <x v="400"/>
    <n v="2"/>
    <n v="3068"/>
    <n v="15"/>
    <n v="5992.6"/>
    <n v="5216.25"/>
    <n v="776.35"/>
    <s v="Cash"/>
    <s v="Delivered"/>
    <s v="Simon, Robertson and Martin"/>
    <s v="racheljohnson@foster.com"/>
    <n v="41"/>
    <s v="No"/>
    <n v="0"/>
  </r>
  <r>
    <s v="ORD1407"/>
    <x v="57"/>
    <d v="2024-06-17T00:00:00"/>
    <s v="CUST283"/>
    <x v="406"/>
    <x v="2"/>
    <s v="PROD8028"/>
    <s v="Cooking oil"/>
    <x v="3"/>
    <x v="3"/>
    <x v="30"/>
    <x v="401"/>
    <n v="2"/>
    <n v="4422"/>
    <n v="15"/>
    <n v="8294.4"/>
    <n v="7518.12"/>
    <n v="776.28"/>
    <s v="UPI"/>
    <s v="Delivered"/>
    <s v="Flynn Group"/>
    <s v="zjenkins@cruz.com"/>
    <n v="6"/>
    <s v="Yes"/>
    <n v="38"/>
  </r>
  <r>
    <s v="ORD1408"/>
    <x v="305"/>
    <d v="2025-05-13T00:00:00"/>
    <s v="CUST282"/>
    <x v="407"/>
    <x v="0"/>
    <s v="PROD9949"/>
    <s v="Headphones"/>
    <x v="1"/>
    <x v="0"/>
    <x v="49"/>
    <x v="402"/>
    <n v="9"/>
    <n v="3937"/>
    <n v="15"/>
    <n v="30895.05"/>
    <n v="30118.92"/>
    <n v="776.13"/>
    <s v="UPI"/>
    <s v="Returned"/>
    <s v="Ortega, Carey and Wood"/>
    <s v="wjohnson@mclean-kirby.net"/>
    <n v="22"/>
    <s v="No"/>
    <n v="0"/>
  </r>
  <r>
    <s v="ORD1409"/>
    <x v="81"/>
    <d v="2024-09-18T00:00:00"/>
    <s v="CUST304"/>
    <x v="408"/>
    <x v="0"/>
    <s v="PROD3962"/>
    <s v="Bookshell"/>
    <x v="2"/>
    <x v="0"/>
    <x v="48"/>
    <x v="403"/>
    <n v="2"/>
    <n v="3619"/>
    <n v="20"/>
    <n v="6567.4"/>
    <n v="5791.26"/>
    <n v="776.14"/>
    <s v="Credit card"/>
    <s v="Returned"/>
    <s v="James-Rivera"/>
    <s v="dallen@perez.org"/>
    <n v="43"/>
    <s v="No"/>
    <n v="0"/>
  </r>
  <r>
    <s v="ORD1410"/>
    <x v="309"/>
    <d v="2024-09-12T00:00:00"/>
    <s v="CUST903"/>
    <x v="409"/>
    <x v="1"/>
    <s v="PROD6261"/>
    <s v="Study Table"/>
    <x v="2"/>
    <x v="2"/>
    <x v="45"/>
    <x v="404"/>
    <n v="7"/>
    <n v="1347"/>
    <n v="0"/>
    <n v="10206"/>
    <n v="9429.7099999999991"/>
    <n v="776.29"/>
    <s v="Cash"/>
    <s v="Returned"/>
    <s v="Fischer, Rodriguez and Patrick"/>
    <s v="johnjohnson@carter.com"/>
    <n v="46"/>
    <s v="No"/>
    <n v="0"/>
  </r>
  <r>
    <s v="ORD1411"/>
    <x v="115"/>
    <d v="2025-01-25T00:00:00"/>
    <s v="CUST722"/>
    <x v="410"/>
    <x v="0"/>
    <s v="PROD8441"/>
    <s v="File Folder"/>
    <x v="0"/>
    <x v="1"/>
    <x v="23"/>
    <x v="405"/>
    <n v="5"/>
    <n v="3375"/>
    <n v="0"/>
    <n v="17652"/>
    <n v="16875.75"/>
    <n v="776.25"/>
    <s v="Net Banking"/>
    <s v="Cancelled"/>
    <s v="Velasquez Inc"/>
    <s v="vaughndanielle@lewis-jones.com"/>
    <n v="21"/>
    <s v="No"/>
    <n v="0"/>
  </r>
  <r>
    <s v="ORD1412"/>
    <x v="238"/>
    <d v="2025-02-13T00:00:00"/>
    <s v="CUST978"/>
    <x v="411"/>
    <x v="1"/>
    <s v="PROD4367"/>
    <s v="Keyboard"/>
    <x v="1"/>
    <x v="1"/>
    <x v="37"/>
    <x v="406"/>
    <n v="1"/>
    <n v="771"/>
    <n v="0"/>
    <n v="1548"/>
    <n v="771.79"/>
    <n v="776.21"/>
    <s v="Cash"/>
    <s v="Returned"/>
    <s v="Cooper, English and Garcia"/>
    <s v="kcurtis@kent.net"/>
    <n v="47"/>
    <s v="No"/>
    <n v="0"/>
  </r>
  <r>
    <s v="ORD1413"/>
    <x v="169"/>
    <d v="2025-11-08T00:00:00"/>
    <s v="CUST442"/>
    <x v="412"/>
    <x v="2"/>
    <s v="PROD4384"/>
    <s v="Rice Bag"/>
    <x v="3"/>
    <x v="3"/>
    <x v="36"/>
    <x v="407"/>
    <n v="9"/>
    <n v="552"/>
    <n v="10"/>
    <n v="5248.2"/>
    <n v="4471.95"/>
    <n v="776.25"/>
    <s v="UPI"/>
    <s v="Cancelled"/>
    <s v="Mercer, Barnett and Barron"/>
    <s v="travis02@gutierrez.com"/>
    <n v="28"/>
    <s v="No"/>
    <n v="0"/>
  </r>
  <r>
    <s v="ORD1414"/>
    <x v="310"/>
    <d v="2024-01-27T00:00:00"/>
    <s v="CUST666"/>
    <x v="413"/>
    <x v="2"/>
    <s v="PROD2925"/>
    <s v="Sugar"/>
    <x v="3"/>
    <x v="0"/>
    <x v="17"/>
    <x v="408"/>
    <n v="9"/>
    <n v="3739"/>
    <n v="5"/>
    <n v="32745.45"/>
    <n v="31969.32"/>
    <n v="776.13"/>
    <s v="Credit card"/>
    <s v="Pending"/>
    <s v="White, Fox and Perez"/>
    <s v="uwong@meyer-hudson.com"/>
    <n v="8"/>
    <s v="Yes"/>
    <n v="42"/>
  </r>
  <r>
    <s v="ORD1415"/>
    <x v="311"/>
    <d v="2024-04-09T00:00:00"/>
    <s v="CUST907"/>
    <x v="122"/>
    <x v="1"/>
    <s v="PROD8660"/>
    <s v="Bookshell"/>
    <x v="2"/>
    <x v="2"/>
    <x v="33"/>
    <x v="409"/>
    <n v="3"/>
    <n v="2775"/>
    <n v="0"/>
    <n v="9102"/>
    <n v="8325.7900000000009"/>
    <n v="776.21"/>
    <s v="Credit card"/>
    <s v="Cancelled"/>
    <s v="Smith, Anderson and Burns"/>
    <s v="megan72@thompson-camacho.info"/>
    <n v="39"/>
    <s v="No"/>
    <n v="0"/>
  </r>
  <r>
    <s v="ORD1416"/>
    <x v="299"/>
    <d v="2024-08-08T00:00:00"/>
    <s v="CUST862"/>
    <x v="414"/>
    <x v="0"/>
    <s v="PROD6770"/>
    <s v="Stapler"/>
    <x v="0"/>
    <x v="2"/>
    <x v="32"/>
    <x v="410"/>
    <n v="6"/>
    <n v="1125"/>
    <n v="5"/>
    <n v="7189.5"/>
    <n v="6413.13"/>
    <n v="776.37"/>
    <s v="Credit card"/>
    <s v="Returned"/>
    <s v="Sawyer and Sons"/>
    <s v="william72@williams-bennett.com"/>
    <n v="28"/>
    <s v="No"/>
    <n v="0"/>
  </r>
  <r>
    <s v="ORD1417"/>
    <x v="268"/>
    <d v="2024-12-14T00:00:00"/>
    <s v="CUST481"/>
    <x v="415"/>
    <x v="2"/>
    <s v="PROD4587"/>
    <s v="Sofa"/>
    <x v="2"/>
    <x v="2"/>
    <x v="40"/>
    <x v="411"/>
    <n v="4"/>
    <n v="1137"/>
    <n v="15"/>
    <n v="4642.8"/>
    <n v="3866.43"/>
    <n v="776.37"/>
    <s v="Credit card"/>
    <s v="Cancelled"/>
    <s v="Nelson, Randolph and Lindsey"/>
    <s v="heidideleon@jordan.com"/>
    <n v="20"/>
    <s v="No"/>
    <n v="0"/>
  </r>
  <r>
    <s v="ORD1418"/>
    <x v="312"/>
    <d v="2025-02-10T00:00:00"/>
    <s v="CUST297"/>
    <x v="416"/>
    <x v="0"/>
    <s v="PROD8316"/>
    <s v="Snacks"/>
    <x v="3"/>
    <x v="0"/>
    <x v="9"/>
    <x v="412"/>
    <n v="7"/>
    <n v="1169"/>
    <n v="20"/>
    <n v="7323.4"/>
    <n v="6547.07"/>
    <n v="776.33"/>
    <s v="Credit card"/>
    <s v="Cancelled"/>
    <s v="Macdonald Ltd"/>
    <s v="cooperjesus@leach.net"/>
    <n v="42"/>
    <s v="No"/>
    <n v="0"/>
  </r>
  <r>
    <s v="ORD1419"/>
    <x v="313"/>
    <d v="2024-10-10T00:00:00"/>
    <s v="CUST909"/>
    <x v="417"/>
    <x v="1"/>
    <s v="PROD4811"/>
    <s v="Study Table"/>
    <x v="2"/>
    <x v="0"/>
    <x v="49"/>
    <x v="413"/>
    <n v="6"/>
    <n v="4828"/>
    <n v="15"/>
    <n v="25399.8"/>
    <n v="24623.65"/>
    <n v="776.15"/>
    <s v="Cash"/>
    <s v="Delivered"/>
    <s v="Knox Ltd"/>
    <s v="obriencharles@rice-ferguson.com"/>
    <n v="28"/>
    <s v="No"/>
    <n v="0"/>
  </r>
  <r>
    <s v="ORD1420"/>
    <x v="314"/>
    <d v="2024-10-14T00:00:00"/>
    <s v="CUST256"/>
    <x v="418"/>
    <x v="2"/>
    <s v="PROD4328"/>
    <s v="Calculator"/>
    <x v="0"/>
    <x v="0"/>
    <x v="29"/>
    <x v="414"/>
    <n v="2"/>
    <n v="4141"/>
    <n v="15"/>
    <n v="7816.7"/>
    <n v="7040.58"/>
    <n v="776.12"/>
    <s v="UPI"/>
    <s v="Delivered"/>
    <s v="Rogers, Mccarthy and Reeves"/>
    <s v="bowersjennifer@young.net"/>
    <n v="34"/>
    <s v="No"/>
    <n v="0"/>
  </r>
  <r>
    <s v="ORD1421"/>
    <x v="315"/>
    <d v="2024-05-12T00:00:00"/>
    <s v="CUST843"/>
    <x v="419"/>
    <x v="2"/>
    <s v="PROD9081"/>
    <s v="Headphones"/>
    <x v="1"/>
    <x v="2"/>
    <x v="9"/>
    <x v="415"/>
    <n v="5"/>
    <n v="816"/>
    <n v="15"/>
    <n v="4245"/>
    <n v="3468.84"/>
    <n v="776.16"/>
    <s v="Net Banking"/>
    <s v="Returned"/>
    <s v="Stokes Inc"/>
    <s v="josephtran@pena-huffman.com"/>
    <n v="27"/>
    <s v="No"/>
    <n v="0"/>
  </r>
  <r>
    <s v="ORD1422"/>
    <x v="316"/>
    <d v="2025-09-30T00:00:00"/>
    <s v="CUST161"/>
    <x v="420"/>
    <x v="2"/>
    <s v="PROD4902"/>
    <s v="Calculator"/>
    <x v="0"/>
    <x v="3"/>
    <x v="26"/>
    <x v="167"/>
    <n v="1"/>
    <n v="3858"/>
    <n v="20"/>
    <n v="3863.4"/>
    <n v="3087.03"/>
    <n v="776.37"/>
    <s v="Net Banking"/>
    <s v="Delivered"/>
    <s v="Peterson Inc"/>
    <s v="jasonduran@dean.com"/>
    <n v="25"/>
    <s v="No"/>
    <n v="0"/>
  </r>
  <r>
    <s v="ORD1423"/>
    <x v="317"/>
    <d v="2024-09-27T00:00:00"/>
    <s v="CUST273"/>
    <x v="421"/>
    <x v="1"/>
    <s v="PROD3134"/>
    <s v="Office Chair"/>
    <x v="2"/>
    <x v="0"/>
    <x v="21"/>
    <x v="416"/>
    <n v="4"/>
    <n v="1703"/>
    <n v="0"/>
    <n v="7589"/>
    <n v="6812.87"/>
    <n v="776.13"/>
    <s v="UPI"/>
    <s v="Cancelled"/>
    <s v="Edwards-Dunlap"/>
    <s v="hfreeman@whitaker-kim.net"/>
    <n v="40"/>
    <s v="No"/>
    <n v="0"/>
  </r>
  <r>
    <s v="ORD1424"/>
    <x v="280"/>
    <d v="2024-07-19T00:00:00"/>
    <s v="CUST576"/>
    <x v="422"/>
    <x v="1"/>
    <s v="PROD5171"/>
    <s v="Monitor"/>
    <x v="1"/>
    <x v="1"/>
    <x v="29"/>
    <x v="336"/>
    <n v="3"/>
    <n v="1065"/>
    <n v="10"/>
    <n v="3652.5"/>
    <n v="2876.13"/>
    <n v="776.37"/>
    <s v="Net Banking"/>
    <s v="Cancelled"/>
    <s v="Neal Ltd"/>
    <s v="dgoodwin@taylor-smith.biz"/>
    <n v="46"/>
    <s v="No"/>
    <n v="0"/>
  </r>
  <r>
    <s v="ORD1425"/>
    <x v="132"/>
    <d v="2024-10-21T00:00:00"/>
    <s v="CUST636"/>
    <x v="423"/>
    <x v="1"/>
    <s v="PROD5044"/>
    <s v="Dining Table"/>
    <x v="2"/>
    <x v="3"/>
    <x v="29"/>
    <x v="417"/>
    <n v="3"/>
    <n v="2549"/>
    <n v="10"/>
    <n v="7659.3"/>
    <n v="6883.09"/>
    <n v="776.21"/>
    <s v="Credit card"/>
    <s v="Cancelled"/>
    <s v="Johnston, Grant and Cummings"/>
    <s v="sharon13@wilkins.com"/>
    <n v="47"/>
    <s v="No"/>
    <n v="0"/>
  </r>
  <r>
    <s v="ORD1426"/>
    <x v="11"/>
    <d v="2024-11-24T00:00:00"/>
    <s v="CUST884"/>
    <x v="424"/>
    <x v="0"/>
    <s v="PROD3720"/>
    <s v="Study Table"/>
    <x v="2"/>
    <x v="0"/>
    <x v="16"/>
    <x v="387"/>
    <n v="1"/>
    <n v="4056"/>
    <n v="5"/>
    <n v="4630.2"/>
    <n v="3853.81"/>
    <n v="776.39"/>
    <s v="Net Banking"/>
    <s v="Delivered"/>
    <s v="Murray, Cook and Harris"/>
    <s v="emily63@smith.com"/>
    <n v="37"/>
    <s v="No"/>
    <n v="0"/>
  </r>
  <r>
    <s v="ORD1427"/>
    <x v="239"/>
    <d v="2025-04-15T00:00:00"/>
    <s v="CUST794"/>
    <x v="425"/>
    <x v="1"/>
    <s v="PROD8272"/>
    <s v="Mouse"/>
    <x v="1"/>
    <x v="0"/>
    <x v="28"/>
    <x v="418"/>
    <n v="1"/>
    <n v="1735"/>
    <n v="0"/>
    <n v="2512"/>
    <n v="1735.69"/>
    <n v="776.31"/>
    <s v="Cash"/>
    <s v="Pending"/>
    <s v="Becker, Rios and Richards"/>
    <s v="gnguyen@burns-medina.info"/>
    <n v="1"/>
    <s v="Yes"/>
    <n v="44"/>
  </r>
  <r>
    <s v="ORD1428"/>
    <x v="318"/>
    <d v="2024-10-14T00:00:00"/>
    <s v="CUST775"/>
    <x v="426"/>
    <x v="1"/>
    <s v="PROD4950"/>
    <s v="Cooking oil"/>
    <x v="3"/>
    <x v="0"/>
    <x v="43"/>
    <x v="419"/>
    <n v="2"/>
    <n v="1354"/>
    <n v="10"/>
    <n v="3214.2"/>
    <n v="2437.92"/>
    <n v="776.28"/>
    <s v="Net Banking"/>
    <s v="Delivered"/>
    <s v="Burns Inc"/>
    <s v="sanchezchristopher@baker.biz"/>
    <n v="9"/>
    <s v="Yes"/>
    <n v="42"/>
  </r>
  <r>
    <s v="ORD1429"/>
    <x v="319"/>
    <d v="2023-11-21T00:00:00"/>
    <s v="CUST603"/>
    <x v="427"/>
    <x v="0"/>
    <s v="PROD9902"/>
    <s v="Mouse"/>
    <x v="1"/>
    <x v="0"/>
    <x v="48"/>
    <x v="420"/>
    <n v="1"/>
    <n v="3557"/>
    <n v="15"/>
    <n v="3800.45"/>
    <n v="3024.33"/>
    <n v="776.12"/>
    <s v="Cash"/>
    <s v="Delivered"/>
    <s v="Manning and Sons"/>
    <s v="brendadiaz@rodriguez.info"/>
    <n v="22"/>
    <s v="No"/>
    <n v="0"/>
  </r>
  <r>
    <s v="ORD1430"/>
    <x v="177"/>
    <d v="2025-05-14T00:00:00"/>
    <s v="CUST239"/>
    <x v="428"/>
    <x v="2"/>
    <s v="PROD1381"/>
    <s v="Keyboard"/>
    <x v="1"/>
    <x v="0"/>
    <x v="38"/>
    <x v="421"/>
    <n v="9"/>
    <n v="1234"/>
    <n v="10"/>
    <n v="10772.4"/>
    <n v="9996.09"/>
    <n v="776.31"/>
    <s v="Net Banking"/>
    <s v="Delivered"/>
    <s v="Gomez-Thompson"/>
    <s v="sturner@peters-whitehead.com"/>
    <n v="25"/>
    <s v="No"/>
    <n v="0"/>
  </r>
  <r>
    <s v="ORD1431"/>
    <x v="134"/>
    <d v="2025-03-08T00:00:00"/>
    <s v="CUST878"/>
    <x v="429"/>
    <x v="0"/>
    <s v="PROD9752"/>
    <s v="Keyboard"/>
    <x v="1"/>
    <x v="2"/>
    <x v="2"/>
    <x v="422"/>
    <n v="3"/>
    <n v="3085"/>
    <n v="10"/>
    <n v="9106.5"/>
    <n v="8330.35"/>
    <n v="776.15"/>
    <s v="Credit card"/>
    <s v="Returned"/>
    <s v="Barber-Sparks"/>
    <s v="mccarthyjeffrey@arnold-neal.com"/>
    <n v="6"/>
    <s v="Yes"/>
    <n v="49"/>
  </r>
  <r>
    <s v="ORD1432"/>
    <x v="320"/>
    <d v="2025-02-11T00:00:00"/>
    <s v="CUST405"/>
    <x v="430"/>
    <x v="0"/>
    <s v="PROD2102"/>
    <s v="Sugar"/>
    <x v="3"/>
    <x v="0"/>
    <x v="40"/>
    <x v="423"/>
    <n v="1"/>
    <n v="3959"/>
    <n v="10"/>
    <n v="4340.1000000000004"/>
    <n v="3563.86"/>
    <n v="776.24"/>
    <s v="Net Banking"/>
    <s v="Delivered"/>
    <s v="Nelson, Watson and Lee"/>
    <s v="michelerodriguez@johnston.com"/>
    <n v="15"/>
    <s v="No"/>
    <n v="0"/>
  </r>
  <r>
    <s v="ORD1433"/>
    <x v="321"/>
    <d v="2025-07-12T00:00:00"/>
    <s v="CUST663"/>
    <x v="431"/>
    <x v="0"/>
    <s v="PROD2332"/>
    <s v="Mouse"/>
    <x v="1"/>
    <x v="0"/>
    <x v="32"/>
    <x v="424"/>
    <n v="10"/>
    <n v="1758"/>
    <n v="10"/>
    <n v="16599"/>
    <n v="15822.71"/>
    <n v="776.29"/>
    <s v="Net Banking"/>
    <s v="Cancelled"/>
    <s v="Mercer, Anderson and Reed"/>
    <s v="myerssusan@foley.info"/>
    <n v="26"/>
    <s v="No"/>
    <n v="0"/>
  </r>
  <r>
    <s v="ORD1434"/>
    <x v="322"/>
    <d v="2024-02-16T00:00:00"/>
    <s v="CUST280"/>
    <x v="432"/>
    <x v="0"/>
    <s v="PROD6990"/>
    <s v="Headphones"/>
    <x v="1"/>
    <x v="1"/>
    <x v="5"/>
    <x v="425"/>
    <n v="7"/>
    <n v="3071"/>
    <n v="0"/>
    <n v="22274"/>
    <n v="21497.64"/>
    <n v="776.36"/>
    <s v="Credit card"/>
    <s v="Returned"/>
    <s v="Potter, Hamilton and Martin"/>
    <s v="ihooper@gonzalez.biz"/>
    <n v="0"/>
    <s v="Yes"/>
    <n v="29"/>
  </r>
  <r>
    <s v="ORD1435"/>
    <x v="323"/>
    <d v="2024-06-01T00:00:00"/>
    <s v="CUST365"/>
    <x v="433"/>
    <x v="0"/>
    <s v="PROD9899"/>
    <s v="Sofa"/>
    <x v="2"/>
    <x v="2"/>
    <x v="45"/>
    <x v="426"/>
    <n v="7"/>
    <n v="2120"/>
    <n v="10"/>
    <n v="14133"/>
    <n v="13356.89"/>
    <n v="776.11"/>
    <s v="Net Banking"/>
    <s v="Delivered"/>
    <s v="Brown and Sons"/>
    <s v="bgonzalez@hart.com"/>
    <n v="2"/>
    <s v="Yes"/>
    <n v="20"/>
  </r>
  <r>
    <s v="ORD1436"/>
    <x v="324"/>
    <d v="2025-09-24T00:00:00"/>
    <s v="CUST628"/>
    <x v="434"/>
    <x v="2"/>
    <s v="PROD6631"/>
    <s v="Snacks"/>
    <x v="3"/>
    <x v="1"/>
    <x v="16"/>
    <x v="427"/>
    <n v="3"/>
    <n v="3456"/>
    <n v="20"/>
    <n v="9071.4"/>
    <n v="8295.09"/>
    <n v="776.31"/>
    <s v="UPI"/>
    <s v="Returned"/>
    <s v="Thompson-Taylor"/>
    <s v="brownstanley@parks.net"/>
    <n v="5"/>
    <s v="Yes"/>
    <n v="40"/>
  </r>
  <r>
    <s v="ORD1437"/>
    <x v="81"/>
    <d v="2024-09-17T00:00:00"/>
    <s v="CUST873"/>
    <x v="435"/>
    <x v="2"/>
    <s v="PROD5397"/>
    <s v="Office Chair"/>
    <x v="2"/>
    <x v="3"/>
    <x v="18"/>
    <x v="428"/>
    <n v="1"/>
    <n v="2363"/>
    <n v="15"/>
    <n v="2785.55"/>
    <n v="2009.42"/>
    <n v="776.13"/>
    <s v="Net Banking"/>
    <s v="Returned"/>
    <s v="Ware, Galloway and Sanchez"/>
    <s v="robert21@luna-young.com"/>
    <n v="13"/>
    <s v="No"/>
    <n v="0"/>
  </r>
  <r>
    <s v="ORD1438"/>
    <x v="325"/>
    <d v="2025-01-23T00:00:00"/>
    <s v="CUST879"/>
    <x v="436"/>
    <x v="0"/>
    <s v="PROD1965"/>
    <s v="Dining Table"/>
    <x v="2"/>
    <x v="2"/>
    <x v="11"/>
    <x v="429"/>
    <n v="1"/>
    <n v="4825"/>
    <n v="10"/>
    <n v="5119.5"/>
    <n v="4343.2700000000004"/>
    <n v="776.23"/>
    <s v="Net Banking"/>
    <s v="Delivered"/>
    <s v="Bennett, Hahn and Stark"/>
    <s v="elizabethgonzalez@clark-armstrong.com"/>
    <n v="35"/>
    <s v="No"/>
    <n v="0"/>
  </r>
  <r>
    <s v="ORD1439"/>
    <x v="326"/>
    <d v="2025-01-20T00:00:00"/>
    <s v="CUST452"/>
    <x v="437"/>
    <x v="0"/>
    <s v="PROD3129"/>
    <s v="File Folder"/>
    <x v="0"/>
    <x v="0"/>
    <x v="42"/>
    <x v="430"/>
    <n v="1"/>
    <n v="4321"/>
    <n v="20"/>
    <n v="4233.8"/>
    <n v="3457.56"/>
    <n v="776.24"/>
    <s v="Net Banking"/>
    <s v="Cancelled"/>
    <s v="Owens-Campbell"/>
    <s v="allenkatherine@perry.net"/>
    <n v="26"/>
    <s v="No"/>
    <n v="0"/>
  </r>
  <r>
    <s v="ORD1440"/>
    <x v="214"/>
    <d v="2024-09-25T00:00:00"/>
    <s v="CUST143"/>
    <x v="438"/>
    <x v="1"/>
    <s v="PROD4065"/>
    <s v="Study Table"/>
    <x v="2"/>
    <x v="2"/>
    <x v="4"/>
    <x v="431"/>
    <n v="7"/>
    <n v="985"/>
    <n v="10"/>
    <n v="6982.5"/>
    <n v="6206.34"/>
    <n v="776.16"/>
    <s v="UPI"/>
    <s v="Pending"/>
    <s v="Wagner Group"/>
    <s v="ohall@daniels.com"/>
    <n v="45"/>
    <s v="No"/>
    <n v="0"/>
  </r>
  <r>
    <s v="ORD1441"/>
    <x v="327"/>
    <d v="2024-07-02T00:00:00"/>
    <s v="CUST196"/>
    <x v="439"/>
    <x v="0"/>
    <s v="PROD8786"/>
    <s v="Rice Bag"/>
    <x v="3"/>
    <x v="3"/>
    <x v="38"/>
    <x v="432"/>
    <n v="6"/>
    <n v="765"/>
    <n v="20"/>
    <n v="4449"/>
    <n v="3672.85"/>
    <n v="776.15"/>
    <s v="Credit card"/>
    <s v="Returned"/>
    <s v="Adams-Cummings"/>
    <s v="michellepowers@martinez.com"/>
    <n v="20"/>
    <s v="No"/>
    <n v="0"/>
  </r>
  <r>
    <s v="ORD1442"/>
    <x v="328"/>
    <d v="2024-04-29T00:00:00"/>
    <s v="CUST766"/>
    <x v="440"/>
    <x v="2"/>
    <s v="PROD4369"/>
    <s v="Laptop"/>
    <x v="1"/>
    <x v="3"/>
    <x v="25"/>
    <x v="433"/>
    <n v="10"/>
    <n v="1730"/>
    <n v="0"/>
    <n v="18077"/>
    <n v="17300.759999999998"/>
    <n v="776.24"/>
    <s v="Net Banking"/>
    <s v="Pending"/>
    <s v="Chan, Hughes and Hutchinson"/>
    <s v="schroederpatrick@clark.com"/>
    <n v="31"/>
    <s v="No"/>
    <n v="0"/>
  </r>
  <r>
    <s v="ORD1443"/>
    <x v="279"/>
    <d v="2024-12-13T00:00:00"/>
    <s v="CUST934"/>
    <x v="441"/>
    <x v="2"/>
    <s v="PROD7838"/>
    <s v="Office Chair"/>
    <x v="2"/>
    <x v="3"/>
    <x v="5"/>
    <x v="434"/>
    <n v="5"/>
    <n v="972"/>
    <n v="20"/>
    <n v="4665"/>
    <n v="3888.84"/>
    <n v="776.16"/>
    <s v="Credit card"/>
    <s v="Cancelled"/>
    <s v="Schneider Group"/>
    <s v="joshua08@martinez.com"/>
    <n v="2"/>
    <s v="Yes"/>
    <n v="35"/>
  </r>
  <r>
    <s v="ORD1444"/>
    <x v="280"/>
    <d v="2024-07-19T00:00:00"/>
    <s v="CUST446"/>
    <x v="442"/>
    <x v="1"/>
    <s v="PROD8954"/>
    <s v="Study Table"/>
    <x v="2"/>
    <x v="1"/>
    <x v="19"/>
    <x v="435"/>
    <n v="2"/>
    <n v="867"/>
    <n v="10"/>
    <n v="2337.6"/>
    <n v="1561.27"/>
    <n v="776.33"/>
    <s v="Cash"/>
    <s v="Returned"/>
    <s v="Jones Inc"/>
    <s v="lee76@curry-foster.com"/>
    <n v="26"/>
    <s v="No"/>
    <n v="0"/>
  </r>
  <r>
    <s v="ORD1445"/>
    <x v="242"/>
    <d v="2024-02-25T00:00:00"/>
    <s v="CUST547"/>
    <x v="443"/>
    <x v="1"/>
    <s v="PROD1530"/>
    <s v="Sugar"/>
    <x v="3"/>
    <x v="1"/>
    <x v="42"/>
    <x v="436"/>
    <n v="7"/>
    <n v="2081"/>
    <n v="5"/>
    <n v="14615.65"/>
    <n v="13839.52"/>
    <n v="776.13"/>
    <s v="UPI"/>
    <s v="Cancelled"/>
    <s v="Sparks, Rosario and Riley"/>
    <s v="dakota92@lynch-walker.com"/>
    <n v="21"/>
    <s v="No"/>
    <n v="0"/>
  </r>
  <r>
    <s v="ORD1446"/>
    <x v="1"/>
    <d v="2025-07-22T00:00:00"/>
    <s v="CUST746"/>
    <x v="444"/>
    <x v="2"/>
    <s v="PROD4495"/>
    <s v="Office Chair"/>
    <x v="2"/>
    <x v="0"/>
    <x v="16"/>
    <x v="437"/>
    <n v="5"/>
    <n v="206"/>
    <n v="10"/>
    <n v="1704"/>
    <n v="927.83"/>
    <n v="776.17"/>
    <s v="Net Banking"/>
    <s v="Returned"/>
    <s v="Phillips PLC"/>
    <s v="ucantu@waters.net"/>
    <n v="46"/>
    <s v="No"/>
    <n v="0"/>
  </r>
  <r>
    <s v="ORD1447"/>
    <x v="129"/>
    <d v="2024-04-30T00:00:00"/>
    <s v="CUST370"/>
    <x v="445"/>
    <x v="0"/>
    <s v="PROD9780"/>
    <s v="Calculator"/>
    <x v="0"/>
    <x v="1"/>
    <x v="8"/>
    <x v="176"/>
    <n v="2"/>
    <n v="2838"/>
    <n v="0"/>
    <n v="6453"/>
    <n v="5676.67"/>
    <n v="776.33"/>
    <s v="Cash"/>
    <s v="Cancelled"/>
    <s v="Garcia-Blake"/>
    <s v="collinsrobert@nguyen.com"/>
    <n v="7"/>
    <s v="Yes"/>
    <n v="44"/>
  </r>
  <r>
    <s v="ORD1448"/>
    <x v="329"/>
    <d v="2024-08-26T00:00:00"/>
    <s v="CUST758"/>
    <x v="446"/>
    <x v="1"/>
    <s v="PROD3933"/>
    <s v="Keyboard"/>
    <x v="1"/>
    <x v="2"/>
    <x v="26"/>
    <x v="438"/>
    <n v="6"/>
    <n v="1015"/>
    <n v="20"/>
    <n v="5649"/>
    <n v="4872.88"/>
    <n v="776.12"/>
    <s v="Cash"/>
    <s v="Returned"/>
    <s v="Snyder Ltd"/>
    <s v="iobrien@ramirez.biz"/>
    <n v="46"/>
    <s v="No"/>
    <n v="0"/>
  </r>
  <r>
    <s v="ORD1449"/>
    <x v="267"/>
    <d v="2024-09-17T00:00:00"/>
    <s v="CUST490"/>
    <x v="447"/>
    <x v="2"/>
    <s v="PROD6525"/>
    <s v="Snacks"/>
    <x v="3"/>
    <x v="1"/>
    <x v="47"/>
    <x v="439"/>
    <n v="8"/>
    <n v="3526"/>
    <n v="10"/>
    <n v="26164.2"/>
    <n v="25387.919999999998"/>
    <n v="776.28"/>
    <s v="Net Banking"/>
    <s v="Pending"/>
    <s v="Tapia-Molina"/>
    <s v="dennis61@oneal.net"/>
    <n v="18"/>
    <s v="No"/>
    <n v="0"/>
  </r>
  <r>
    <s v="ORD1450"/>
    <x v="330"/>
    <d v="2024-08-04T00:00:00"/>
    <s v="CUST812"/>
    <x v="448"/>
    <x v="1"/>
    <s v="PROD1626"/>
    <s v="Calculator"/>
    <x v="0"/>
    <x v="0"/>
    <x v="32"/>
    <x v="399"/>
    <n v="2"/>
    <n v="3361"/>
    <n v="15"/>
    <n v="6490.7"/>
    <n v="5714.48"/>
    <n v="776.22"/>
    <s v="Credit card"/>
    <s v="Pending"/>
    <s v="Mcpherson, Erickson and Scott"/>
    <s v="jcombs@chavez.biz"/>
    <n v="28"/>
    <s v="No"/>
    <n v="0"/>
  </r>
  <r>
    <s v="ORD1451"/>
    <x v="331"/>
    <d v="2025-08-28T00:00:00"/>
    <s v="CUST999"/>
    <x v="449"/>
    <x v="0"/>
    <s v="PROD2780"/>
    <s v="Sugar"/>
    <x v="3"/>
    <x v="1"/>
    <x v="38"/>
    <x v="440"/>
    <n v="9"/>
    <n v="2967"/>
    <n v="10"/>
    <n v="24809.7"/>
    <n v="24033.46"/>
    <n v="776.24"/>
    <s v="UPI"/>
    <s v="Returned"/>
    <s v="Maldonado, Santana and Johnson"/>
    <s v="gsmith@hall-davis.info"/>
    <n v="0"/>
    <s v="Yes"/>
    <n v="33"/>
  </r>
  <r>
    <s v="ORD1452"/>
    <x v="332"/>
    <d v="2024-07-16T00:00:00"/>
    <s v="CUST236"/>
    <x v="450"/>
    <x v="2"/>
    <s v="PROD7669"/>
    <s v="Headphones"/>
    <x v="1"/>
    <x v="1"/>
    <x v="13"/>
    <x v="441"/>
    <n v="10"/>
    <n v="2320"/>
    <n v="15"/>
    <n v="20497"/>
    <n v="19720.830000000002"/>
    <n v="776.17"/>
    <s v="Cash"/>
    <s v="Pending"/>
    <s v="Alvarez, Wright and Jenkins"/>
    <s v="kristin96@howard.net"/>
    <n v="41"/>
    <s v="No"/>
    <n v="0"/>
  </r>
  <r>
    <s v="ORD1453"/>
    <x v="333"/>
    <d v="2024-10-17T00:00:00"/>
    <s v="CUST604"/>
    <x v="451"/>
    <x v="2"/>
    <s v="PROD6259"/>
    <s v="Stapler"/>
    <x v="0"/>
    <x v="0"/>
    <x v="42"/>
    <x v="442"/>
    <n v="9"/>
    <n v="1370"/>
    <n v="10"/>
    <n v="11874"/>
    <n v="11097.77"/>
    <n v="776.23"/>
    <s v="UPI"/>
    <s v="Delivered"/>
    <s v="Morales, Navarro and Pratt"/>
    <s v="xmiranda@zuniga.com"/>
    <n v="2"/>
    <s v="Yes"/>
    <n v="36"/>
  </r>
  <r>
    <s v="ORD1454"/>
    <x v="334"/>
    <d v="2024-04-23T00:00:00"/>
    <s v="CUST766"/>
    <x v="452"/>
    <x v="0"/>
    <s v="PROD6180"/>
    <s v="Cooking oil"/>
    <x v="3"/>
    <x v="3"/>
    <x v="13"/>
    <x v="443"/>
    <n v="6"/>
    <n v="2033"/>
    <n v="20"/>
    <n v="10535.4"/>
    <n v="9759.07"/>
    <n v="776.33"/>
    <s v="Net Banking"/>
    <s v="Cancelled"/>
    <s v="Ryan, Hamilton and Bautista"/>
    <s v="rachel44@lewis.com"/>
    <n v="4"/>
    <s v="Yes"/>
    <n v="37"/>
  </r>
  <r>
    <s v="ORD1455"/>
    <x v="335"/>
    <d v="2024-08-09T00:00:00"/>
    <s v="CUST155"/>
    <x v="314"/>
    <x v="2"/>
    <s v="PROD9972"/>
    <s v="Juice Pack"/>
    <x v="3"/>
    <x v="2"/>
    <x v="43"/>
    <x v="444"/>
    <n v="1"/>
    <n v="4473"/>
    <n v="10"/>
    <n v="4802.7"/>
    <n v="4026.49"/>
    <n v="776.21"/>
    <s v="Net Banking"/>
    <s v="Pending"/>
    <s v="Lawrence-Gonzalez"/>
    <s v="thomasturner@kirk.com"/>
    <n v="6"/>
    <s v="Yes"/>
    <n v="22"/>
  </r>
  <r>
    <s v="ORD1456"/>
    <x v="336"/>
    <d v="2024-09-03T00:00:00"/>
    <s v="CUST417"/>
    <x v="453"/>
    <x v="1"/>
    <s v="PROD9988"/>
    <s v="Laptop"/>
    <x v="1"/>
    <x v="0"/>
    <x v="35"/>
    <x v="445"/>
    <n v="5"/>
    <n v="929"/>
    <n v="5"/>
    <n v="5189.75"/>
    <n v="4413.57"/>
    <n v="776.18"/>
    <s v="Credit card"/>
    <s v="Returned"/>
    <s v="Moss-Taylor"/>
    <s v="greenamanda@hansen.net"/>
    <n v="4"/>
    <s v="Yes"/>
    <n v="49"/>
  </r>
  <r>
    <s v="ORD1457"/>
    <x v="337"/>
    <d v="2025-06-21T00:00:00"/>
    <s v="CUST399"/>
    <x v="454"/>
    <x v="2"/>
    <s v="PROD6211"/>
    <s v="Monitor"/>
    <x v="1"/>
    <x v="1"/>
    <x v="40"/>
    <x v="446"/>
    <n v="6"/>
    <n v="484"/>
    <n v="10"/>
    <n v="3390.6"/>
    <n v="2614.2600000000002"/>
    <n v="776.34"/>
    <s v="Cash"/>
    <s v="Returned"/>
    <s v="Reeves-Kelley"/>
    <s v="brian17@anderson.com"/>
    <n v="31"/>
    <s v="No"/>
    <n v="0"/>
  </r>
  <r>
    <s v="ORD1458"/>
    <x v="45"/>
    <d v="2024-10-30T00:00:00"/>
    <s v="CUST613"/>
    <x v="455"/>
    <x v="2"/>
    <s v="PROD6599"/>
    <s v="Rice Bag"/>
    <x v="3"/>
    <x v="0"/>
    <x v="9"/>
    <x v="447"/>
    <n v="3"/>
    <n v="610"/>
    <n v="10"/>
    <n v="2424"/>
    <n v="1647.7"/>
    <n v="776.3"/>
    <s v="Net Banking"/>
    <s v="Delivered"/>
    <s v="Moreno LLC"/>
    <s v="cromero@ewing.info"/>
    <n v="10"/>
    <s v="No"/>
    <n v="0"/>
  </r>
  <r>
    <s v="ORD1459"/>
    <x v="338"/>
    <d v="2024-02-25T00:00:00"/>
    <s v="CUST414"/>
    <x v="456"/>
    <x v="0"/>
    <s v="PROD8613"/>
    <s v="Cooking oil"/>
    <x v="3"/>
    <x v="1"/>
    <x v="33"/>
    <x v="448"/>
    <n v="7"/>
    <n v="4418"/>
    <n v="0"/>
    <n v="31703"/>
    <n v="30926.880000000001"/>
    <n v="776.12"/>
    <s v="Net Banking"/>
    <s v="Cancelled"/>
    <s v="Walker Group"/>
    <s v="rebecca21@hunt-carpenter.org"/>
    <n v="0"/>
    <s v="Yes"/>
    <n v="21"/>
  </r>
  <r>
    <s v="ORD1460"/>
    <x v="13"/>
    <d v="2025-06-25T00:00:00"/>
    <s v="CUST720"/>
    <x v="457"/>
    <x v="0"/>
    <s v="PROD8841"/>
    <s v="Laptop"/>
    <x v="1"/>
    <x v="2"/>
    <x v="40"/>
    <x v="449"/>
    <n v="3"/>
    <n v="3793"/>
    <n v="10"/>
    <n v="11018.1"/>
    <n v="10241.799999999999"/>
    <n v="776.3"/>
    <s v="UPI"/>
    <s v="Pending"/>
    <s v="Hayes and Sons"/>
    <s v="kennethflores@miller.com"/>
    <n v="16"/>
    <s v="No"/>
    <n v="0"/>
  </r>
  <r>
    <s v="ORD1461"/>
    <x v="297"/>
    <d v="2024-04-21T00:00:00"/>
    <s v="CUST634"/>
    <x v="458"/>
    <x v="1"/>
    <s v="PROD6854"/>
    <s v="Sugar"/>
    <x v="3"/>
    <x v="2"/>
    <x v="31"/>
    <x v="450"/>
    <n v="9"/>
    <n v="3839"/>
    <n v="20"/>
    <n v="28417.8"/>
    <n v="27641.52"/>
    <n v="776.28"/>
    <s v="Cash"/>
    <s v="Returned"/>
    <s v="Coleman, Boyer and Sims"/>
    <s v="haleyscott@shaw-steele.com"/>
    <n v="2"/>
    <s v="Yes"/>
    <n v="49"/>
  </r>
  <r>
    <s v="ORD1462"/>
    <x v="30"/>
    <d v="2025-08-18T00:00:00"/>
    <s v="CUST668"/>
    <x v="459"/>
    <x v="0"/>
    <s v="PROD7072"/>
    <s v="Sofa"/>
    <x v="2"/>
    <x v="1"/>
    <x v="26"/>
    <x v="451"/>
    <n v="3"/>
    <n v="1881"/>
    <n v="20"/>
    <n v="5291.4"/>
    <n v="4515.2"/>
    <n v="776.2"/>
    <s v="Cash"/>
    <s v="Delivered"/>
    <s v="Wilson, Bowman and Wells"/>
    <s v="ywallace@williams.com"/>
    <n v="23"/>
    <s v="No"/>
    <n v="0"/>
  </r>
  <r>
    <s v="ORD1463"/>
    <x v="309"/>
    <d v="2024-09-12T00:00:00"/>
    <s v="CUST339"/>
    <x v="460"/>
    <x v="1"/>
    <s v="PROD8316"/>
    <s v="Calculator"/>
    <x v="0"/>
    <x v="2"/>
    <x v="27"/>
    <x v="452"/>
    <n v="7"/>
    <n v="1968"/>
    <n v="0"/>
    <n v="14553"/>
    <n v="13776.81"/>
    <n v="776.19"/>
    <s v="Net Banking"/>
    <s v="Delivered"/>
    <s v="Horton and Sons"/>
    <s v="sarahtanner@hall.com"/>
    <n v="40"/>
    <s v="No"/>
    <n v="0"/>
  </r>
  <r>
    <s v="ORD1464"/>
    <x v="339"/>
    <d v="2024-03-25T00:00:00"/>
    <s v="CUST764"/>
    <x v="461"/>
    <x v="0"/>
    <s v="PROD3896"/>
    <s v="Keyboard"/>
    <x v="1"/>
    <x v="0"/>
    <x v="5"/>
    <x v="453"/>
    <n v="2"/>
    <n v="2373"/>
    <n v="20"/>
    <n v="4573.8"/>
    <n v="3797.6"/>
    <n v="776.2"/>
    <s v="Cash"/>
    <s v="Cancelled"/>
    <s v="Miller-Perry"/>
    <s v="susan26@weiss.com"/>
    <n v="0"/>
    <s v="Yes"/>
    <n v="28"/>
  </r>
  <r>
    <s v="ORD1465"/>
    <x v="124"/>
    <d v="2025-01-04T00:00:00"/>
    <s v="CUST785"/>
    <x v="462"/>
    <x v="0"/>
    <s v="PROD7640"/>
    <s v="Headphones"/>
    <x v="1"/>
    <x v="3"/>
    <x v="38"/>
    <x v="454"/>
    <n v="10"/>
    <n v="2843"/>
    <n v="5"/>
    <n v="27785.5"/>
    <n v="27009.21"/>
    <n v="776.29"/>
    <s v="Net Banking"/>
    <s v="Returned"/>
    <s v="Davis and Sons"/>
    <s v="erica54@wang.com"/>
    <n v="34"/>
    <s v="No"/>
    <n v="0"/>
  </r>
  <r>
    <s v="ORD1466"/>
    <x v="145"/>
    <d v="2024-07-13T00:00:00"/>
    <s v="CUST108"/>
    <x v="463"/>
    <x v="1"/>
    <s v="PROD4892"/>
    <s v="Mouse"/>
    <x v="1"/>
    <x v="3"/>
    <x v="0"/>
    <x v="455"/>
    <n v="1"/>
    <n v="432"/>
    <n v="10"/>
    <n v="1165.8"/>
    <n v="389.48"/>
    <n v="776.32"/>
    <s v="Credit card"/>
    <s v="Pending"/>
    <s v="House-Walters"/>
    <s v="allenelliott@mcguire.com"/>
    <n v="41"/>
    <s v="No"/>
    <n v="0"/>
  </r>
  <r>
    <s v="ORD1467"/>
    <x v="179"/>
    <d v="2025-10-07T00:00:00"/>
    <s v="CUST236"/>
    <x v="464"/>
    <x v="0"/>
    <s v="PROD5310"/>
    <s v="Headphones"/>
    <x v="1"/>
    <x v="0"/>
    <x v="32"/>
    <x v="456"/>
    <n v="4"/>
    <n v="3170"/>
    <n v="10"/>
    <n v="12189"/>
    <n v="11412.62"/>
    <n v="776.38"/>
    <s v="UPI"/>
    <s v="Delivered"/>
    <s v="Davis, Maldonado and Carter"/>
    <s v="mcphersonshawn@maxwell.biz"/>
    <n v="19"/>
    <s v="No"/>
    <n v="0"/>
  </r>
  <r>
    <s v="ORD1468"/>
    <x v="213"/>
    <d v="2023-11-12T00:00:00"/>
    <s v="CUST400"/>
    <x v="465"/>
    <x v="2"/>
    <s v="PROD3860"/>
    <s v="Study Table"/>
    <x v="2"/>
    <x v="0"/>
    <x v="47"/>
    <x v="457"/>
    <n v="5"/>
    <n v="3216"/>
    <n v="5"/>
    <n v="16053"/>
    <n v="15276.85"/>
    <n v="776.15"/>
    <s v="Net Banking"/>
    <s v="Returned"/>
    <s v="Johnson and Sons"/>
    <s v="nashrachel@peterson.net"/>
    <n v="14"/>
    <s v="No"/>
    <n v="0"/>
  </r>
  <r>
    <s v="ORD1469"/>
    <x v="340"/>
    <d v="2025-01-15T00:00:00"/>
    <s v="CUST189"/>
    <x v="466"/>
    <x v="0"/>
    <s v="PROD7767"/>
    <s v="Headphones"/>
    <x v="1"/>
    <x v="2"/>
    <x v="44"/>
    <x v="458"/>
    <n v="3"/>
    <n v="1278"/>
    <n v="15"/>
    <n v="4035.9"/>
    <n v="3259.67"/>
    <n v="776.23"/>
    <s v="Cash"/>
    <s v="Delivered"/>
    <s v="Black Inc"/>
    <s v="barrettrachel@williams.com"/>
    <n v="45"/>
    <s v="No"/>
    <n v="0"/>
  </r>
  <r>
    <s v="ORD1470"/>
    <x v="341"/>
    <d v="2024-03-29T00:00:00"/>
    <s v="CUST686"/>
    <x v="467"/>
    <x v="0"/>
    <s v="PROD4084"/>
    <s v="Dining Table"/>
    <x v="2"/>
    <x v="2"/>
    <x v="7"/>
    <x v="459"/>
    <n v="2"/>
    <n v="2275"/>
    <n v="0"/>
    <n v="5327"/>
    <n v="4550.72"/>
    <n v="776.28"/>
    <s v="Credit card"/>
    <s v="Cancelled"/>
    <s v="Silva Group"/>
    <s v="jerome15@alvarez-gibson.info"/>
    <n v="8"/>
    <s v="Yes"/>
    <n v="25"/>
  </r>
  <r>
    <s v="ORD1471"/>
    <x v="342"/>
    <d v="2024-12-27T00:00:00"/>
    <s v="CUST309"/>
    <x v="468"/>
    <x v="2"/>
    <s v="PROD5006"/>
    <s v="Office Chair"/>
    <x v="2"/>
    <x v="3"/>
    <x v="33"/>
    <x v="460"/>
    <n v="1"/>
    <n v="965"/>
    <n v="5"/>
    <n v="1693.75"/>
    <n v="917.63"/>
    <n v="776.12"/>
    <s v="Cash"/>
    <s v="Pending"/>
    <s v="Pratt-Bryant"/>
    <s v="guzmansamantha@carpenter-calhoun.net"/>
    <n v="17"/>
    <s v="No"/>
    <n v="0"/>
  </r>
  <r>
    <s v="ORD1472"/>
    <x v="193"/>
    <d v="2024-08-13T00:00:00"/>
    <s v="CUST930"/>
    <x v="469"/>
    <x v="2"/>
    <s v="PROD3555"/>
    <s v="Headphones"/>
    <x v="1"/>
    <x v="1"/>
    <x v="13"/>
    <x v="461"/>
    <n v="6"/>
    <n v="856"/>
    <n v="0"/>
    <n v="5913"/>
    <n v="5136.78"/>
    <n v="776.22"/>
    <s v="Credit card"/>
    <s v="Returned"/>
    <s v="Wright, Olson and West"/>
    <s v="clarkadam@kelley.info"/>
    <n v="11"/>
    <s v="No"/>
    <n v="0"/>
  </r>
  <r>
    <s v="ORD1473"/>
    <x v="343"/>
    <d v="2024-07-01T00:00:00"/>
    <s v="CUST606"/>
    <x v="470"/>
    <x v="2"/>
    <s v="PROD4832"/>
    <s v="Calculator"/>
    <x v="0"/>
    <x v="0"/>
    <x v="11"/>
    <x v="462"/>
    <n v="9"/>
    <n v="4778"/>
    <n v="10"/>
    <n v="39478.800000000003"/>
    <n v="38702.5"/>
    <n v="776.3"/>
    <s v="Net Banking"/>
    <s v="Pending"/>
    <s v="Elliott, George and Cordova"/>
    <s v="katherine43@pugh.com"/>
    <n v="46"/>
    <s v="No"/>
    <n v="0"/>
  </r>
  <r>
    <s v="ORD1474"/>
    <x v="344"/>
    <d v="2025-01-30T00:00:00"/>
    <s v="CUST289"/>
    <x v="471"/>
    <x v="1"/>
    <s v="PROD1468"/>
    <s v="Snacks"/>
    <x v="3"/>
    <x v="1"/>
    <x v="33"/>
    <x v="463"/>
    <n v="8"/>
    <n v="469"/>
    <n v="15"/>
    <n v="3966.2"/>
    <n v="3189.92"/>
    <n v="776.28"/>
    <s v="Credit card"/>
    <s v="Pending"/>
    <s v="Graves, Holt and Riley"/>
    <s v="torressamuel@turner.com"/>
    <n v="15"/>
    <s v="No"/>
    <n v="0"/>
  </r>
  <r>
    <s v="ORD1475"/>
    <x v="345"/>
    <d v="2024-10-12T00:00:00"/>
    <s v="CUST277"/>
    <x v="472"/>
    <x v="1"/>
    <s v="PROD1934"/>
    <s v="Calculator"/>
    <x v="0"/>
    <x v="1"/>
    <x v="30"/>
    <x v="464"/>
    <n v="4"/>
    <n v="4588"/>
    <n v="10"/>
    <n v="17293.8"/>
    <n v="16517.7"/>
    <n v="776.1"/>
    <s v="UPI"/>
    <s v="Cancelled"/>
    <s v="Huber Ltd"/>
    <s v="ssutton@schaefer.com"/>
    <n v="19"/>
    <s v="No"/>
    <n v="0"/>
  </r>
  <r>
    <s v="ORD1476"/>
    <x v="4"/>
    <d v="2024-10-26T00:00:00"/>
    <s v="CUST994"/>
    <x v="473"/>
    <x v="2"/>
    <s v="PROD6530"/>
    <s v="Sugar"/>
    <x v="3"/>
    <x v="2"/>
    <x v="37"/>
    <x v="465"/>
    <n v="9"/>
    <n v="1014"/>
    <n v="15"/>
    <n v="8534.1"/>
    <n v="7757.91"/>
    <n v="776.19"/>
    <s v="Credit card"/>
    <s v="Cancelled"/>
    <s v="Arnold, Curry and Vasquez"/>
    <s v="stanleysharon@whitaker-morris.biz"/>
    <n v="49"/>
    <s v="No"/>
    <n v="0"/>
  </r>
  <r>
    <s v="ORD1477"/>
    <x v="192"/>
    <d v="2025-08-08T00:00:00"/>
    <s v="CUST248"/>
    <x v="474"/>
    <x v="1"/>
    <s v="PROD5539"/>
    <s v="Calculator"/>
    <x v="0"/>
    <x v="2"/>
    <x v="41"/>
    <x v="466"/>
    <n v="3"/>
    <n v="4380"/>
    <n v="5"/>
    <n v="13260"/>
    <n v="12483.67"/>
    <n v="776.33"/>
    <s v="Credit card"/>
    <s v="Cancelled"/>
    <s v="Rodriguez-Green"/>
    <s v="collin11@raymond-arnold.com"/>
    <n v="20"/>
    <s v="No"/>
    <n v="0"/>
  </r>
  <r>
    <s v="ORD1478"/>
    <x v="346"/>
    <d v="2025-08-17T00:00:00"/>
    <s v="CUST849"/>
    <x v="475"/>
    <x v="0"/>
    <s v="PROD4225"/>
    <s v="Cooking oil"/>
    <x v="3"/>
    <x v="1"/>
    <x v="26"/>
    <x v="467"/>
    <n v="8"/>
    <n v="864"/>
    <n v="15"/>
    <n v="6652.2"/>
    <n v="5876.07"/>
    <n v="776.13"/>
    <s v="Credit card"/>
    <s v="Pending"/>
    <s v="Hays, Spencer and Ortiz"/>
    <s v="choinancy@mccormick.info"/>
    <n v="4"/>
    <s v="Yes"/>
    <n v="24"/>
  </r>
  <r>
    <s v="ORD1479"/>
    <x v="179"/>
    <d v="2025-10-02T00:00:00"/>
    <s v="CUST395"/>
    <x v="476"/>
    <x v="2"/>
    <s v="PROD6656"/>
    <s v="Notebook"/>
    <x v="0"/>
    <x v="0"/>
    <x v="48"/>
    <x v="468"/>
    <n v="4"/>
    <n v="889"/>
    <n v="15"/>
    <n v="3799.6"/>
    <n v="3023.32"/>
    <n v="776.28"/>
    <s v="Cash"/>
    <s v="Cancelled"/>
    <s v="Lynch-Alvarado"/>
    <s v="villanuevaian@pineda.com"/>
    <n v="38"/>
    <s v="No"/>
    <n v="0"/>
  </r>
  <r>
    <s v="ORD1480"/>
    <x v="334"/>
    <d v="2024-04-19T00:00:00"/>
    <s v="CUST829"/>
    <x v="477"/>
    <x v="2"/>
    <s v="PROD1342"/>
    <s v="Study Table"/>
    <x v="2"/>
    <x v="3"/>
    <x v="30"/>
    <x v="469"/>
    <n v="10"/>
    <n v="3256"/>
    <n v="10"/>
    <n v="30081"/>
    <n v="29304.71"/>
    <n v="776.29"/>
    <s v="UPI"/>
    <s v="Returned"/>
    <s v="Thornton Inc"/>
    <s v="john72@sharp.com"/>
    <n v="29"/>
    <s v="No"/>
    <n v="0"/>
  </r>
  <r>
    <s v="ORD1481"/>
    <x v="199"/>
    <d v="2024-09-01T00:00:00"/>
    <s v="CUST327"/>
    <x v="478"/>
    <x v="1"/>
    <s v="PROD8077"/>
    <s v="Study Table"/>
    <x v="2"/>
    <x v="3"/>
    <x v="17"/>
    <x v="470"/>
    <n v="5"/>
    <n v="753"/>
    <n v="5"/>
    <n v="4353.75"/>
    <n v="3577.58"/>
    <n v="776.17"/>
    <s v="Net Banking"/>
    <s v="Delivered"/>
    <s v="Hoffman, Horne and Smith"/>
    <s v="cmccarthy@green-chang.com"/>
    <n v="30"/>
    <s v="No"/>
    <n v="0"/>
  </r>
  <r>
    <s v="ORD1482"/>
    <x v="276"/>
    <d v="2025-02-20T00:00:00"/>
    <s v="CUST924"/>
    <x v="479"/>
    <x v="2"/>
    <s v="PROD2515"/>
    <s v="File Folder"/>
    <x v="0"/>
    <x v="1"/>
    <x v="2"/>
    <x v="471"/>
    <n v="6"/>
    <n v="1742"/>
    <n v="0"/>
    <n v="11229"/>
    <n v="10452.700000000001"/>
    <n v="776.3"/>
    <s v="UPI"/>
    <s v="Pending"/>
    <s v="Parks, Price and Garcia"/>
    <s v="camachoalexis@turner-williams.net"/>
    <n v="3"/>
    <s v="Yes"/>
    <n v="47"/>
  </r>
  <r>
    <s v="ORD1483"/>
    <x v="162"/>
    <d v="2025-06-02T00:00:00"/>
    <s v="CUST224"/>
    <x v="480"/>
    <x v="2"/>
    <s v="PROD2205"/>
    <s v="Office Chair"/>
    <x v="2"/>
    <x v="0"/>
    <x v="42"/>
    <x v="472"/>
    <n v="9"/>
    <n v="3861"/>
    <n v="10"/>
    <n v="32051.1"/>
    <n v="31274.81"/>
    <n v="776.29"/>
    <s v="UPI"/>
    <s v="Delivered"/>
    <s v="Neal, Harrison and Anderson"/>
    <s v="matthewhuffman@stevens.com"/>
    <n v="40"/>
    <s v="No"/>
    <n v="0"/>
  </r>
  <r>
    <s v="ORD1484"/>
    <x v="347"/>
    <d v="2024-02-27T00:00:00"/>
    <s v="CUST852"/>
    <x v="481"/>
    <x v="2"/>
    <s v="PROD4954"/>
    <s v="Rice Bag"/>
    <x v="3"/>
    <x v="1"/>
    <x v="14"/>
    <x v="473"/>
    <n v="4"/>
    <n v="3730"/>
    <n v="20"/>
    <n v="12713"/>
    <n v="11936.83"/>
    <n v="776.17"/>
    <s v="Cash"/>
    <s v="Cancelled"/>
    <s v="Parker-Nolan"/>
    <s v="taylorcourtney@chapman-lamb.info"/>
    <n v="26"/>
    <s v="No"/>
    <n v="0"/>
  </r>
  <r>
    <s v="ORD1485"/>
    <x v="348"/>
    <d v="2024-06-28T00:00:00"/>
    <s v="CUST995"/>
    <x v="482"/>
    <x v="1"/>
    <s v="PROD5618"/>
    <s v="Bookshell"/>
    <x v="2"/>
    <x v="3"/>
    <x v="45"/>
    <x v="474"/>
    <n v="10"/>
    <n v="1528"/>
    <n v="0"/>
    <n v="16057"/>
    <n v="15280.74"/>
    <n v="776.26"/>
    <s v="Cash"/>
    <s v="Pending"/>
    <s v="Marshall-Peterson"/>
    <s v="gerald13@meyer-murphy.biz"/>
    <n v="45"/>
    <s v="No"/>
    <n v="0"/>
  </r>
  <r>
    <s v="ORD1486"/>
    <x v="349"/>
    <d v="2023-12-29T00:00:00"/>
    <s v="CUST467"/>
    <x v="483"/>
    <x v="2"/>
    <s v="PROD8419"/>
    <s v="Rice Bag"/>
    <x v="3"/>
    <x v="2"/>
    <x v="25"/>
    <x v="475"/>
    <n v="9"/>
    <n v="1118"/>
    <n v="10"/>
    <n v="9832.7999999999993"/>
    <n v="9056.5400000000009"/>
    <n v="776.26"/>
    <s v="Credit card"/>
    <s v="Delivered"/>
    <s v="Dougherty-Potts"/>
    <s v="ellen40@meyer.com"/>
    <n v="29"/>
    <s v="No"/>
    <n v="0"/>
  </r>
  <r>
    <s v="ORD1487"/>
    <x v="350"/>
    <d v="2025-05-14T00:00:00"/>
    <s v="CUST135"/>
    <x v="484"/>
    <x v="2"/>
    <s v="PROD9737"/>
    <s v="Sofa"/>
    <x v="2"/>
    <x v="1"/>
    <x v="46"/>
    <x v="81"/>
    <n v="6"/>
    <n v="2223"/>
    <n v="0"/>
    <n v="14115"/>
    <n v="13338.85"/>
    <n v="776.15"/>
    <s v="Net Banking"/>
    <s v="Delivered"/>
    <s v="Johnson, Miller and Barton"/>
    <s v="fergusoncarol@mueller-miller.info"/>
    <n v="1"/>
    <s v="Yes"/>
    <n v="36"/>
  </r>
  <r>
    <s v="ORD1488"/>
    <x v="139"/>
    <d v="2025-10-21T00:00:00"/>
    <s v="CUST542"/>
    <x v="485"/>
    <x v="2"/>
    <s v="PROD9347"/>
    <s v="Calculator"/>
    <x v="0"/>
    <x v="3"/>
    <x v="49"/>
    <x v="476"/>
    <n v="9"/>
    <n v="2812"/>
    <n v="5"/>
    <n v="24819.599999999999"/>
    <n v="24043.26"/>
    <n v="776.34"/>
    <s v="Net Banking"/>
    <s v="Delivered"/>
    <s v="Anderson, Black and James"/>
    <s v="williamscourtney@gonzalez.com"/>
    <n v="20"/>
    <s v="No"/>
    <n v="0"/>
  </r>
  <r>
    <s v="ORD1489"/>
    <x v="88"/>
    <d v="2025-04-01T00:00:00"/>
    <s v="CUST387"/>
    <x v="486"/>
    <x v="0"/>
    <s v="PROD6048"/>
    <s v="File Folder"/>
    <x v="0"/>
    <x v="1"/>
    <x v="35"/>
    <x v="477"/>
    <n v="3"/>
    <n v="142"/>
    <n v="5"/>
    <n v="1181.7"/>
    <n v="405.43"/>
    <n v="776.27"/>
    <s v="Credit card"/>
    <s v="Returned"/>
    <s v="Burke, Anderson and Hunter"/>
    <s v="christopherlee@mcmillan-marshall.com"/>
    <n v="8"/>
    <s v="Yes"/>
    <n v="40"/>
  </r>
  <r>
    <s v="ORD1490"/>
    <x v="323"/>
    <d v="2024-05-29T00:00:00"/>
    <s v="CUST518"/>
    <x v="487"/>
    <x v="2"/>
    <s v="PROD1400"/>
    <s v="Keyboard"/>
    <x v="1"/>
    <x v="1"/>
    <x v="4"/>
    <x v="478"/>
    <n v="5"/>
    <n v="185"/>
    <n v="0"/>
    <n v="1702"/>
    <n v="925.64"/>
    <n v="776.36"/>
    <s v="Cash"/>
    <s v="Delivered"/>
    <s v="Page-Davis"/>
    <s v="baileyharmon@lewis.biz"/>
    <n v="1"/>
    <s v="Yes"/>
    <n v="23"/>
  </r>
  <r>
    <s v="ORD1491"/>
    <x v="134"/>
    <d v="2025-03-07T00:00:00"/>
    <s v="CUST568"/>
    <x v="488"/>
    <x v="0"/>
    <s v="PROD2347"/>
    <s v="Sofa"/>
    <x v="2"/>
    <x v="2"/>
    <x v="29"/>
    <x v="479"/>
    <n v="2"/>
    <n v="1735"/>
    <n v="15"/>
    <n v="3726.5"/>
    <n v="2950.33"/>
    <n v="776.17"/>
    <s v="Net Banking"/>
    <s v="Returned"/>
    <s v="Graham PLC"/>
    <s v="jesse49@pennington-robertson.biz"/>
    <n v="27"/>
    <s v="No"/>
    <n v="0"/>
  </r>
  <r>
    <s v="ORD1492"/>
    <x v="351"/>
    <d v="2024-09-27T00:00:00"/>
    <s v="CUST647"/>
    <x v="489"/>
    <x v="2"/>
    <s v="PROD8205"/>
    <s v="Sofa"/>
    <x v="2"/>
    <x v="3"/>
    <x v="36"/>
    <x v="480"/>
    <n v="1"/>
    <n v="4867"/>
    <n v="5"/>
    <n v="5400.65"/>
    <n v="4624.26"/>
    <n v="776.39"/>
    <s v="Cash"/>
    <s v="Delivered"/>
    <s v="Ingram-Cunningham"/>
    <s v="lindahorne@luna-nicholson.com"/>
    <n v="31"/>
    <s v="No"/>
    <n v="0"/>
  </r>
  <r>
    <s v="ORD1493"/>
    <x v="204"/>
    <d v="2025-06-08T00:00:00"/>
    <s v="CUST684"/>
    <x v="490"/>
    <x v="0"/>
    <s v="PROD3700"/>
    <s v="Rice Bag"/>
    <x v="3"/>
    <x v="3"/>
    <x v="9"/>
    <x v="481"/>
    <n v="3"/>
    <n v="2733"/>
    <n v="5"/>
    <n v="8566.0499999999993"/>
    <n v="7789.93"/>
    <n v="776.12"/>
    <s v="Credit card"/>
    <s v="Delivered"/>
    <s v="Price Ltd"/>
    <s v="xsmith@marquez.org"/>
    <n v="4"/>
    <s v="Yes"/>
    <n v="29"/>
  </r>
  <r>
    <s v="ORD1494"/>
    <x v="352"/>
    <d v="2024-02-07T00:00:00"/>
    <s v="CUST277"/>
    <x v="491"/>
    <x v="1"/>
    <s v="PROD2963"/>
    <s v="Stapler"/>
    <x v="0"/>
    <x v="3"/>
    <x v="30"/>
    <x v="482"/>
    <n v="2"/>
    <n v="604"/>
    <n v="20"/>
    <n v="1743.4"/>
    <n v="967.27"/>
    <n v="776.13"/>
    <s v="Net Banking"/>
    <s v="Delivered"/>
    <s v="Sandoval, Phillips and Williams"/>
    <s v="timothy37@gardner.com"/>
    <n v="35"/>
    <s v="No"/>
    <n v="0"/>
  </r>
  <r>
    <s v="ORD1495"/>
    <x v="244"/>
    <d v="2025-06-03T00:00:00"/>
    <s v="CUST597"/>
    <x v="492"/>
    <x v="1"/>
    <s v="PROD6960"/>
    <s v="File Folder"/>
    <x v="0"/>
    <x v="2"/>
    <x v="11"/>
    <x v="483"/>
    <n v="4"/>
    <n v="3598"/>
    <n v="5"/>
    <n v="14449.4"/>
    <n v="13673.25"/>
    <n v="776.15"/>
    <s v="Credit card"/>
    <s v="Returned"/>
    <s v="Macdonald, Jarvis and Cunningham"/>
    <s v="vanessa42@shields-oliver.net"/>
    <n v="3"/>
    <s v="Yes"/>
    <n v="50"/>
  </r>
  <r>
    <s v="ORD1496"/>
    <x v="353"/>
    <d v="2025-02-26T00:00:00"/>
    <s v="CUST804"/>
    <x v="493"/>
    <x v="1"/>
    <s v="PROD9147"/>
    <s v="Pen"/>
    <x v="0"/>
    <x v="1"/>
    <x v="20"/>
    <x v="484"/>
    <n v="4"/>
    <n v="372"/>
    <n v="5"/>
    <n v="2190.6"/>
    <n v="1414.46"/>
    <n v="776.14"/>
    <s v="UPI"/>
    <s v="Pending"/>
    <s v="Frazier-Martin"/>
    <s v="mmccullough@wilson-randolph.com"/>
    <n v="25"/>
    <s v="No"/>
    <n v="0"/>
  </r>
  <r>
    <s v="ORD1497"/>
    <x v="354"/>
    <d v="2023-12-03T00:00:00"/>
    <s v="CUST509"/>
    <x v="494"/>
    <x v="2"/>
    <s v="PROD7200"/>
    <s v="Dining Table"/>
    <x v="2"/>
    <x v="3"/>
    <x v="11"/>
    <x v="485"/>
    <n v="2"/>
    <n v="184"/>
    <n v="10"/>
    <n v="1108.2"/>
    <n v="332.05"/>
    <n v="776.15"/>
    <s v="UPI"/>
    <s v="Cancelled"/>
    <s v="Pena-Hahn"/>
    <s v="dawnfoster@norman.com"/>
    <n v="21"/>
    <s v="No"/>
    <n v="0"/>
  </r>
  <r>
    <s v="ORD1498"/>
    <x v="355"/>
    <d v="2025-02-13T00:00:00"/>
    <s v="CUST667"/>
    <x v="495"/>
    <x v="0"/>
    <s v="PROD6167"/>
    <s v="Monitor"/>
    <x v="1"/>
    <x v="0"/>
    <x v="40"/>
    <x v="486"/>
    <n v="3"/>
    <n v="4652"/>
    <n v="15"/>
    <n v="12639.6"/>
    <n v="11863.21"/>
    <n v="776.39"/>
    <s v="Net Banking"/>
    <s v="Pending"/>
    <s v="Walker-Taylor"/>
    <s v="christina64@simmons-barron.com"/>
    <n v="19"/>
    <s v="No"/>
    <n v="0"/>
  </r>
  <r>
    <s v="ORD1499"/>
    <x v="356"/>
    <d v="2024-07-17T00:00:00"/>
    <s v="CUST655"/>
    <x v="496"/>
    <x v="0"/>
    <s v="PROD8550"/>
    <s v="Juice Pack"/>
    <x v="3"/>
    <x v="3"/>
    <x v="9"/>
    <x v="487"/>
    <n v="5"/>
    <n v="4467"/>
    <n v="10"/>
    <n v="20878.5"/>
    <n v="20102.18"/>
    <n v="776.32"/>
    <s v="Cash"/>
    <s v="Returned"/>
    <s v="Fischer-Williams"/>
    <s v="sydney71@williams.com"/>
    <n v="28"/>
    <s v="No"/>
    <n v="0"/>
  </r>
  <r>
    <s v="ORD1500"/>
    <x v="4"/>
    <d v="2024-10-26T00:00:00"/>
    <s v="CUST610"/>
    <x v="497"/>
    <x v="0"/>
    <s v="PROD1433"/>
    <s v="File Folder"/>
    <x v="0"/>
    <x v="0"/>
    <x v="7"/>
    <x v="488"/>
    <n v="1"/>
    <n v="1285"/>
    <n v="0"/>
    <n v="2062"/>
    <n v="1285.6199999999999"/>
    <n v="776.38"/>
    <s v="Cash"/>
    <s v="Returned"/>
    <s v="Williams, Campos and Thompson"/>
    <s v="carmen26@black-clark.net"/>
    <n v="16"/>
    <s v="No"/>
    <n v="0"/>
  </r>
  <r>
    <s v="ORD1501"/>
    <x v="245"/>
    <d v="2024-06-22T00:00:00"/>
    <s v="CUST148"/>
    <x v="498"/>
    <x v="2"/>
    <s v="PROD9772"/>
    <s v="Dining Table"/>
    <x v="2"/>
    <x v="3"/>
    <x v="18"/>
    <x v="489"/>
    <n v="4"/>
    <n v="3022"/>
    <n v="5"/>
    <n v="12260.6"/>
    <n v="11484.25"/>
    <n v="776.35"/>
    <s v="UPI"/>
    <s v="Returned"/>
    <s v="Harrington-Morales"/>
    <s v="erica37@lucas.com"/>
    <n v="39"/>
    <s v="No"/>
    <n v="0"/>
  </r>
  <r>
    <s v="ORD1502"/>
    <x v="357"/>
    <d v="2024-08-23T00:00:00"/>
    <s v="CUST604"/>
    <x v="499"/>
    <x v="1"/>
    <s v="PROD8663"/>
    <s v="Bookshell"/>
    <x v="2"/>
    <x v="0"/>
    <x v="12"/>
    <x v="418"/>
    <n v="9"/>
    <n v="1691"/>
    <n v="0"/>
    <n v="15996"/>
    <n v="15219.9"/>
    <n v="776.1"/>
    <s v="Credit card"/>
    <s v="Pending"/>
    <s v="King Ltd"/>
    <s v="antoniohess@contreras-conway.com"/>
    <n v="14"/>
    <s v="No"/>
    <n v="0"/>
  </r>
  <r>
    <s v="ORD1503"/>
    <x v="183"/>
    <d v="2024-05-26T00:00:00"/>
    <s v="CUST495"/>
    <x v="500"/>
    <x v="0"/>
    <s v="PROD2259"/>
    <s v="Study Table"/>
    <x v="2"/>
    <x v="1"/>
    <x v="47"/>
    <x v="490"/>
    <n v="7"/>
    <n v="320"/>
    <n v="15"/>
    <n v="2681"/>
    <n v="1904.81"/>
    <n v="776.19"/>
    <s v="Cash"/>
    <s v="Returned"/>
    <s v="Thompson, Rivers and Mcdaniel"/>
    <s v="brandonblack@sanders.info"/>
    <n v="28"/>
    <s v="No"/>
    <n v="0"/>
  </r>
  <r>
    <s v="ORD1504"/>
    <x v="358"/>
    <d v="2025-01-22T00:00:00"/>
    <s v="CUST755"/>
    <x v="501"/>
    <x v="1"/>
    <s v="PROD9916"/>
    <s v="Rice Bag"/>
    <x v="3"/>
    <x v="2"/>
    <x v="4"/>
    <x v="491"/>
    <n v="10"/>
    <n v="3164"/>
    <n v="10"/>
    <n v="29253"/>
    <n v="28476.79"/>
    <n v="776.21"/>
    <s v="Cash"/>
    <s v="Delivered"/>
    <s v="Obrien-Johnson"/>
    <s v="finleymarc@martinez.biz"/>
    <n v="31"/>
    <s v="No"/>
    <n v="0"/>
  </r>
  <r>
    <s v="ORD1505"/>
    <x v="359"/>
    <d v="2025-10-18T00:00:00"/>
    <s v="CUST962"/>
    <x v="502"/>
    <x v="2"/>
    <s v="PROD6133"/>
    <s v="Headphones"/>
    <x v="1"/>
    <x v="3"/>
    <x v="19"/>
    <x v="492"/>
    <n v="1"/>
    <n v="4642"/>
    <n v="20"/>
    <n v="4490.6000000000004"/>
    <n v="3714.27"/>
    <n v="776.33"/>
    <s v="Net Banking"/>
    <s v="Returned"/>
    <s v="Thomas Group"/>
    <s v="bradley44@floyd.com"/>
    <n v="49"/>
    <s v="No"/>
    <n v="0"/>
  </r>
  <r>
    <s v="ORD1506"/>
    <x v="360"/>
    <d v="2024-05-31T00:00:00"/>
    <s v="CUST552"/>
    <x v="503"/>
    <x v="2"/>
    <s v="PROD4149"/>
    <s v="Stapler"/>
    <x v="0"/>
    <x v="1"/>
    <x v="40"/>
    <x v="493"/>
    <n v="8"/>
    <n v="2192"/>
    <n v="20"/>
    <n v="14805.8"/>
    <n v="14029.46"/>
    <n v="776.34"/>
    <s v="UPI"/>
    <s v="Cancelled"/>
    <s v="Carpenter, Atkinson and Scott"/>
    <s v="chaneyjennifer@santos-freeman.org"/>
    <n v="31"/>
    <s v="No"/>
    <n v="0"/>
  </r>
  <r>
    <s v="ORD1507"/>
    <x v="87"/>
    <d v="2025-01-01T00:00:00"/>
    <s v="CUST355"/>
    <x v="504"/>
    <x v="0"/>
    <s v="PROD8326"/>
    <s v="File Folder"/>
    <x v="0"/>
    <x v="1"/>
    <x v="11"/>
    <x v="494"/>
    <n v="3"/>
    <n v="141"/>
    <n v="5"/>
    <n v="1178.8499999999999"/>
    <n v="402.66"/>
    <n v="776.19"/>
    <s v="Credit card"/>
    <s v="Cancelled"/>
    <s v="White, Barr and Phillips"/>
    <s v="gonzaleztracy@ferguson.com"/>
    <n v="45"/>
    <s v="No"/>
    <n v="0"/>
  </r>
  <r>
    <s v="ORD1508"/>
    <x v="361"/>
    <d v="2024-12-13T00:00:00"/>
    <s v="CUST435"/>
    <x v="505"/>
    <x v="2"/>
    <s v="PROD2707"/>
    <s v="Cooking oil"/>
    <x v="3"/>
    <x v="2"/>
    <x v="30"/>
    <x v="495"/>
    <n v="6"/>
    <n v="1714"/>
    <n v="0"/>
    <n v="11061"/>
    <n v="10284.620000000001"/>
    <n v="776.38"/>
    <s v="Net Banking"/>
    <s v="Delivered"/>
    <s v="Reeves-Dougherty"/>
    <s v="williamsallen@rice.biz"/>
    <n v="30"/>
    <s v="No"/>
    <n v="0"/>
  </r>
  <r>
    <s v="ORD1509"/>
    <x v="62"/>
    <d v="2025-07-15T00:00:00"/>
    <s v="CUST412"/>
    <x v="506"/>
    <x v="2"/>
    <s v="PROD1691"/>
    <s v="Mouse"/>
    <x v="1"/>
    <x v="1"/>
    <x v="21"/>
    <x v="496"/>
    <n v="3"/>
    <n v="4665"/>
    <n v="5"/>
    <n v="14072.25"/>
    <n v="13296.04"/>
    <n v="776.21"/>
    <s v="Net Banking"/>
    <s v="Returned"/>
    <s v="Lewis Inc"/>
    <s v="bowersbecky@mitchell.org"/>
    <n v="11"/>
    <s v="No"/>
    <n v="0"/>
  </r>
  <r>
    <s v="ORD1510"/>
    <x v="362"/>
    <d v="2025-09-11T00:00:00"/>
    <s v="CUST691"/>
    <x v="507"/>
    <x v="1"/>
    <s v="PROD3729"/>
    <s v="Juice Pack"/>
    <x v="3"/>
    <x v="3"/>
    <x v="28"/>
    <x v="497"/>
    <n v="10"/>
    <n v="478"/>
    <n v="20"/>
    <n v="4601"/>
    <n v="3824.79"/>
    <n v="776.21"/>
    <s v="Credit card"/>
    <s v="Cancelled"/>
    <s v="Mckee, Dickson and Myers"/>
    <s v="garnerashley@dyer-kelly.info"/>
    <n v="34"/>
    <s v="No"/>
    <n v="0"/>
  </r>
  <r>
    <s v="ORD1511"/>
    <x v="285"/>
    <d v="2025-04-16T00:00:00"/>
    <s v="CUST821"/>
    <x v="508"/>
    <x v="2"/>
    <s v="PROD2713"/>
    <s v="Stapler"/>
    <x v="0"/>
    <x v="2"/>
    <x v="44"/>
    <x v="498"/>
    <n v="6"/>
    <n v="1851"/>
    <n v="5"/>
    <n v="11327.7"/>
    <n v="10551.49"/>
    <n v="776.21"/>
    <s v="UPI"/>
    <s v="Cancelled"/>
    <s v="Nguyen, Hogan and Hicks"/>
    <s v="dtucker@brown-gordon.biz"/>
    <n v="16"/>
    <s v="No"/>
    <n v="0"/>
  </r>
  <r>
    <s v="ORD1512"/>
    <x v="30"/>
    <d v="2025-08-15T00:00:00"/>
    <s v="CUST528"/>
    <x v="509"/>
    <x v="0"/>
    <s v="PROD7738"/>
    <s v="Sofa"/>
    <x v="2"/>
    <x v="2"/>
    <x v="7"/>
    <x v="499"/>
    <n v="3"/>
    <n v="4830"/>
    <n v="20"/>
    <n v="12369"/>
    <n v="11592.66"/>
    <n v="776.34"/>
    <s v="Cash"/>
    <s v="Cancelled"/>
    <s v="Bates PLC"/>
    <s v="fosterchase@ross-tucker.com"/>
    <n v="30"/>
    <s v="No"/>
    <n v="0"/>
  </r>
  <r>
    <s v="ORD1513"/>
    <x v="54"/>
    <d v="2024-05-22T00:00:00"/>
    <s v="CUST992"/>
    <x v="510"/>
    <x v="2"/>
    <s v="PROD9221"/>
    <s v="Headphones"/>
    <x v="1"/>
    <x v="1"/>
    <x v="38"/>
    <x v="500"/>
    <n v="2"/>
    <n v="3121"/>
    <n v="10"/>
    <n v="6394.8"/>
    <n v="5618.57"/>
    <n v="776.23"/>
    <s v="Net Banking"/>
    <s v="Returned"/>
    <s v="Robinson-Davis"/>
    <s v="karencoleman@henderson-cox.com"/>
    <n v="26"/>
    <s v="No"/>
    <n v="0"/>
  </r>
  <r>
    <s v="ORD1514"/>
    <x v="178"/>
    <d v="2025-05-04T00:00:00"/>
    <s v="CUST434"/>
    <x v="511"/>
    <x v="2"/>
    <s v="PROD2345"/>
    <s v="Office Chair"/>
    <x v="2"/>
    <x v="0"/>
    <x v="27"/>
    <x v="501"/>
    <n v="6"/>
    <n v="2349"/>
    <n v="15"/>
    <n v="12756.9"/>
    <n v="11980.77"/>
    <n v="776.13"/>
    <s v="UPI"/>
    <s v="Pending"/>
    <s v="Faulkner-Payne"/>
    <s v="rebecca10@young.net"/>
    <n v="2"/>
    <s v="Yes"/>
    <n v="37"/>
  </r>
  <r>
    <s v="ORD1515"/>
    <x v="363"/>
    <d v="2024-03-21T00:00:00"/>
    <s v="CUST199"/>
    <x v="512"/>
    <x v="1"/>
    <s v="PROD9581"/>
    <s v="Mouse"/>
    <x v="1"/>
    <x v="1"/>
    <x v="35"/>
    <x v="502"/>
    <n v="6"/>
    <n v="2655"/>
    <n v="20"/>
    <n v="13521"/>
    <n v="12744.89"/>
    <n v="776.11"/>
    <s v="Cash"/>
    <s v="Delivered"/>
    <s v="Moore, Simpson and Moody"/>
    <s v="washingtonnatalie@duffy.org"/>
    <n v="45"/>
    <s v="No"/>
    <n v="0"/>
  </r>
  <r>
    <s v="ORD1516"/>
    <x v="138"/>
    <d v="2025-04-08T00:00:00"/>
    <s v="CUST193"/>
    <x v="513"/>
    <x v="0"/>
    <s v="PROD3435"/>
    <s v="Monitor"/>
    <x v="1"/>
    <x v="1"/>
    <x v="30"/>
    <x v="503"/>
    <n v="8"/>
    <n v="1915"/>
    <n v="0"/>
    <n v="16097"/>
    <n v="15320.75"/>
    <n v="776.25"/>
    <s v="Net Banking"/>
    <s v="Pending"/>
    <s v="Fisher-Dominguez"/>
    <s v="robertsmith@white.com"/>
    <n v="42"/>
    <s v="No"/>
    <n v="0"/>
  </r>
  <r>
    <s v="ORD1517"/>
    <x v="337"/>
    <d v="2025-06-21T00:00:00"/>
    <s v="CUST530"/>
    <x v="514"/>
    <x v="0"/>
    <s v="PROD2299"/>
    <s v="Cooking oil"/>
    <x v="3"/>
    <x v="2"/>
    <x v="36"/>
    <x v="504"/>
    <n v="5"/>
    <n v="1360"/>
    <n v="15"/>
    <n v="6557"/>
    <n v="5780.82"/>
    <n v="776.18"/>
    <s v="Net Banking"/>
    <s v="Delivered"/>
    <s v="Mcdonald Ltd"/>
    <s v="wreeves@brooks.org"/>
    <n v="11"/>
    <s v="No"/>
    <n v="0"/>
  </r>
  <r>
    <s v="ORD1518"/>
    <x v="364"/>
    <d v="2025-02-28T00:00:00"/>
    <s v="CUST367"/>
    <x v="515"/>
    <x v="2"/>
    <s v="PROD6221"/>
    <s v="Sofa"/>
    <x v="2"/>
    <x v="2"/>
    <x v="25"/>
    <x v="505"/>
    <n v="6"/>
    <n v="846"/>
    <n v="15"/>
    <n v="5091.6000000000004"/>
    <n v="4315.37"/>
    <n v="776.23"/>
    <s v="Cash"/>
    <s v="Pending"/>
    <s v="Campos and Sons"/>
    <s v="nwheeler@ramos.info"/>
    <n v="26"/>
    <s v="No"/>
    <n v="0"/>
  </r>
  <r>
    <s v="ORD1519"/>
    <x v="365"/>
    <d v="2025-03-04T00:00:00"/>
    <s v="CUST138"/>
    <x v="516"/>
    <x v="0"/>
    <s v="PROD7228"/>
    <s v="Bookshell"/>
    <x v="2"/>
    <x v="2"/>
    <x v="41"/>
    <x v="506"/>
    <n v="2"/>
    <n v="1528"/>
    <n v="5"/>
    <n v="3680.2"/>
    <n v="2903.98"/>
    <n v="776.22"/>
    <s v="UPI"/>
    <s v="Delivered"/>
    <s v="Mahoney-Oliver"/>
    <s v="christinamayo@rivera.com"/>
    <n v="6"/>
    <s v="Yes"/>
    <n v="47"/>
  </r>
  <r>
    <s v="ORD1520"/>
    <x v="234"/>
    <d v="2024-07-20T00:00:00"/>
    <s v="CUST145"/>
    <x v="517"/>
    <x v="2"/>
    <s v="PROD1670"/>
    <s v="Sugar"/>
    <x v="3"/>
    <x v="0"/>
    <x v="46"/>
    <x v="507"/>
    <n v="1"/>
    <n v="530"/>
    <n v="5"/>
    <n v="1280.5"/>
    <n v="504.37"/>
    <n v="776.13"/>
    <s v="Cash"/>
    <s v="Delivered"/>
    <s v="Bray and Sons"/>
    <s v="bradshawjustin@carter.biz"/>
    <n v="39"/>
    <s v="No"/>
    <n v="0"/>
  </r>
  <r>
    <s v="ORD1521"/>
    <x v="43"/>
    <d v="2024-11-19T00:00:00"/>
    <s v="CUST830"/>
    <x v="518"/>
    <x v="0"/>
    <s v="PROD5369"/>
    <s v="Office Chair"/>
    <x v="2"/>
    <x v="1"/>
    <x v="22"/>
    <x v="508"/>
    <n v="7"/>
    <n v="1802"/>
    <n v="0"/>
    <n v="13391"/>
    <n v="12614.66"/>
    <n v="776.34"/>
    <s v="Credit card"/>
    <s v="Returned"/>
    <s v="Rodriguez Group"/>
    <s v="parkmichelle@johnson.org"/>
    <n v="46"/>
    <s v="No"/>
    <n v="0"/>
  </r>
  <r>
    <s v="ORD1522"/>
    <x v="366"/>
    <d v="2023-12-06T00:00:00"/>
    <s v="CUST798"/>
    <x v="519"/>
    <x v="0"/>
    <s v="PROD8005"/>
    <s v="Sofa"/>
    <x v="2"/>
    <x v="2"/>
    <x v="30"/>
    <x v="509"/>
    <n v="4"/>
    <n v="840"/>
    <n v="15"/>
    <n v="3633"/>
    <n v="2856.61"/>
    <n v="776.39"/>
    <s v="UPI"/>
    <s v="Cancelled"/>
    <s v="Williams-Fox"/>
    <s v="richard75@reed-santos.com"/>
    <n v="10"/>
    <s v="No"/>
    <n v="0"/>
  </r>
  <r>
    <s v="ORD1523"/>
    <x v="367"/>
    <d v="2023-12-13T00:00:00"/>
    <s v="CUST632"/>
    <x v="520"/>
    <x v="2"/>
    <s v="PROD8155"/>
    <s v="Sugar"/>
    <x v="3"/>
    <x v="0"/>
    <x v="38"/>
    <x v="510"/>
    <n v="10"/>
    <n v="2596"/>
    <n v="0"/>
    <n v="26737"/>
    <n v="25960.85"/>
    <n v="776.15"/>
    <s v="Credit card"/>
    <s v="Cancelled"/>
    <s v="Terry-Peterson"/>
    <s v="meganchapman@mcdonald.com"/>
    <n v="13"/>
    <s v="No"/>
    <n v="0"/>
  </r>
  <r>
    <s v="ORD1524"/>
    <x v="368"/>
    <d v="2023-12-22T00:00:00"/>
    <s v="CUST426"/>
    <x v="521"/>
    <x v="2"/>
    <s v="PROD1960"/>
    <s v="Juice Pack"/>
    <x v="3"/>
    <x v="1"/>
    <x v="36"/>
    <x v="511"/>
    <n v="2"/>
    <n v="886"/>
    <n v="20"/>
    <n v="2194.6"/>
    <n v="1418.3"/>
    <n v="776.3"/>
    <s v="Credit card"/>
    <s v="Cancelled"/>
    <s v="Klein LLC"/>
    <s v="lucas78@monroe.com"/>
    <n v="10"/>
    <s v="No"/>
    <n v="0"/>
  </r>
  <r>
    <s v="ORD1525"/>
    <x v="369"/>
    <d v="2025-07-01T00:00:00"/>
    <s v="CUST916"/>
    <x v="522"/>
    <x v="2"/>
    <s v="PROD9248"/>
    <s v="Headphones"/>
    <x v="1"/>
    <x v="3"/>
    <x v="20"/>
    <x v="512"/>
    <n v="4"/>
    <n v="346"/>
    <n v="0"/>
    <n v="2161"/>
    <n v="1384.87"/>
    <n v="776.13"/>
    <s v="Net Banking"/>
    <s v="Pending"/>
    <s v="Anthony PLC"/>
    <s v="beckerkenneth@powers.com"/>
    <n v="44"/>
    <s v="No"/>
    <n v="0"/>
  </r>
  <r>
    <s v="ORD1526"/>
    <x v="13"/>
    <d v="2025-06-22T00:00:00"/>
    <s v="CUST743"/>
    <x v="523"/>
    <x v="0"/>
    <s v="PROD2771"/>
    <s v="Notebook"/>
    <x v="0"/>
    <x v="2"/>
    <x v="5"/>
    <x v="513"/>
    <n v="7"/>
    <n v="1644"/>
    <n v="5"/>
    <n v="11709.6"/>
    <n v="10933.22"/>
    <n v="776.38"/>
    <s v="Net Banking"/>
    <s v="Pending"/>
    <s v="Gordon, James and Stafford"/>
    <s v="zacharymunoz@murphy-pierce.net"/>
    <n v="46"/>
    <s v="No"/>
    <n v="0"/>
  </r>
  <r>
    <s v="ORD1527"/>
    <x v="370"/>
    <d v="2025-07-13T00:00:00"/>
    <s v="CUST174"/>
    <x v="524"/>
    <x v="0"/>
    <s v="PROD7793"/>
    <s v="Notebook"/>
    <x v="0"/>
    <x v="2"/>
    <x v="11"/>
    <x v="514"/>
    <n v="7"/>
    <n v="1819"/>
    <n v="10"/>
    <n v="12236.7"/>
    <n v="11460.3"/>
    <n v="776.4"/>
    <s v="UPI"/>
    <s v="Returned"/>
    <s v="Davis PLC"/>
    <s v="diane58@cooper-mcgrath.org"/>
    <n v="17"/>
    <s v="No"/>
    <n v="0"/>
  </r>
  <r>
    <s v="ORD1528"/>
    <x v="143"/>
    <d v="2024-12-04T00:00:00"/>
    <s v="CUST433"/>
    <x v="525"/>
    <x v="1"/>
    <s v="PROD7396"/>
    <s v="Monitor"/>
    <x v="1"/>
    <x v="0"/>
    <x v="9"/>
    <x v="515"/>
    <n v="2"/>
    <n v="4106"/>
    <n v="15"/>
    <n v="7757.2"/>
    <n v="6980.84"/>
    <n v="776.36"/>
    <s v="UPI"/>
    <s v="Pending"/>
    <s v="Lindsey LLC"/>
    <s v="pattersontracy@everett.com"/>
    <n v="37"/>
    <s v="No"/>
    <n v="0"/>
  </r>
  <r>
    <s v="ORD1529"/>
    <x v="145"/>
    <d v="2024-07-12T00:00:00"/>
    <s v="CUST210"/>
    <x v="526"/>
    <x v="0"/>
    <s v="PROD8215"/>
    <s v="Dining Table"/>
    <x v="2"/>
    <x v="1"/>
    <x v="5"/>
    <x v="516"/>
    <n v="1"/>
    <n v="3211"/>
    <n v="0"/>
    <n v="3988"/>
    <n v="3211.68"/>
    <n v="776.32"/>
    <s v="Net Banking"/>
    <s v="Returned"/>
    <s v="Mcintyre Group"/>
    <s v="kevin78@robinson.com"/>
    <n v="46"/>
    <s v="No"/>
    <n v="0"/>
  </r>
  <r>
    <s v="ORD1530"/>
    <x v="371"/>
    <d v="2025-01-19T00:00:00"/>
    <s v="CUST231"/>
    <x v="527"/>
    <x v="1"/>
    <s v="PROD3037"/>
    <s v="Office Chair"/>
    <x v="2"/>
    <x v="3"/>
    <x v="22"/>
    <x v="517"/>
    <n v="8"/>
    <n v="1683"/>
    <n v="10"/>
    <n v="12894.6"/>
    <n v="12118.34"/>
    <n v="776.26"/>
    <s v="Net Banking"/>
    <s v="Delivered"/>
    <s v="Hendricks and Sons"/>
    <s v="carrolltiffany@campbell-robertson.com"/>
    <n v="45"/>
    <s v="No"/>
    <n v="0"/>
  </r>
  <r>
    <s v="ORD1531"/>
    <x v="372"/>
    <d v="2024-08-31T00:00:00"/>
    <s v="CUST906"/>
    <x v="528"/>
    <x v="2"/>
    <s v="PROD8351"/>
    <s v="Dining Table"/>
    <x v="2"/>
    <x v="2"/>
    <x v="13"/>
    <x v="518"/>
    <n v="3"/>
    <n v="2014"/>
    <n v="20"/>
    <n v="5610.6"/>
    <n v="4834.28"/>
    <n v="776.32"/>
    <s v="Net Banking"/>
    <s v="Pending"/>
    <s v="Schmitt, Allen and Harris"/>
    <s v="halljasmine@morris.com"/>
    <n v="3"/>
    <s v="Yes"/>
    <n v="48"/>
  </r>
  <r>
    <s v="ORD1532"/>
    <x v="373"/>
    <d v="2025-04-14T00:00:00"/>
    <s v="CUST167"/>
    <x v="529"/>
    <x v="0"/>
    <s v="PROD9347"/>
    <s v="Notebook"/>
    <x v="0"/>
    <x v="0"/>
    <x v="2"/>
    <x v="519"/>
    <n v="2"/>
    <n v="1412"/>
    <n v="15"/>
    <n v="3177.4"/>
    <n v="2401.29"/>
    <n v="776.11"/>
    <s v="Credit card"/>
    <s v="Pending"/>
    <s v="Dixon PLC"/>
    <s v="deniseobrien@arnold.com"/>
    <n v="4"/>
    <s v="Yes"/>
    <n v="29"/>
  </r>
  <r>
    <s v="ORD1533"/>
    <x v="90"/>
    <d v="2023-12-08T00:00:00"/>
    <s v="CUST653"/>
    <x v="530"/>
    <x v="1"/>
    <s v="PROD5016"/>
    <s v="Mouse"/>
    <x v="1"/>
    <x v="1"/>
    <x v="9"/>
    <x v="520"/>
    <n v="3"/>
    <n v="4221"/>
    <n v="20"/>
    <n v="10907.4"/>
    <n v="10131.26"/>
    <n v="776.14"/>
    <s v="UPI"/>
    <s v="Returned"/>
    <s v="White, Garcia and Smith"/>
    <s v="christopher14@santos.com"/>
    <n v="33"/>
    <s v="No"/>
    <n v="0"/>
  </r>
  <r>
    <s v="ORD1534"/>
    <x v="15"/>
    <d v="2024-01-05T00:00:00"/>
    <s v="CUST150"/>
    <x v="531"/>
    <x v="1"/>
    <s v="PROD6038"/>
    <s v="Sugar"/>
    <x v="3"/>
    <x v="0"/>
    <x v="3"/>
    <x v="521"/>
    <n v="3"/>
    <n v="432"/>
    <n v="5"/>
    <n v="2008.2"/>
    <n v="1232.07"/>
    <n v="776.13"/>
    <s v="Cash"/>
    <s v="Cancelled"/>
    <s v="Davis and Sons"/>
    <s v="allenerin@davis.com"/>
    <n v="5"/>
    <s v="Yes"/>
    <n v="40"/>
  </r>
  <r>
    <s v="ORD1535"/>
    <x v="110"/>
    <d v="2024-04-24T00:00:00"/>
    <s v="CUST710"/>
    <x v="532"/>
    <x v="0"/>
    <s v="PROD6224"/>
    <s v="Cooking oil"/>
    <x v="3"/>
    <x v="3"/>
    <x v="37"/>
    <x v="522"/>
    <n v="10"/>
    <n v="4564"/>
    <n v="15"/>
    <n v="39571"/>
    <n v="38794.74"/>
    <n v="776.26"/>
    <s v="Cash"/>
    <s v="Returned"/>
    <s v="Pope-Ross"/>
    <s v="williamsjames@oliver.net"/>
    <n v="43"/>
    <s v="No"/>
    <n v="0"/>
  </r>
  <r>
    <s v="ORD1536"/>
    <x v="374"/>
    <d v="2025-07-10T00:00:00"/>
    <s v="CUST581"/>
    <x v="533"/>
    <x v="0"/>
    <s v="PROD3617"/>
    <s v="Pen"/>
    <x v="0"/>
    <x v="3"/>
    <x v="21"/>
    <x v="523"/>
    <n v="10"/>
    <n v="2570"/>
    <n v="5"/>
    <n v="25192"/>
    <n v="24415.9"/>
    <n v="776.1"/>
    <s v="Credit card"/>
    <s v="Cancelled"/>
    <s v="Fuller, Smith and Brown"/>
    <s v="franconicholas@jordan.org"/>
    <n v="5"/>
    <s v="Yes"/>
    <n v="41"/>
  </r>
  <r>
    <s v="ORD1537"/>
    <x v="375"/>
    <d v="2025-08-22T00:00:00"/>
    <s v="CUST174"/>
    <x v="534"/>
    <x v="2"/>
    <s v="PROD4604"/>
    <s v="Sofa"/>
    <x v="2"/>
    <x v="1"/>
    <x v="29"/>
    <x v="524"/>
    <n v="10"/>
    <n v="4458"/>
    <n v="20"/>
    <n v="36441"/>
    <n v="35664.76"/>
    <n v="776.24"/>
    <s v="Credit card"/>
    <s v="Pending"/>
    <s v="Gomez-Reed"/>
    <s v="jenniferscott@smith.biz"/>
    <n v="25"/>
    <s v="No"/>
    <n v="0"/>
  </r>
  <r>
    <s v="ORD1538"/>
    <x v="189"/>
    <d v="2024-03-08T00:00:00"/>
    <s v="CUST401"/>
    <x v="535"/>
    <x v="1"/>
    <s v="PROD1699"/>
    <s v="Keyboard"/>
    <x v="1"/>
    <x v="2"/>
    <x v="43"/>
    <x v="525"/>
    <n v="2"/>
    <n v="4460"/>
    <n v="5"/>
    <n v="9251"/>
    <n v="8474.66"/>
    <n v="776.34"/>
    <s v="Credit card"/>
    <s v="Returned"/>
    <s v="Dennis, Mendoza and Gilbert"/>
    <s v="kristenjackson@barton-blackburn.com"/>
    <n v="10"/>
    <s v="No"/>
    <n v="0"/>
  </r>
  <r>
    <s v="ORD1539"/>
    <x v="376"/>
    <d v="2025-01-13T00:00:00"/>
    <s v="CUST759"/>
    <x v="536"/>
    <x v="2"/>
    <s v="PROD8561"/>
    <s v="Study Table"/>
    <x v="2"/>
    <x v="2"/>
    <x v="26"/>
    <x v="526"/>
    <n v="8"/>
    <n v="2307"/>
    <n v="10"/>
    <n v="17387.400000000001"/>
    <n v="16611.150000000001"/>
    <n v="776.25"/>
    <s v="Cash"/>
    <s v="Cancelled"/>
    <s v="Adams Ltd"/>
    <s v="deborah99@santana.org"/>
    <n v="5"/>
    <s v="Yes"/>
    <n v="31"/>
  </r>
  <r>
    <s v="ORD1540"/>
    <x v="377"/>
    <d v="2025-09-07T00:00:00"/>
    <s v="CUST412"/>
    <x v="537"/>
    <x v="2"/>
    <s v="PROD6900"/>
    <s v="Mouse"/>
    <x v="1"/>
    <x v="2"/>
    <x v="16"/>
    <x v="527"/>
    <n v="6"/>
    <n v="492"/>
    <n v="10"/>
    <n v="3433.8"/>
    <n v="2657.51"/>
    <n v="776.29"/>
    <s v="Net Banking"/>
    <s v="Delivered"/>
    <s v="Sullivan and Sons"/>
    <s v="ginaroberts@lewis-smith.com"/>
    <n v="37"/>
    <s v="No"/>
    <n v="0"/>
  </r>
  <r>
    <s v="ORD1541"/>
    <x v="378"/>
    <d v="2025-10-18T00:00:00"/>
    <s v="CUST991"/>
    <x v="538"/>
    <x v="0"/>
    <s v="PROD3800"/>
    <s v="Sofa"/>
    <x v="2"/>
    <x v="0"/>
    <x v="14"/>
    <x v="528"/>
    <n v="4"/>
    <n v="2243"/>
    <n v="0"/>
    <n v="9749"/>
    <n v="8972.6299999999992"/>
    <n v="776.37"/>
    <s v="Cash"/>
    <s v="Pending"/>
    <s v="Carlson, Parks and Spears"/>
    <s v="ehill@davis.org"/>
    <n v="31"/>
    <s v="No"/>
    <n v="0"/>
  </r>
  <r>
    <s v="ORD1542"/>
    <x v="379"/>
    <d v="2024-05-04T00:00:00"/>
    <s v="CUST440"/>
    <x v="539"/>
    <x v="2"/>
    <s v="PROD1637"/>
    <s v="Dining Table"/>
    <x v="2"/>
    <x v="3"/>
    <x v="25"/>
    <x v="529"/>
    <n v="6"/>
    <n v="3358"/>
    <n v="5"/>
    <n v="19917.599999999999"/>
    <n v="19141.259999999998"/>
    <n v="776.34"/>
    <s v="UPI"/>
    <s v="Pending"/>
    <s v="Jacobs, Stuart and Taylor"/>
    <s v="perezamanda@paul.com"/>
    <n v="12"/>
    <s v="No"/>
    <n v="0"/>
  </r>
  <r>
    <s v="ORD1543"/>
    <x v="222"/>
    <d v="2025-05-27T00:00:00"/>
    <s v="CUST730"/>
    <x v="540"/>
    <x v="0"/>
    <s v="PROD6779"/>
    <s v="Mouse"/>
    <x v="1"/>
    <x v="2"/>
    <x v="29"/>
    <x v="530"/>
    <n v="6"/>
    <n v="4417"/>
    <n v="0"/>
    <n v="27279"/>
    <n v="26502.6"/>
    <n v="776.4"/>
    <s v="Net Banking"/>
    <s v="Cancelled"/>
    <s v="Conley Inc"/>
    <s v="langkathryn@kennedy.com"/>
    <n v="41"/>
    <s v="No"/>
    <n v="0"/>
  </r>
  <r>
    <s v="ORD1544"/>
    <x v="294"/>
    <d v="2024-05-16T00:00:00"/>
    <s v="CUST762"/>
    <x v="541"/>
    <x v="1"/>
    <s v="PROD7162"/>
    <s v="Stapler"/>
    <x v="0"/>
    <x v="2"/>
    <x v="23"/>
    <x v="318"/>
    <n v="9"/>
    <n v="3202"/>
    <n v="10"/>
    <n v="26713.200000000001"/>
    <n v="25936.82"/>
    <n v="776.38"/>
    <s v="Net Banking"/>
    <s v="Returned"/>
    <s v="Mcneil Inc"/>
    <s v="williamsjenny@kennedy-cummings.com"/>
    <n v="31"/>
    <s v="No"/>
    <n v="0"/>
  </r>
  <r>
    <s v="ORD1545"/>
    <x v="154"/>
    <d v="2024-07-07T00:00:00"/>
    <s v="CUST616"/>
    <x v="542"/>
    <x v="2"/>
    <s v="PROD5752"/>
    <s v="Headphones"/>
    <x v="1"/>
    <x v="0"/>
    <x v="3"/>
    <x v="531"/>
    <n v="6"/>
    <n v="2728"/>
    <n v="5"/>
    <n v="16326.6"/>
    <n v="15550.24"/>
    <n v="776.36"/>
    <s v="Credit card"/>
    <s v="Delivered"/>
    <s v="Robinson and Sons"/>
    <s v="josephnash@hampton-howard.com"/>
    <n v="50"/>
    <s v="No"/>
    <n v="0"/>
  </r>
  <r>
    <s v="ORD1546"/>
    <x v="142"/>
    <d v="2024-04-22T00:00:00"/>
    <s v="CUST753"/>
    <x v="543"/>
    <x v="0"/>
    <s v="PROD7040"/>
    <s v="Notebook"/>
    <x v="0"/>
    <x v="2"/>
    <x v="43"/>
    <x v="532"/>
    <n v="3"/>
    <n v="3319"/>
    <n v="10"/>
    <n v="9738.2999999999993"/>
    <n v="8962.09"/>
    <n v="776.21"/>
    <s v="Credit card"/>
    <s v="Returned"/>
    <s v="Baldwin, Rodriguez and Jones"/>
    <s v="fergusonmichael@white.com"/>
    <n v="20"/>
    <s v="No"/>
    <n v="0"/>
  </r>
  <r>
    <s v="ORD1547"/>
    <x v="380"/>
    <d v="2024-01-29T00:00:00"/>
    <s v="CUST830"/>
    <x v="544"/>
    <x v="0"/>
    <s v="PROD7064"/>
    <s v="Mouse"/>
    <x v="1"/>
    <x v="0"/>
    <x v="39"/>
    <x v="533"/>
    <n v="3"/>
    <n v="3664"/>
    <n v="0"/>
    <n v="11769"/>
    <n v="10992.61"/>
    <n v="776.39"/>
    <s v="Credit card"/>
    <s v="Returned"/>
    <s v="Miller, Williamson and Johnson"/>
    <s v="andrea79@smith-campbell.org"/>
    <n v="45"/>
    <s v="No"/>
    <n v="0"/>
  </r>
  <r>
    <s v="ORD1548"/>
    <x v="74"/>
    <d v="2025-06-28T00:00:00"/>
    <s v="CUST652"/>
    <x v="545"/>
    <x v="0"/>
    <s v="PROD7531"/>
    <s v="Stapler"/>
    <x v="0"/>
    <x v="0"/>
    <x v="34"/>
    <x v="534"/>
    <n v="6"/>
    <n v="4279"/>
    <n v="15"/>
    <n v="22599.9"/>
    <n v="21823.58"/>
    <n v="776.32"/>
    <s v="UPI"/>
    <s v="Cancelled"/>
    <s v="Moreno LLC"/>
    <s v="jeremy40@richardson.org"/>
    <n v="12"/>
    <s v="No"/>
    <n v="0"/>
  </r>
  <r>
    <s v="ORD1549"/>
    <x v="381"/>
    <d v="2025-04-12T00:00:00"/>
    <s v="CUST947"/>
    <x v="546"/>
    <x v="0"/>
    <s v="PROD8885"/>
    <s v="Pen"/>
    <x v="0"/>
    <x v="0"/>
    <x v="2"/>
    <x v="535"/>
    <n v="8"/>
    <n v="3587"/>
    <n v="5"/>
    <n v="28038.2"/>
    <n v="27261.83"/>
    <n v="776.37"/>
    <s v="Credit card"/>
    <s v="Delivered"/>
    <s v="Brown-Wood"/>
    <s v="samanthaallen@collins.net"/>
    <n v="33"/>
    <s v="No"/>
    <n v="0"/>
  </r>
  <r>
    <s v="ORD1550"/>
    <x v="382"/>
    <d v="2025-01-09T00:00:00"/>
    <s v="CUST245"/>
    <x v="547"/>
    <x v="1"/>
    <s v="PROD2317"/>
    <s v="Notebook"/>
    <x v="0"/>
    <x v="3"/>
    <x v="3"/>
    <x v="536"/>
    <n v="2"/>
    <n v="3903"/>
    <n v="15"/>
    <n v="7412.1"/>
    <n v="6635.71"/>
    <n v="776.39"/>
    <s v="Credit card"/>
    <s v="Delivered"/>
    <s v="Rojas, Noble and Cuevas"/>
    <s v="xmills@haynes.com"/>
    <n v="1"/>
    <s v="Yes"/>
    <n v="34"/>
  </r>
  <r>
    <s v="ORD1551"/>
    <x v="288"/>
    <d v="2024-04-05T00:00:00"/>
    <s v="CUST631"/>
    <x v="548"/>
    <x v="0"/>
    <s v="PROD4783"/>
    <s v="Keyboard"/>
    <x v="1"/>
    <x v="3"/>
    <x v="17"/>
    <x v="537"/>
    <n v="2"/>
    <n v="1688"/>
    <n v="10"/>
    <n v="3815.4"/>
    <n v="3039.27"/>
    <n v="776.13"/>
    <s v="UPI"/>
    <s v="Delivered"/>
    <s v="Fitzpatrick, Stevens and Gardner"/>
    <s v="amanda49@rich.com"/>
    <n v="47"/>
    <s v="No"/>
    <n v="0"/>
  </r>
  <r>
    <s v="ORD1552"/>
    <x v="249"/>
    <d v="2024-05-17T00:00:00"/>
    <s v="CUST623"/>
    <x v="549"/>
    <x v="0"/>
    <s v="PROD5887"/>
    <s v="Headphones"/>
    <x v="1"/>
    <x v="3"/>
    <x v="33"/>
    <x v="538"/>
    <n v="4"/>
    <n v="3484"/>
    <n v="20"/>
    <n v="11925.8"/>
    <n v="11149.68"/>
    <n v="776.12"/>
    <s v="UPI"/>
    <s v="Cancelled"/>
    <s v="Anderson, Morales and Nelson"/>
    <s v="wmelton@hebert.biz"/>
    <n v="30"/>
    <s v="No"/>
    <n v="0"/>
  </r>
  <r>
    <s v="ORD1553"/>
    <x v="383"/>
    <d v="2024-04-17T00:00:00"/>
    <s v="CUST494"/>
    <x v="550"/>
    <x v="1"/>
    <s v="PROD7388"/>
    <s v="Bookshell"/>
    <x v="2"/>
    <x v="2"/>
    <x v="23"/>
    <x v="539"/>
    <n v="8"/>
    <n v="3333"/>
    <n v="20"/>
    <n v="22108.2"/>
    <n v="21331.95"/>
    <n v="776.25"/>
    <s v="UPI"/>
    <s v="Returned"/>
    <s v="Scott Ltd"/>
    <s v="bobby75@martinez-evans.org"/>
    <n v="22"/>
    <s v="No"/>
    <n v="0"/>
  </r>
  <r>
    <s v="ORD1554"/>
    <x v="384"/>
    <d v="2024-03-09T00:00:00"/>
    <s v="CUST984"/>
    <x v="551"/>
    <x v="0"/>
    <s v="PROD1379"/>
    <s v="Cooking oil"/>
    <x v="3"/>
    <x v="3"/>
    <x v="0"/>
    <x v="540"/>
    <n v="6"/>
    <n v="1549"/>
    <n v="0"/>
    <n v="10071"/>
    <n v="9294.7000000000007"/>
    <n v="776.3"/>
    <s v="Credit card"/>
    <s v="Pending"/>
    <s v="Murray LLC"/>
    <s v="victoria14@proctor.com"/>
    <n v="36"/>
    <s v="No"/>
    <n v="0"/>
  </r>
  <r>
    <s v="ORD1555"/>
    <x v="11"/>
    <d v="2024-11-27T00:00:00"/>
    <s v="CUST893"/>
    <x v="552"/>
    <x v="2"/>
    <s v="PROD6204"/>
    <s v="Cooking oil"/>
    <x v="3"/>
    <x v="1"/>
    <x v="21"/>
    <x v="541"/>
    <n v="9"/>
    <n v="926"/>
    <n v="5"/>
    <n v="8694.2999999999993"/>
    <n v="7918.14"/>
    <n v="776.16"/>
    <s v="UPI"/>
    <s v="Delivered"/>
    <s v="Proctor LLC"/>
    <s v="caitlinmurphy@harris-horton.biz"/>
    <n v="44"/>
    <s v="No"/>
    <n v="0"/>
  </r>
  <r>
    <s v="ORD1556"/>
    <x v="3"/>
    <d v="2024-07-27T00:00:00"/>
    <s v="CUST825"/>
    <x v="553"/>
    <x v="0"/>
    <s v="PROD5186"/>
    <s v="Headphones"/>
    <x v="1"/>
    <x v="2"/>
    <x v="7"/>
    <x v="542"/>
    <n v="6"/>
    <n v="1217"/>
    <n v="5"/>
    <n v="7713.9"/>
    <n v="6937.61"/>
    <n v="776.29"/>
    <s v="UPI"/>
    <s v="Pending"/>
    <s v="Pitts, Nichols and Cook"/>
    <s v="gregory83@skinner.com"/>
    <n v="33"/>
    <s v="No"/>
    <n v="0"/>
  </r>
  <r>
    <s v="ORD1557"/>
    <x v="385"/>
    <d v="2024-07-17T00:00:00"/>
    <s v="CUST769"/>
    <x v="554"/>
    <x v="1"/>
    <s v="PROD5749"/>
    <s v="Office Chair"/>
    <x v="2"/>
    <x v="3"/>
    <x v="17"/>
    <x v="543"/>
    <n v="10"/>
    <n v="1352"/>
    <n v="10"/>
    <n v="12945"/>
    <n v="12168.73"/>
    <n v="776.27"/>
    <s v="Net Banking"/>
    <s v="Delivered"/>
    <s v="Newton, West and Moore"/>
    <s v="lewisjason@stewart.net"/>
    <n v="4"/>
    <s v="Yes"/>
    <n v="29"/>
  </r>
  <r>
    <s v="ORD1558"/>
    <x v="110"/>
    <d v="2024-04-23T00:00:00"/>
    <s v="CUST268"/>
    <x v="555"/>
    <x v="2"/>
    <s v="PROD2448"/>
    <s v="Stapler"/>
    <x v="0"/>
    <x v="0"/>
    <x v="17"/>
    <x v="544"/>
    <n v="6"/>
    <n v="3799"/>
    <n v="15"/>
    <n v="20151.900000000001"/>
    <n v="19375.54"/>
    <n v="776.36"/>
    <s v="Credit card"/>
    <s v="Pending"/>
    <s v="Costa, Blankenship and Woodward"/>
    <s v="ruizlaura@wright.com"/>
    <n v="4"/>
    <s v="Yes"/>
    <n v="40"/>
  </r>
  <r>
    <s v="ORD1559"/>
    <x v="386"/>
    <d v="2024-03-20T00:00:00"/>
    <s v="CUST902"/>
    <x v="556"/>
    <x v="0"/>
    <s v="PROD4184"/>
    <s v="Sofa"/>
    <x v="2"/>
    <x v="1"/>
    <x v="44"/>
    <x v="545"/>
    <n v="1"/>
    <n v="4210"/>
    <n v="5"/>
    <n v="4776.5"/>
    <n v="4000.36"/>
    <n v="776.14"/>
    <s v="Net Banking"/>
    <s v="Pending"/>
    <s v="Gardner PLC"/>
    <s v="ihunt@white.info"/>
    <n v="42"/>
    <s v="No"/>
    <n v="0"/>
  </r>
  <r>
    <s v="ORD1560"/>
    <x v="387"/>
    <d v="2024-10-30T00:00:00"/>
    <s v="CUST997"/>
    <x v="557"/>
    <x v="2"/>
    <s v="PROD1166"/>
    <s v="Snacks"/>
    <x v="3"/>
    <x v="2"/>
    <x v="26"/>
    <x v="546"/>
    <n v="4"/>
    <n v="777"/>
    <n v="0"/>
    <n v="3885"/>
    <n v="3108.73"/>
    <n v="776.27"/>
    <s v="Net Banking"/>
    <s v="Cancelled"/>
    <s v="Mcconnell, Jackson and Diaz"/>
    <s v="williamdelacruz@johnson-byrd.com"/>
    <n v="24"/>
    <s v="No"/>
    <n v="0"/>
  </r>
  <r>
    <s v="ORD1561"/>
    <x v="313"/>
    <d v="2024-10-11T00:00:00"/>
    <s v="CUST519"/>
    <x v="558"/>
    <x v="0"/>
    <s v="PROD5805"/>
    <s v="Keyboard"/>
    <x v="1"/>
    <x v="0"/>
    <x v="44"/>
    <x v="547"/>
    <n v="8"/>
    <n v="3466"/>
    <n v="20"/>
    <n v="22959.4"/>
    <n v="22183.119999999999"/>
    <n v="776.28"/>
    <s v="Cash"/>
    <s v="Cancelled"/>
    <s v="Young-Ramirez"/>
    <s v="ashley19@roberts.com"/>
    <n v="28"/>
    <s v="No"/>
    <n v="0"/>
  </r>
  <r>
    <s v="ORD1562"/>
    <x v="40"/>
    <d v="2024-11-22T00:00:00"/>
    <s v="CUST820"/>
    <x v="559"/>
    <x v="1"/>
    <s v="PROD9430"/>
    <s v="Snacks"/>
    <x v="3"/>
    <x v="1"/>
    <x v="5"/>
    <x v="548"/>
    <n v="1"/>
    <n v="1472"/>
    <n v="15"/>
    <n v="2028.2"/>
    <n v="1251.8699999999999"/>
    <n v="776.33"/>
    <s v="Net Banking"/>
    <s v="Returned"/>
    <s v="Anderson, Clark and Bowman"/>
    <s v="seannguyen@fisher-rivas.com"/>
    <n v="48"/>
    <s v="No"/>
    <n v="0"/>
  </r>
  <r>
    <s v="ORD1563"/>
    <x v="388"/>
    <d v="2025-02-09T00:00:00"/>
    <s v="CUST710"/>
    <x v="560"/>
    <x v="1"/>
    <s v="PROD4161"/>
    <s v="Snacks"/>
    <x v="3"/>
    <x v="2"/>
    <x v="16"/>
    <x v="549"/>
    <n v="7"/>
    <n v="4240"/>
    <n v="0"/>
    <n v="30457"/>
    <n v="29680.61"/>
    <n v="776.39"/>
    <s v="Cash"/>
    <s v="Delivered"/>
    <s v="Wilson, Johnson and Acevedo"/>
    <s v="heather77@morris-padilla.net"/>
    <n v="45"/>
    <s v="No"/>
    <n v="0"/>
  </r>
  <r>
    <s v="ORD1564"/>
    <x v="389"/>
    <d v="2025-03-17T00:00:00"/>
    <s v="CUST941"/>
    <x v="561"/>
    <x v="1"/>
    <s v="PROD9326"/>
    <s v="Office Chair"/>
    <x v="2"/>
    <x v="0"/>
    <x v="25"/>
    <x v="550"/>
    <n v="5"/>
    <n v="3347"/>
    <n v="10"/>
    <n v="15838.5"/>
    <n v="15062.15"/>
    <n v="776.35"/>
    <s v="Cash"/>
    <s v="Delivered"/>
    <s v="Cox, Thompson and Jones"/>
    <s v="paulhenry@bryan-warren.biz"/>
    <n v="40"/>
    <s v="No"/>
    <n v="0"/>
  </r>
  <r>
    <s v="ORD1565"/>
    <x v="160"/>
    <d v="2025-04-07T00:00:00"/>
    <s v="CUST449"/>
    <x v="562"/>
    <x v="0"/>
    <s v="PROD5724"/>
    <s v="Snacks"/>
    <x v="3"/>
    <x v="2"/>
    <x v="42"/>
    <x v="551"/>
    <n v="5"/>
    <n v="1044"/>
    <n v="0"/>
    <n v="5997"/>
    <n v="5220.83"/>
    <n v="776.17"/>
    <s v="Cash"/>
    <s v="Delivered"/>
    <s v="Stevens, Smith and Larson"/>
    <s v="bellsandra@newman.info"/>
    <n v="45"/>
    <s v="No"/>
    <n v="0"/>
  </r>
  <r>
    <s v="ORD1566"/>
    <x v="378"/>
    <d v="2025-10-23T00:00:00"/>
    <s v="CUST514"/>
    <x v="563"/>
    <x v="1"/>
    <s v="PROD3112"/>
    <s v="Juice Pack"/>
    <x v="3"/>
    <x v="2"/>
    <x v="26"/>
    <x v="552"/>
    <n v="7"/>
    <n v="4884"/>
    <n v="5"/>
    <n v="33255.599999999999"/>
    <n v="32479.48"/>
    <n v="776.12"/>
    <s v="UPI"/>
    <s v="Cancelled"/>
    <s v="Griffin-Thomas"/>
    <s v="steven20@williams.com"/>
    <n v="25"/>
    <s v="No"/>
    <n v="0"/>
  </r>
  <r>
    <s v="ORD1567"/>
    <x v="390"/>
    <d v="2024-08-13T00:00:00"/>
    <s v="CUST808"/>
    <x v="564"/>
    <x v="0"/>
    <s v="PROD9153"/>
    <s v="Sugar"/>
    <x v="3"/>
    <x v="3"/>
    <x v="15"/>
    <x v="553"/>
    <n v="8"/>
    <n v="3187"/>
    <n v="15"/>
    <n v="22448.6"/>
    <n v="21672.2"/>
    <n v="776.4"/>
    <s v="Credit card"/>
    <s v="Returned"/>
    <s v="Nelson, Stephens and Lester"/>
    <s v="dlambert@mcdonald.biz"/>
    <n v="44"/>
    <s v="No"/>
    <n v="0"/>
  </r>
  <r>
    <s v="ORD1568"/>
    <x v="383"/>
    <d v="2024-04-17T00:00:00"/>
    <s v="CUST702"/>
    <x v="565"/>
    <x v="2"/>
    <s v="PROD5005"/>
    <s v="Dining Table"/>
    <x v="2"/>
    <x v="1"/>
    <x v="23"/>
    <x v="554"/>
    <n v="6"/>
    <n v="2865"/>
    <n v="20"/>
    <n v="14529"/>
    <n v="13752.84"/>
    <n v="776.16"/>
    <s v="Net Banking"/>
    <s v="Delivered"/>
    <s v="Chapman-Turner"/>
    <s v="fjones@santos.com"/>
    <n v="2"/>
    <s v="Yes"/>
    <n v="30"/>
  </r>
  <r>
    <s v="ORD1569"/>
    <x v="391"/>
    <d v="2025-05-04T00:00:00"/>
    <s v="CUST388"/>
    <x v="566"/>
    <x v="0"/>
    <s v="PROD1920"/>
    <s v="Pen"/>
    <x v="0"/>
    <x v="1"/>
    <x v="5"/>
    <x v="555"/>
    <n v="9"/>
    <n v="2714"/>
    <n v="10"/>
    <n v="22760.400000000001"/>
    <n v="21984.2"/>
    <n v="776.2"/>
    <s v="Credit card"/>
    <s v="Cancelled"/>
    <s v="Humphrey, West and Turner"/>
    <s v="whitneyzachary@allen-donaldson.biz"/>
    <n v="13"/>
    <s v="No"/>
    <n v="0"/>
  </r>
  <r>
    <s v="ORD1570"/>
    <x v="54"/>
    <d v="2024-05-21T00:00:00"/>
    <s v="CUST852"/>
    <x v="567"/>
    <x v="2"/>
    <s v="PROD2465"/>
    <s v="Pen"/>
    <x v="0"/>
    <x v="2"/>
    <x v="42"/>
    <x v="230"/>
    <n v="6"/>
    <n v="2714"/>
    <n v="15"/>
    <n v="14618.4"/>
    <n v="13842.08"/>
    <n v="776.32"/>
    <s v="UPI"/>
    <s v="Delivered"/>
    <s v="Obrien-Fox"/>
    <s v="qskinner@anderson.com"/>
    <n v="50"/>
    <s v="No"/>
    <n v="0"/>
  </r>
  <r>
    <s v="ORD1571"/>
    <x v="358"/>
    <d v="2025-01-26T00:00:00"/>
    <s v="CUST793"/>
    <x v="568"/>
    <x v="2"/>
    <s v="PROD6172"/>
    <s v="Notebook"/>
    <x v="0"/>
    <x v="0"/>
    <x v="0"/>
    <x v="556"/>
    <n v="6"/>
    <n v="315"/>
    <n v="5"/>
    <n v="2572.5"/>
    <n v="1796.27"/>
    <n v="776.23"/>
    <s v="Net Banking"/>
    <s v="Delivered"/>
    <s v="Wilson, Hansen and Green"/>
    <s v="simsandrew@powell.info"/>
    <n v="48"/>
    <s v="No"/>
    <n v="0"/>
  </r>
  <r>
    <s v="ORD1572"/>
    <x v="174"/>
    <d v="2025-04-02T00:00:00"/>
    <s v="CUST494"/>
    <x v="569"/>
    <x v="1"/>
    <s v="PROD8305"/>
    <s v="Laptop"/>
    <x v="1"/>
    <x v="2"/>
    <x v="4"/>
    <x v="557"/>
    <n v="5"/>
    <n v="4823"/>
    <n v="10"/>
    <n v="22480.5"/>
    <n v="21704.15"/>
    <n v="776.35"/>
    <s v="Cash"/>
    <s v="Pending"/>
    <s v="Hall-Williams"/>
    <s v="palmernancy@vance.com"/>
    <n v="37"/>
    <s v="No"/>
    <n v="0"/>
  </r>
  <r>
    <s v="ORD1573"/>
    <x v="392"/>
    <d v="2024-11-01T00:00:00"/>
    <s v="CUST738"/>
    <x v="570"/>
    <x v="2"/>
    <s v="PROD1391"/>
    <s v="File Folder"/>
    <x v="0"/>
    <x v="2"/>
    <x v="44"/>
    <x v="558"/>
    <n v="8"/>
    <n v="4412"/>
    <n v="10"/>
    <n v="32543.4"/>
    <n v="31767.29"/>
    <n v="776.11"/>
    <s v="UPI"/>
    <s v="Pending"/>
    <s v="Ewing, Wells and Hensley"/>
    <s v="velasquezjoshua@reed.com"/>
    <n v="38"/>
    <s v="No"/>
    <n v="0"/>
  </r>
  <r>
    <s v="ORD1574"/>
    <x v="251"/>
    <d v="2024-03-30T00:00:00"/>
    <s v="CUST962"/>
    <x v="571"/>
    <x v="1"/>
    <s v="PROD1339"/>
    <s v="File Folder"/>
    <x v="0"/>
    <x v="2"/>
    <x v="20"/>
    <x v="559"/>
    <n v="9"/>
    <n v="3293"/>
    <n v="20"/>
    <n v="24486.6"/>
    <n v="23710.31"/>
    <n v="776.29"/>
    <s v="Cash"/>
    <s v="Delivered"/>
    <s v="Brady and Sons"/>
    <s v="blake44@johnson.com"/>
    <n v="3"/>
    <s v="Yes"/>
    <n v="28"/>
  </r>
  <r>
    <s v="ORD1575"/>
    <x v="350"/>
    <d v="2025-05-18T00:00:00"/>
    <s v="CUST236"/>
    <x v="572"/>
    <x v="0"/>
    <s v="PROD6814"/>
    <s v="File Folder"/>
    <x v="0"/>
    <x v="1"/>
    <x v="20"/>
    <x v="560"/>
    <n v="6"/>
    <n v="4702"/>
    <n v="10"/>
    <n v="26167.8"/>
    <n v="25391.65"/>
    <n v="776.15"/>
    <s v="UPI"/>
    <s v="Cancelled"/>
    <s v="Brooks, Henry and Jones"/>
    <s v="clarkeanna@wright-johnson.com"/>
    <n v="23"/>
    <s v="No"/>
    <n v="0"/>
  </r>
  <r>
    <s v="ORD1576"/>
    <x v="393"/>
    <d v="2023-12-21T00:00:00"/>
    <s v="CUST745"/>
    <x v="573"/>
    <x v="0"/>
    <s v="PROD7813"/>
    <s v="Rice Bag"/>
    <x v="3"/>
    <x v="0"/>
    <x v="40"/>
    <x v="561"/>
    <n v="3"/>
    <n v="4320"/>
    <n v="20"/>
    <n v="11145"/>
    <n v="10368.629999999999"/>
    <n v="776.37"/>
    <s v="Credit card"/>
    <s v="Pending"/>
    <s v="Reed, Anderson and Bowers"/>
    <s v="laura32@smith-hodge.org"/>
    <n v="1"/>
    <s v="Yes"/>
    <n v="37"/>
  </r>
  <r>
    <s v="ORD1577"/>
    <x v="265"/>
    <d v="2025-04-29T00:00:00"/>
    <s v="CUST124"/>
    <x v="574"/>
    <x v="2"/>
    <s v="PROD6612"/>
    <s v="Juice Pack"/>
    <x v="3"/>
    <x v="2"/>
    <x v="6"/>
    <x v="562"/>
    <n v="1"/>
    <n v="1667"/>
    <n v="10"/>
    <n v="2277.3000000000002"/>
    <n v="1500.93"/>
    <n v="776.37"/>
    <s v="Credit card"/>
    <s v="Cancelled"/>
    <s v="Miller-Wilson"/>
    <s v="michelereed@vasquez-marsh.info"/>
    <n v="2"/>
    <s v="Yes"/>
    <n v="47"/>
  </r>
  <r>
    <s v="ORD1578"/>
    <x v="394"/>
    <d v="2024-03-18T00:00:00"/>
    <s v="CUST811"/>
    <x v="575"/>
    <x v="0"/>
    <s v="PROD2748"/>
    <s v="Keyboard"/>
    <x v="1"/>
    <x v="3"/>
    <x v="24"/>
    <x v="563"/>
    <n v="8"/>
    <n v="2094"/>
    <n v="0"/>
    <n v="17529"/>
    <n v="16752.73"/>
    <n v="776.27"/>
    <s v="UPI"/>
    <s v="Returned"/>
    <s v="Hernandez-Martinez"/>
    <s v="codydavis@powell.com"/>
    <n v="4"/>
    <s v="Yes"/>
    <n v="30"/>
  </r>
  <r>
    <s v="ORD1579"/>
    <x v="212"/>
    <d v="2024-11-25T00:00:00"/>
    <s v="CUST826"/>
    <x v="576"/>
    <x v="1"/>
    <s v="PROD1117"/>
    <s v="Dining Table"/>
    <x v="2"/>
    <x v="3"/>
    <x v="5"/>
    <x v="564"/>
    <n v="10"/>
    <n v="256"/>
    <n v="0"/>
    <n v="3337"/>
    <n v="2560.75"/>
    <n v="776.25"/>
    <s v="Net Banking"/>
    <s v="Returned"/>
    <s v="Sharp-Murphy"/>
    <s v="david64@kelly.com"/>
    <n v="48"/>
    <s v="No"/>
    <n v="0"/>
  </r>
  <r>
    <s v="ORD1580"/>
    <x v="359"/>
    <d v="2025-10-14T00:00:00"/>
    <s v="CUST831"/>
    <x v="577"/>
    <x v="2"/>
    <s v="PROD1318"/>
    <s v="File Folder"/>
    <x v="0"/>
    <x v="1"/>
    <x v="37"/>
    <x v="565"/>
    <n v="1"/>
    <n v="1486"/>
    <n v="0"/>
    <n v="2263"/>
    <n v="1486.89"/>
    <n v="776.11"/>
    <s v="UPI"/>
    <s v="Returned"/>
    <s v="Jones LLC"/>
    <s v="wduncan@nunez.info"/>
    <n v="33"/>
    <s v="No"/>
    <n v="0"/>
  </r>
  <r>
    <s v="ORD1581"/>
    <x v="395"/>
    <d v="2023-11-27T00:00:00"/>
    <s v="CUST257"/>
    <x v="578"/>
    <x v="1"/>
    <s v="PROD4337"/>
    <s v="Headphones"/>
    <x v="1"/>
    <x v="0"/>
    <x v="42"/>
    <x v="566"/>
    <n v="10"/>
    <n v="4162"/>
    <n v="5"/>
    <n v="40316"/>
    <n v="39539.64"/>
    <n v="776.36"/>
    <s v="Net Banking"/>
    <s v="Pending"/>
    <s v="Rush, Wagner and Byrd"/>
    <s v="nlewis@nielsen-haynes.net"/>
    <n v="12"/>
    <s v="No"/>
    <n v="0"/>
  </r>
  <r>
    <s v="ORD1582"/>
    <x v="396"/>
    <d v="2024-09-02T00:00:00"/>
    <s v="CUST918"/>
    <x v="579"/>
    <x v="2"/>
    <s v="PROD2280"/>
    <s v="File Folder"/>
    <x v="0"/>
    <x v="1"/>
    <x v="11"/>
    <x v="567"/>
    <n v="5"/>
    <n v="1268"/>
    <n v="15"/>
    <n v="6166"/>
    <n v="5389.77"/>
    <n v="776.23"/>
    <s v="Cash"/>
    <s v="Cancelled"/>
    <s v="Clay, Wells and Warren"/>
    <s v="robertsonvalerie@duran.com"/>
    <n v="49"/>
    <s v="No"/>
    <n v="0"/>
  </r>
  <r>
    <s v="ORD1583"/>
    <x v="397"/>
    <d v="2023-12-12T00:00:00"/>
    <s v="CUST293"/>
    <x v="580"/>
    <x v="1"/>
    <s v="PROD7524"/>
    <s v="Pen"/>
    <x v="0"/>
    <x v="1"/>
    <x v="39"/>
    <x v="568"/>
    <n v="5"/>
    <n v="3626"/>
    <n v="5"/>
    <n v="18000.5"/>
    <n v="17224.330000000002"/>
    <n v="776.17"/>
    <s v="Cash"/>
    <s v="Cancelled"/>
    <s v="Collier-Jones"/>
    <s v="douglasneal@torres.com"/>
    <n v="29"/>
    <s v="No"/>
    <n v="0"/>
  </r>
  <r>
    <s v="ORD1584"/>
    <x v="296"/>
    <d v="2025-06-26T00:00:00"/>
    <s v="CUST103"/>
    <x v="581"/>
    <x v="1"/>
    <s v="PROD6980"/>
    <s v="Dining Table"/>
    <x v="2"/>
    <x v="1"/>
    <x v="37"/>
    <x v="569"/>
    <n v="1"/>
    <n v="2715"/>
    <n v="5"/>
    <n v="3356.25"/>
    <n v="2580.0700000000002"/>
    <n v="776.18"/>
    <s v="UPI"/>
    <s v="Cancelled"/>
    <s v="Miller LLC"/>
    <s v="mathewcarlson@hernandez-richmond.com"/>
    <n v="41"/>
    <s v="No"/>
    <n v="0"/>
  </r>
  <r>
    <s v="ORD1585"/>
    <x v="398"/>
    <d v="2024-03-29T00:00:00"/>
    <s v="CUST293"/>
    <x v="582"/>
    <x v="1"/>
    <s v="PROD9916"/>
    <s v="Snacks"/>
    <x v="3"/>
    <x v="1"/>
    <x v="12"/>
    <x v="570"/>
    <n v="4"/>
    <n v="717"/>
    <n v="20"/>
    <n v="3071.4"/>
    <n v="2295.09"/>
    <n v="776.31"/>
    <s v="Cash"/>
    <s v="Returned"/>
    <s v="Miller, Mayer and Wells"/>
    <s v="michael93@guzman.com"/>
    <n v="1"/>
    <s v="Yes"/>
    <n v="40"/>
  </r>
  <r>
    <s v="ORD1586"/>
    <x v="117"/>
    <d v="2025-05-02T00:00:00"/>
    <s v="CUST835"/>
    <x v="583"/>
    <x v="1"/>
    <s v="PROD3284"/>
    <s v="Notebook"/>
    <x v="0"/>
    <x v="3"/>
    <x v="40"/>
    <x v="571"/>
    <n v="9"/>
    <n v="2537"/>
    <n v="5"/>
    <n v="22468.35"/>
    <n v="21692.19"/>
    <n v="776.16"/>
    <s v="UPI"/>
    <s v="Cancelled"/>
    <s v="Downs-Cameron"/>
    <s v="connie79@thompson-jackson.biz"/>
    <n v="45"/>
    <s v="No"/>
    <n v="0"/>
  </r>
  <r>
    <s v="ORD1587"/>
    <x v="200"/>
    <d v="2024-12-28T00:00:00"/>
    <s v="CUST401"/>
    <x v="584"/>
    <x v="0"/>
    <s v="PROD3089"/>
    <s v="Stapler"/>
    <x v="0"/>
    <x v="2"/>
    <x v="1"/>
    <x v="572"/>
    <n v="5"/>
    <n v="999"/>
    <n v="0"/>
    <n v="5772"/>
    <n v="4995.6400000000003"/>
    <n v="776.36"/>
    <s v="UPI"/>
    <s v="Returned"/>
    <s v="Lane, King and Smith"/>
    <s v="chambersmichael@clayton.net"/>
    <n v="39"/>
    <s v="No"/>
    <n v="0"/>
  </r>
  <r>
    <s v="ORD1588"/>
    <x v="399"/>
    <d v="2025-05-10T00:00:00"/>
    <s v="CUST682"/>
    <x v="585"/>
    <x v="1"/>
    <s v="PROD7551"/>
    <s v="Office Chair"/>
    <x v="2"/>
    <x v="0"/>
    <x v="49"/>
    <x v="573"/>
    <n v="6"/>
    <n v="4530"/>
    <n v="0"/>
    <n v="27957"/>
    <n v="27180.86"/>
    <n v="776.14"/>
    <s v="Credit card"/>
    <s v="Pending"/>
    <s v="Herrera LLC"/>
    <s v="harriswalter@ware-russell.com"/>
    <n v="10"/>
    <s v="No"/>
    <n v="0"/>
  </r>
  <r>
    <s v="ORD1589"/>
    <x v="277"/>
    <d v="2025-03-22T00:00:00"/>
    <s v="CUST669"/>
    <x v="586"/>
    <x v="0"/>
    <s v="PROD8692"/>
    <s v="Dining Table"/>
    <x v="2"/>
    <x v="2"/>
    <x v="16"/>
    <x v="574"/>
    <n v="1"/>
    <n v="3035"/>
    <n v="5"/>
    <n v="3660.25"/>
    <n v="2884.04"/>
    <n v="776.21"/>
    <s v="Credit card"/>
    <s v="Delivered"/>
    <s v="Perkins Inc"/>
    <s v="schmittdonna@smith.com"/>
    <n v="18"/>
    <s v="No"/>
    <n v="0"/>
  </r>
  <r>
    <s v="ORD1590"/>
    <x v="400"/>
    <d v="2024-01-29T00:00:00"/>
    <s v="CUST174"/>
    <x v="587"/>
    <x v="2"/>
    <s v="PROD7882"/>
    <s v="Study Table"/>
    <x v="2"/>
    <x v="0"/>
    <x v="20"/>
    <x v="575"/>
    <n v="9"/>
    <n v="907"/>
    <n v="5"/>
    <n v="8531.85"/>
    <n v="7755.71"/>
    <n v="776.14"/>
    <s v="Cash"/>
    <s v="Pending"/>
    <s v="Smith and Sons"/>
    <s v="eric23@williamson-lin.biz"/>
    <n v="5"/>
    <s v="Yes"/>
    <n v="38"/>
  </r>
  <r>
    <s v="ORD1591"/>
    <x v="401"/>
    <d v="2024-05-26T00:00:00"/>
    <s v="CUST106"/>
    <x v="588"/>
    <x v="1"/>
    <s v="PROD5792"/>
    <s v="Study Table"/>
    <x v="2"/>
    <x v="3"/>
    <x v="27"/>
    <x v="67"/>
    <n v="7"/>
    <n v="2821"/>
    <n v="10"/>
    <n v="18549.3"/>
    <n v="17773.13"/>
    <n v="776.17"/>
    <s v="Net Banking"/>
    <s v="Pending"/>
    <s v="Mcbride, Clayton and Young"/>
    <s v="staylor@fitzgerald.com"/>
    <n v="8"/>
    <s v="Yes"/>
    <n v="41"/>
  </r>
  <r>
    <s v="ORD1592"/>
    <x v="402"/>
    <d v="2025-06-27T00:00:00"/>
    <s v="CUST482"/>
    <x v="589"/>
    <x v="0"/>
    <s v="PROD5769"/>
    <s v="Mouse"/>
    <x v="1"/>
    <x v="0"/>
    <x v="29"/>
    <x v="576"/>
    <n v="2"/>
    <n v="1479"/>
    <n v="5"/>
    <n v="3587.1"/>
    <n v="2810.98"/>
    <n v="776.12"/>
    <s v="Cash"/>
    <s v="Delivered"/>
    <s v="Bush Inc"/>
    <s v="whiteandrew@black.org"/>
    <n v="41"/>
    <s v="No"/>
    <n v="0"/>
  </r>
  <r>
    <s v="ORD1593"/>
    <x v="403"/>
    <d v="2025-02-07T00:00:00"/>
    <s v="CUST927"/>
    <x v="590"/>
    <x v="2"/>
    <s v="PROD6597"/>
    <s v="Cooking oil"/>
    <x v="3"/>
    <x v="1"/>
    <x v="44"/>
    <x v="47"/>
    <n v="2"/>
    <n v="3489"/>
    <n v="20"/>
    <n v="6359.4"/>
    <n v="5583.25"/>
    <n v="776.15"/>
    <s v="Cash"/>
    <s v="Returned"/>
    <s v="Brown, Cooper and Pugh"/>
    <s v="carlagarcia@ryan.com"/>
    <n v="21"/>
    <s v="No"/>
    <n v="0"/>
  </r>
  <r>
    <s v="ORD1594"/>
    <x v="102"/>
    <d v="2025-10-24T00:00:00"/>
    <s v="CUST530"/>
    <x v="591"/>
    <x v="2"/>
    <s v="PROD5641"/>
    <s v="Rice Bag"/>
    <x v="3"/>
    <x v="1"/>
    <x v="16"/>
    <x v="577"/>
    <n v="7"/>
    <n v="1509"/>
    <n v="5"/>
    <n v="10811.85"/>
    <n v="10035.469999999999"/>
    <n v="776.38"/>
    <s v="Net Banking"/>
    <s v="Pending"/>
    <s v="Sullivan, Robles and Horton"/>
    <s v="kellerteresa@meyers.org"/>
    <n v="35"/>
    <s v="No"/>
    <n v="0"/>
  </r>
  <r>
    <s v="ORD1595"/>
    <x v="404"/>
    <d v="2025-05-01T00:00:00"/>
    <s v="CUST551"/>
    <x v="592"/>
    <x v="2"/>
    <s v="PROD3293"/>
    <s v="Dining Table"/>
    <x v="2"/>
    <x v="2"/>
    <x v="34"/>
    <x v="578"/>
    <n v="9"/>
    <n v="3267"/>
    <n v="10"/>
    <n v="27239.7"/>
    <n v="26463.39"/>
    <n v="776.31"/>
    <s v="Credit card"/>
    <s v="Pending"/>
    <s v="Chang PLC"/>
    <s v="christopherday@oconnor.com"/>
    <n v="5"/>
    <s v="Yes"/>
    <n v="21"/>
  </r>
  <r>
    <s v="ORD1596"/>
    <x v="24"/>
    <d v="2024-03-24T00:00:00"/>
    <s v="CUST381"/>
    <x v="593"/>
    <x v="2"/>
    <s v="PROD4777"/>
    <s v="Sofa"/>
    <x v="2"/>
    <x v="2"/>
    <x v="11"/>
    <x v="579"/>
    <n v="2"/>
    <n v="100"/>
    <n v="0"/>
    <n v="977"/>
    <n v="200.84"/>
    <n v="776.16"/>
    <s v="Net Banking"/>
    <s v="Pending"/>
    <s v="Miller LLC"/>
    <s v="larry58@salinas.com"/>
    <n v="23"/>
    <s v="No"/>
    <n v="0"/>
  </r>
  <r>
    <s v="ORD1597"/>
    <x v="77"/>
    <d v="2024-11-17T00:00:00"/>
    <s v="CUST833"/>
    <x v="594"/>
    <x v="0"/>
    <s v="PROD5365"/>
    <s v="Snacks"/>
    <x v="3"/>
    <x v="1"/>
    <x v="43"/>
    <x v="580"/>
    <n v="10"/>
    <n v="715"/>
    <n v="15"/>
    <n v="6854.5"/>
    <n v="6078.16"/>
    <n v="776.34"/>
    <s v="UPI"/>
    <s v="Pending"/>
    <s v="Brown PLC"/>
    <s v="anitawilliams@schneider.com"/>
    <n v="11"/>
    <s v="No"/>
    <n v="0"/>
  </r>
  <r>
    <s v="ORD1598"/>
    <x v="405"/>
    <d v="2023-12-04T00:00:00"/>
    <s v="CUST542"/>
    <x v="595"/>
    <x v="1"/>
    <s v="PROD1079"/>
    <s v="Sugar"/>
    <x v="3"/>
    <x v="3"/>
    <x v="4"/>
    <x v="581"/>
    <n v="7"/>
    <n v="2090"/>
    <n v="5"/>
    <n v="14675.5"/>
    <n v="13899.38"/>
    <n v="776.12"/>
    <s v="Credit card"/>
    <s v="Pending"/>
    <s v="Schneider-Jackson"/>
    <s v="dgray@dean-parker.com"/>
    <n v="37"/>
    <s v="No"/>
    <n v="0"/>
  </r>
  <r>
    <s v="ORD1599"/>
    <x v="406"/>
    <d v="2025-05-08T00:00:00"/>
    <s v="CUST437"/>
    <x v="596"/>
    <x v="0"/>
    <s v="PROD9588"/>
    <s v="Calculator"/>
    <x v="0"/>
    <x v="0"/>
    <x v="17"/>
    <x v="582"/>
    <n v="4"/>
    <n v="3120"/>
    <n v="10"/>
    <n v="12009"/>
    <n v="11232.67"/>
    <n v="776.33"/>
    <s v="Net Banking"/>
    <s v="Pending"/>
    <s v="Brown, Perez and Taylor"/>
    <s v="frances68@hines-underwood.biz"/>
    <n v="29"/>
    <s v="No"/>
    <n v="0"/>
  </r>
  <r>
    <s v="ORD1600"/>
    <x v="407"/>
    <d v="2024-07-13T00:00:00"/>
    <s v="CUST794"/>
    <x v="597"/>
    <x v="2"/>
    <s v="PROD5045"/>
    <s v="Monitor"/>
    <x v="1"/>
    <x v="3"/>
    <x v="44"/>
    <x v="583"/>
    <n v="2"/>
    <n v="4028"/>
    <n v="5"/>
    <n v="8430.2000000000007"/>
    <n v="7654.03"/>
    <n v="776.17"/>
    <s v="Net Banking"/>
    <s v="Cancelled"/>
    <s v="Baker-King"/>
    <s v="gbrock@scott-griffin.com"/>
    <n v="29"/>
    <s v="No"/>
    <n v="0"/>
  </r>
  <r>
    <s v="ORD1601"/>
    <x v="76"/>
    <d v="2024-08-13T00:00:00"/>
    <s v="CUST262"/>
    <x v="598"/>
    <x v="0"/>
    <s v="PROD2649"/>
    <s v="Pen"/>
    <x v="0"/>
    <x v="2"/>
    <x v="41"/>
    <x v="584"/>
    <n v="2"/>
    <n v="1567"/>
    <n v="5"/>
    <n v="3754.3"/>
    <n v="2978.05"/>
    <n v="776.25"/>
    <s v="Cash"/>
    <s v="Returned"/>
    <s v="Krause, Ramirez and Booth"/>
    <s v="rodneyrivera@frazier-crawford.com"/>
    <n v="47"/>
    <s v="No"/>
    <n v="0"/>
  </r>
  <r>
    <s v="ORD1602"/>
    <x v="289"/>
    <d v="2023-12-12T00:00:00"/>
    <s v="CUST874"/>
    <x v="599"/>
    <x v="2"/>
    <s v="PROD4095"/>
    <s v="Juice Pack"/>
    <x v="3"/>
    <x v="2"/>
    <x v="9"/>
    <x v="585"/>
    <n v="9"/>
    <n v="2852"/>
    <n v="5"/>
    <n v="25161.599999999999"/>
    <n v="24385.34"/>
    <n v="776.26"/>
    <s v="Cash"/>
    <s v="Returned"/>
    <s v="Douglas, Brown and Brown"/>
    <s v="shawnstuart@contreras.org"/>
    <n v="11"/>
    <s v="No"/>
    <n v="0"/>
  </r>
  <r>
    <s v="ORD1603"/>
    <x v="191"/>
    <d v="2024-04-30T00:00:00"/>
    <s v="CUST245"/>
    <x v="600"/>
    <x v="2"/>
    <s v="PROD3577"/>
    <s v="Stapler"/>
    <x v="0"/>
    <x v="2"/>
    <x v="13"/>
    <x v="586"/>
    <n v="6"/>
    <n v="2231"/>
    <n v="15"/>
    <n v="12155.1"/>
    <n v="11378.73"/>
    <n v="776.37"/>
    <s v="UPI"/>
    <s v="Returned"/>
    <s v="Smith, Harris and Perez"/>
    <s v="colonlisa@finley-sutton.info"/>
    <n v="22"/>
    <s v="No"/>
    <n v="0"/>
  </r>
  <r>
    <s v="ORD1604"/>
    <x v="343"/>
    <d v="2024-06-29T00:00:00"/>
    <s v="CUST475"/>
    <x v="601"/>
    <x v="2"/>
    <s v="PROD1891"/>
    <s v="Notebook"/>
    <x v="0"/>
    <x v="0"/>
    <x v="5"/>
    <x v="587"/>
    <n v="5"/>
    <n v="4512"/>
    <n v="15"/>
    <n v="19953"/>
    <n v="19176.63"/>
    <n v="776.37"/>
    <s v="UPI"/>
    <s v="Cancelled"/>
    <s v="Oneill-Owens"/>
    <s v="william87@craig.com"/>
    <n v="9"/>
    <s v="Yes"/>
    <n v="40"/>
  </r>
  <r>
    <s v="ORD1605"/>
    <x v="408"/>
    <d v="2025-10-26T00:00:00"/>
    <s v="CUST710"/>
    <x v="602"/>
    <x v="0"/>
    <s v="PROD3222"/>
    <s v="Snacks"/>
    <x v="3"/>
    <x v="0"/>
    <x v="48"/>
    <x v="588"/>
    <n v="5"/>
    <n v="1950"/>
    <n v="5"/>
    <n v="10039.5"/>
    <n v="9263.2900000000009"/>
    <n v="776.21"/>
    <s v="UPI"/>
    <s v="Cancelled"/>
    <s v="Sutton-Serrano"/>
    <s v="zparsons@thompson-mccarthy.net"/>
    <n v="7"/>
    <s v="Yes"/>
    <n v="24"/>
  </r>
  <r>
    <s v="ORD1606"/>
    <x v="173"/>
    <d v="2025-02-25T00:00:00"/>
    <s v="CUST233"/>
    <x v="603"/>
    <x v="1"/>
    <s v="PROD9292"/>
    <s v="Dining Table"/>
    <x v="2"/>
    <x v="1"/>
    <x v="29"/>
    <x v="589"/>
    <n v="6"/>
    <n v="1113"/>
    <n v="10"/>
    <n v="6787.2"/>
    <n v="6010.94"/>
    <n v="776.26"/>
    <s v="UPI"/>
    <s v="Cancelled"/>
    <s v="Thomas-Spencer"/>
    <s v="megan68@pratt.com"/>
    <n v="2"/>
    <s v="Yes"/>
    <n v="49"/>
  </r>
  <r>
    <s v="ORD1607"/>
    <x v="13"/>
    <d v="2025-06-23T00:00:00"/>
    <s v="CUST888"/>
    <x v="604"/>
    <x v="0"/>
    <s v="PROD9381"/>
    <s v="Sugar"/>
    <x v="3"/>
    <x v="3"/>
    <x v="40"/>
    <x v="590"/>
    <n v="4"/>
    <n v="268"/>
    <n v="0"/>
    <n v="1849"/>
    <n v="1072.74"/>
    <n v="776.26"/>
    <s v="UPI"/>
    <s v="Delivered"/>
    <s v="Lara, Hines and Beck"/>
    <s v="swest@terry.biz"/>
    <n v="14"/>
    <s v="No"/>
    <n v="0"/>
  </r>
  <r>
    <s v="ORD1608"/>
    <x v="344"/>
    <d v="2025-01-31T00:00:00"/>
    <s v="CUST156"/>
    <x v="605"/>
    <x v="1"/>
    <s v="PROD8016"/>
    <s v="Pen"/>
    <x v="0"/>
    <x v="0"/>
    <x v="29"/>
    <x v="591"/>
    <n v="8"/>
    <n v="768"/>
    <n v="5"/>
    <n v="6613.8"/>
    <n v="5837.54"/>
    <n v="776.26"/>
    <s v="UPI"/>
    <s v="Cancelled"/>
    <s v="Atkins LLC"/>
    <s v="yhale@fuller-wood.info"/>
    <n v="26"/>
    <s v="No"/>
    <n v="0"/>
  </r>
  <r>
    <s v="ORD1609"/>
    <x v="327"/>
    <d v="2024-07-07T00:00:00"/>
    <s v="CUST442"/>
    <x v="606"/>
    <x v="0"/>
    <s v="PROD6492"/>
    <s v="Study Table"/>
    <x v="2"/>
    <x v="0"/>
    <x v="27"/>
    <x v="592"/>
    <n v="2"/>
    <n v="1658"/>
    <n v="20"/>
    <n v="3429.8"/>
    <n v="2653.42"/>
    <n v="776.38"/>
    <s v="Credit card"/>
    <s v="Pending"/>
    <s v="Ruiz LLC"/>
    <s v="bgarcia@hall.com"/>
    <n v="38"/>
    <s v="No"/>
    <n v="0"/>
  </r>
  <r>
    <s v="ORD1610"/>
    <x v="409"/>
    <d v="2025-10-18T00:00:00"/>
    <s v="CUST322"/>
    <x v="607"/>
    <x v="0"/>
    <s v="PROD1492"/>
    <s v="Study Table"/>
    <x v="2"/>
    <x v="2"/>
    <x v="20"/>
    <x v="593"/>
    <n v="9"/>
    <n v="448"/>
    <n v="10"/>
    <n v="4405.8"/>
    <n v="3629.69"/>
    <n v="776.11"/>
    <s v="Net Banking"/>
    <s v="Pending"/>
    <s v="Osborne-Dominguez"/>
    <s v="westcolleen@peterson.com"/>
    <n v="15"/>
    <s v="No"/>
    <n v="0"/>
  </r>
  <r>
    <s v="ORD1611"/>
    <x v="306"/>
    <d v="2024-12-20T00:00:00"/>
    <s v="CUST353"/>
    <x v="608"/>
    <x v="1"/>
    <s v="PROD6534"/>
    <s v="Pen"/>
    <x v="0"/>
    <x v="3"/>
    <x v="28"/>
    <x v="594"/>
    <n v="4"/>
    <n v="2586"/>
    <n v="5"/>
    <n v="10603.8"/>
    <n v="9827.66"/>
    <n v="776.14"/>
    <s v="Credit card"/>
    <s v="Pending"/>
    <s v="Anderson-Blackburn"/>
    <s v="matthew58@smith.com"/>
    <n v="18"/>
    <s v="No"/>
    <n v="0"/>
  </r>
  <r>
    <s v="ORD1612"/>
    <x v="410"/>
    <d v="2024-09-16T00:00:00"/>
    <s v="CUST149"/>
    <x v="609"/>
    <x v="1"/>
    <s v="PROD1885"/>
    <s v="Bookshell"/>
    <x v="2"/>
    <x v="0"/>
    <x v="25"/>
    <x v="595"/>
    <n v="3"/>
    <n v="3635"/>
    <n v="15"/>
    <n v="10046.25"/>
    <n v="9270.14"/>
    <n v="776.11"/>
    <s v="UPI"/>
    <s v="Pending"/>
    <s v="Patel, Todd and Vasquez"/>
    <s v="phoward@murray.com"/>
    <n v="5"/>
    <s v="Yes"/>
    <n v="21"/>
  </r>
  <r>
    <s v="ORD1613"/>
    <x v="411"/>
    <d v="2025-08-15T00:00:00"/>
    <s v="CUST994"/>
    <x v="610"/>
    <x v="1"/>
    <s v="PROD3667"/>
    <s v="File Folder"/>
    <x v="0"/>
    <x v="3"/>
    <x v="36"/>
    <x v="596"/>
    <n v="5"/>
    <n v="1230"/>
    <n v="10"/>
    <n v="6312"/>
    <n v="5535.9"/>
    <n v="776.1"/>
    <s v="Credit card"/>
    <s v="Cancelled"/>
    <s v="Rice-Day"/>
    <s v="robertle@robinson-thompson.com"/>
    <n v="3"/>
    <s v="Yes"/>
    <n v="38"/>
  </r>
  <r>
    <s v="ORD1614"/>
    <x v="383"/>
    <d v="2024-04-15T00:00:00"/>
    <s v="CUST329"/>
    <x v="611"/>
    <x v="2"/>
    <s v="PROD7840"/>
    <s v="Cooking oil"/>
    <x v="3"/>
    <x v="3"/>
    <x v="10"/>
    <x v="597"/>
    <n v="3"/>
    <n v="261"/>
    <n v="0"/>
    <n v="1560"/>
    <n v="783.79"/>
    <n v="776.21"/>
    <s v="Cash"/>
    <s v="Returned"/>
    <s v="Juarez Inc"/>
    <s v="kelseyfuentes@martinez.com"/>
    <n v="29"/>
    <s v="No"/>
    <n v="0"/>
  </r>
  <r>
    <s v="ORD1615"/>
    <x v="347"/>
    <d v="2024-02-28T00:00:00"/>
    <s v="CUST418"/>
    <x v="612"/>
    <x v="2"/>
    <s v="PROD3945"/>
    <s v="Notebook"/>
    <x v="0"/>
    <x v="3"/>
    <x v="4"/>
    <x v="598"/>
    <n v="6"/>
    <n v="3982"/>
    <n v="5"/>
    <n v="23474.400000000001"/>
    <n v="22698.16"/>
    <n v="776.24"/>
    <s v="Net Banking"/>
    <s v="Pending"/>
    <s v="Browning-Baker"/>
    <s v="holly48@roach.net"/>
    <n v="9"/>
    <s v="Yes"/>
    <n v="38"/>
  </r>
  <r>
    <s v="ORD1616"/>
    <x v="412"/>
    <d v="2025-01-31T00:00:00"/>
    <s v="CUST706"/>
    <x v="613"/>
    <x v="2"/>
    <s v="PROD9573"/>
    <s v="Office Chair"/>
    <x v="2"/>
    <x v="3"/>
    <x v="41"/>
    <x v="599"/>
    <n v="5"/>
    <n v="3973"/>
    <n v="10"/>
    <n v="18655.5"/>
    <n v="17879.39"/>
    <n v="776.11"/>
    <s v="Net Banking"/>
    <s v="Cancelled"/>
    <s v="Wilson, Lynn and Clarke"/>
    <s v="lisa18@wright.com"/>
    <n v="44"/>
    <s v="No"/>
    <n v="0"/>
  </r>
  <r>
    <s v="ORD1617"/>
    <x v="234"/>
    <d v="2024-07-22T00:00:00"/>
    <s v="CUST222"/>
    <x v="614"/>
    <x v="0"/>
    <s v="PROD1042"/>
    <s v="Study Table"/>
    <x v="2"/>
    <x v="1"/>
    <x v="19"/>
    <x v="600"/>
    <n v="7"/>
    <n v="1773"/>
    <n v="20"/>
    <n v="10705.8"/>
    <n v="9929.43"/>
    <n v="776.37"/>
    <s v="UPI"/>
    <s v="Pending"/>
    <s v="Ross, Alexander and Rodriguez"/>
    <s v="waltonalexander@buck-martin.com"/>
    <n v="22"/>
    <s v="No"/>
    <n v="0"/>
  </r>
  <r>
    <s v="ORD1618"/>
    <x v="229"/>
    <d v="2025-09-13T00:00:00"/>
    <s v="CUST604"/>
    <x v="615"/>
    <x v="2"/>
    <s v="PROD4564"/>
    <s v="Monitor"/>
    <x v="1"/>
    <x v="3"/>
    <x v="34"/>
    <x v="601"/>
    <n v="9"/>
    <n v="913"/>
    <n v="20"/>
    <n v="7350.6"/>
    <n v="6574.37"/>
    <n v="776.23"/>
    <s v="UPI"/>
    <s v="Delivered"/>
    <s v="Tran, Wilson and Fletcher"/>
    <s v="josephjohnson@roth-perry.net"/>
    <n v="8"/>
    <s v="Yes"/>
    <n v="21"/>
  </r>
  <r>
    <s v="ORD1619"/>
    <x v="413"/>
    <d v="2025-08-23T00:00:00"/>
    <s v="CUST837"/>
    <x v="616"/>
    <x v="0"/>
    <s v="PROD7534"/>
    <s v="Juice Pack"/>
    <x v="3"/>
    <x v="1"/>
    <x v="6"/>
    <x v="602"/>
    <n v="9"/>
    <n v="1926"/>
    <n v="0"/>
    <n v="18111"/>
    <n v="17334.66"/>
    <n v="776.34"/>
    <s v="UPI"/>
    <s v="Pending"/>
    <s v="Fletcher Inc"/>
    <s v="ana16@simon-clark.com"/>
    <n v="49"/>
    <s v="No"/>
    <n v="0"/>
  </r>
  <r>
    <s v="ORD1620"/>
    <x v="414"/>
    <d v="2024-01-07T00:00:00"/>
    <s v="CUST952"/>
    <x v="617"/>
    <x v="2"/>
    <s v="PROD5237"/>
    <s v="Laptop"/>
    <x v="1"/>
    <x v="2"/>
    <x v="4"/>
    <x v="603"/>
    <n v="6"/>
    <n v="538"/>
    <n v="10"/>
    <n v="3682.2"/>
    <n v="2905.8"/>
    <n v="776.4"/>
    <s v="Cash"/>
    <s v="Pending"/>
    <s v="Shah PLC"/>
    <s v="evanstimothy@rice.com"/>
    <n v="48"/>
    <s v="No"/>
    <n v="0"/>
  </r>
  <r>
    <s v="ORD1621"/>
    <x v="260"/>
    <d v="2024-05-25T00:00:00"/>
    <s v="CUST183"/>
    <x v="618"/>
    <x v="1"/>
    <s v="PROD3970"/>
    <s v="Snacks"/>
    <x v="3"/>
    <x v="1"/>
    <x v="22"/>
    <x v="604"/>
    <n v="1"/>
    <n v="4363"/>
    <n v="15"/>
    <n v="4485.55"/>
    <n v="3709.43"/>
    <n v="776.12"/>
    <s v="UPI"/>
    <s v="Returned"/>
    <s v="Rodriguez-Miller"/>
    <s v="molly34@williams.com"/>
    <n v="24"/>
    <s v="No"/>
    <n v="0"/>
  </r>
  <r>
    <s v="ORD1622"/>
    <x v="246"/>
    <d v="2025-02-22T00:00:00"/>
    <s v="CUST442"/>
    <x v="619"/>
    <x v="1"/>
    <s v="PROD3435"/>
    <s v="Mouse"/>
    <x v="1"/>
    <x v="1"/>
    <x v="13"/>
    <x v="605"/>
    <n v="3"/>
    <n v="1639"/>
    <n v="0"/>
    <n v="5694"/>
    <n v="4917.71"/>
    <n v="776.29"/>
    <s v="Credit card"/>
    <s v="Delivered"/>
    <s v="Hardy and Sons"/>
    <s v="jennifercabrera@davis.org"/>
    <n v="20"/>
    <s v="No"/>
    <n v="0"/>
  </r>
  <r>
    <s v="ORD1623"/>
    <x v="415"/>
    <d v="2024-04-27T00:00:00"/>
    <s v="CUST984"/>
    <x v="620"/>
    <x v="1"/>
    <s v="PROD5909"/>
    <s v="Sofa"/>
    <x v="2"/>
    <x v="0"/>
    <x v="20"/>
    <x v="606"/>
    <n v="9"/>
    <n v="2295"/>
    <n v="0"/>
    <n v="21432"/>
    <n v="20655.84"/>
    <n v="776.16"/>
    <s v="Credit card"/>
    <s v="Returned"/>
    <s v="Quinn Ltd"/>
    <s v="kyle81@rivera-stewart.net"/>
    <n v="19"/>
    <s v="No"/>
    <n v="0"/>
  </r>
  <r>
    <s v="ORD1624"/>
    <x v="416"/>
    <d v="2023-12-30T00:00:00"/>
    <s v="CUST970"/>
    <x v="621"/>
    <x v="0"/>
    <s v="PROD6473"/>
    <s v="Stapler"/>
    <x v="0"/>
    <x v="3"/>
    <x v="43"/>
    <x v="607"/>
    <n v="6"/>
    <n v="3730"/>
    <n v="0"/>
    <n v="23157"/>
    <n v="22380.86"/>
    <n v="776.14"/>
    <s v="Cash"/>
    <s v="Delivered"/>
    <s v="Taylor Ltd"/>
    <s v="ortegabrittany@moore.net"/>
    <n v="35"/>
    <s v="No"/>
    <n v="0"/>
  </r>
  <r>
    <s v="ORD1625"/>
    <x v="417"/>
    <d v="2025-01-27T00:00:00"/>
    <s v="CUST276"/>
    <x v="622"/>
    <x v="1"/>
    <s v="PROD7197"/>
    <s v="Study Table"/>
    <x v="2"/>
    <x v="3"/>
    <x v="9"/>
    <x v="608"/>
    <n v="8"/>
    <n v="585"/>
    <n v="0"/>
    <n v="5457"/>
    <n v="4680.6400000000003"/>
    <n v="776.36"/>
    <s v="Net Banking"/>
    <s v="Cancelled"/>
    <s v="Hicks, Perkins and Burns"/>
    <s v="graveskristin@morris.com"/>
    <n v="44"/>
    <s v="No"/>
    <n v="0"/>
  </r>
  <r>
    <s v="ORD1626"/>
    <x v="418"/>
    <d v="2023-11-23T00:00:00"/>
    <s v="CUST331"/>
    <x v="623"/>
    <x v="0"/>
    <s v="PROD5116"/>
    <s v="Sofa"/>
    <x v="2"/>
    <x v="2"/>
    <x v="34"/>
    <x v="609"/>
    <n v="7"/>
    <n v="2047"/>
    <n v="15"/>
    <n v="12956.65"/>
    <n v="12180.43"/>
    <n v="776.22"/>
    <s v="Cash"/>
    <s v="Returned"/>
    <s v="Wolfe and Sons"/>
    <s v="ericacollier@jimenez.com"/>
    <n v="41"/>
    <s v="No"/>
    <n v="0"/>
  </r>
  <r>
    <s v="ORD1627"/>
    <x v="191"/>
    <d v="2024-04-26T00:00:00"/>
    <s v="CUST749"/>
    <x v="624"/>
    <x v="0"/>
    <s v="PROD2024"/>
    <s v="Cooking oil"/>
    <x v="3"/>
    <x v="2"/>
    <x v="22"/>
    <x v="610"/>
    <n v="3"/>
    <n v="2364"/>
    <n v="10"/>
    <n v="7159.8"/>
    <n v="6383.46"/>
    <n v="776.34"/>
    <s v="Credit card"/>
    <s v="Pending"/>
    <s v="Walker Ltd"/>
    <s v="johnsonjoseph@ramirez-miller.org"/>
    <n v="20"/>
    <s v="No"/>
    <n v="0"/>
  </r>
  <r>
    <s v="ORD1628"/>
    <x v="419"/>
    <d v="2024-10-06T00:00:00"/>
    <s v="CUST850"/>
    <x v="625"/>
    <x v="1"/>
    <s v="PROD9515"/>
    <s v="Mouse"/>
    <x v="1"/>
    <x v="1"/>
    <x v="20"/>
    <x v="611"/>
    <n v="10"/>
    <n v="3844"/>
    <n v="10"/>
    <n v="35373"/>
    <n v="34596.61"/>
    <n v="776.39"/>
    <s v="Credit card"/>
    <s v="Cancelled"/>
    <s v="Brown, Combs and Griffin"/>
    <s v="marylam@peters-khan.org"/>
    <n v="4"/>
    <s v="Yes"/>
    <n v="28"/>
  </r>
  <r>
    <s v="ORD1629"/>
    <x v="4"/>
    <d v="2024-10-24T00:00:00"/>
    <s v="CUST170"/>
    <x v="626"/>
    <x v="2"/>
    <s v="PROD5775"/>
    <s v="Bookshell"/>
    <x v="2"/>
    <x v="0"/>
    <x v="44"/>
    <x v="612"/>
    <n v="1"/>
    <n v="1586"/>
    <n v="5"/>
    <n v="2283.6999999999998"/>
    <n v="1507.4"/>
    <n v="776.3"/>
    <s v="Net Banking"/>
    <s v="Cancelled"/>
    <s v="Lam-Flynn"/>
    <s v="imartin@gomez-donaldson.net"/>
    <n v="46"/>
    <s v="No"/>
    <n v="0"/>
  </r>
  <r>
    <s v="ORD1630"/>
    <x v="413"/>
    <d v="2025-08-25T00:00:00"/>
    <s v="CUST424"/>
    <x v="627"/>
    <x v="2"/>
    <s v="PROD5065"/>
    <s v="Study Table"/>
    <x v="2"/>
    <x v="1"/>
    <x v="26"/>
    <x v="613"/>
    <n v="10"/>
    <n v="2556"/>
    <n v="15"/>
    <n v="22503"/>
    <n v="21726.75"/>
    <n v="776.25"/>
    <s v="Cash"/>
    <s v="Pending"/>
    <s v="Frost Ltd"/>
    <s v="wayne62@golden-rogers.com"/>
    <n v="25"/>
    <s v="No"/>
    <n v="0"/>
  </r>
  <r>
    <s v="ORD1631"/>
    <x v="361"/>
    <d v="2024-12-14T00:00:00"/>
    <s v="CUST500"/>
    <x v="628"/>
    <x v="1"/>
    <s v="PROD8137"/>
    <s v="Dining Table"/>
    <x v="2"/>
    <x v="2"/>
    <x v="34"/>
    <x v="126"/>
    <n v="3"/>
    <n v="2712"/>
    <n v="15"/>
    <n v="7692.6"/>
    <n v="6916.46"/>
    <n v="776.14"/>
    <s v="Net Banking"/>
    <s v="Pending"/>
    <s v="Guzman PLC"/>
    <s v="nashtaylor@meyers.org"/>
    <n v="8"/>
    <s v="Yes"/>
    <n v="38"/>
  </r>
  <r>
    <s v="ORD1632"/>
    <x v="224"/>
    <d v="2025-06-10T00:00:00"/>
    <s v="CUST266"/>
    <x v="629"/>
    <x v="0"/>
    <s v="PROD3995"/>
    <s v="Sugar"/>
    <x v="3"/>
    <x v="1"/>
    <x v="25"/>
    <x v="614"/>
    <n v="10"/>
    <n v="4975"/>
    <n v="0"/>
    <n v="50527"/>
    <n v="49750.61"/>
    <n v="776.39"/>
    <s v="Cash"/>
    <s v="Delivered"/>
    <s v="Mendoza, White and Zuniga"/>
    <s v="ocamacho@huff.com"/>
    <n v="34"/>
    <s v="No"/>
    <n v="0"/>
  </r>
  <r>
    <s v="ORD1633"/>
    <x v="420"/>
    <d v="2024-11-05T00:00:00"/>
    <s v="CUST549"/>
    <x v="630"/>
    <x v="0"/>
    <s v="PROD2272"/>
    <s v="File Folder"/>
    <x v="0"/>
    <x v="0"/>
    <x v="37"/>
    <x v="615"/>
    <n v="5"/>
    <n v="2979"/>
    <n v="15"/>
    <n v="13437.75"/>
    <n v="12661.39"/>
    <n v="776.36"/>
    <s v="UPI"/>
    <s v="Cancelled"/>
    <s v="Baker, Peterson and Garcia"/>
    <s v="nicole21@swanson.net"/>
    <n v="29"/>
    <s v="No"/>
    <n v="0"/>
  </r>
  <r>
    <s v="ORD1634"/>
    <x v="225"/>
    <d v="2025-06-17T00:00:00"/>
    <s v="CUST673"/>
    <x v="631"/>
    <x v="0"/>
    <s v="PROD9661"/>
    <s v="Cooking oil"/>
    <x v="3"/>
    <x v="3"/>
    <x v="18"/>
    <x v="616"/>
    <n v="3"/>
    <n v="4125"/>
    <n v="5"/>
    <n v="12533.25"/>
    <n v="11757"/>
    <n v="776.25"/>
    <s v="Net Banking"/>
    <s v="Delivered"/>
    <s v="Mendoza, Leach and White"/>
    <s v="burtoncatherine@ross.com"/>
    <n v="1"/>
    <s v="Yes"/>
    <n v="20"/>
  </r>
  <r>
    <s v="ORD1635"/>
    <x v="271"/>
    <d v="2025-04-19T00:00:00"/>
    <s v="CUST935"/>
    <x v="632"/>
    <x v="0"/>
    <s v="PROD2363"/>
    <s v="Notebook"/>
    <x v="0"/>
    <x v="2"/>
    <x v="21"/>
    <x v="617"/>
    <n v="4"/>
    <n v="2754"/>
    <n v="5"/>
    <n v="11242.2"/>
    <n v="10466"/>
    <n v="776.2"/>
    <s v="Cash"/>
    <s v="Returned"/>
    <s v="Smith LLC"/>
    <s v="boonesheena@brooks.com"/>
    <n v="34"/>
    <s v="No"/>
    <n v="0"/>
  </r>
  <r>
    <s v="ORD1636"/>
    <x v="421"/>
    <d v="2025-05-02T00:00:00"/>
    <s v="CUST306"/>
    <x v="633"/>
    <x v="0"/>
    <s v="PROD4574"/>
    <s v="Rice Bag"/>
    <x v="3"/>
    <x v="0"/>
    <x v="25"/>
    <x v="618"/>
    <n v="7"/>
    <n v="1299"/>
    <n v="10"/>
    <n v="8960.7000000000007"/>
    <n v="8184.59"/>
    <n v="776.11"/>
    <s v="UPI"/>
    <s v="Cancelled"/>
    <s v="Murray, Jackson and Bell"/>
    <s v="sheltonvictoria@cook.com"/>
    <n v="16"/>
    <s v="No"/>
    <n v="0"/>
  </r>
  <r>
    <s v="ORD1637"/>
    <x v="422"/>
    <d v="2024-07-24T00:00:00"/>
    <s v="CUST607"/>
    <x v="634"/>
    <x v="2"/>
    <s v="PROD6438"/>
    <s v="Headphones"/>
    <x v="1"/>
    <x v="1"/>
    <x v="32"/>
    <x v="619"/>
    <n v="10"/>
    <n v="4038"/>
    <n v="20"/>
    <n v="33081"/>
    <n v="32304.75"/>
    <n v="776.25"/>
    <s v="Cash"/>
    <s v="Returned"/>
    <s v="Edwards, Strickland and Williams"/>
    <s v="shurley@ruiz-flores.com"/>
    <n v="20"/>
    <s v="No"/>
    <n v="0"/>
  </r>
  <r>
    <s v="ORD1638"/>
    <x v="195"/>
    <d v="2024-12-17T00:00:00"/>
    <s v="CUST768"/>
    <x v="635"/>
    <x v="0"/>
    <s v="PROD3035"/>
    <s v="Bookshell"/>
    <x v="2"/>
    <x v="3"/>
    <x v="36"/>
    <x v="620"/>
    <n v="3"/>
    <n v="1970"/>
    <n v="10"/>
    <n v="6096"/>
    <n v="5319.81"/>
    <n v="776.19"/>
    <s v="Net Banking"/>
    <s v="Pending"/>
    <s v="Kelly-Diaz"/>
    <s v="znelson@boyer.com"/>
    <n v="14"/>
    <s v="No"/>
    <n v="0"/>
  </r>
  <r>
    <s v="ORD1639"/>
    <x v="131"/>
    <d v="2024-02-06T00:00:00"/>
    <s v="CUST647"/>
    <x v="636"/>
    <x v="1"/>
    <s v="PROD3967"/>
    <s v="Cooking oil"/>
    <x v="3"/>
    <x v="3"/>
    <x v="15"/>
    <x v="621"/>
    <n v="1"/>
    <n v="4172"/>
    <n v="5"/>
    <n v="4740.3999999999996"/>
    <n v="3964.22"/>
    <n v="776.18"/>
    <s v="Credit card"/>
    <s v="Returned"/>
    <s v="Hicks, Adams and Kelly"/>
    <s v="robinwatts@williams-yates.info"/>
    <n v="8"/>
    <s v="Yes"/>
    <n v="33"/>
  </r>
  <r>
    <s v="ORD1640"/>
    <x v="274"/>
    <d v="2025-08-31T00:00:00"/>
    <s v="CUST139"/>
    <x v="637"/>
    <x v="0"/>
    <s v="PROD5214"/>
    <s v="Rice Bag"/>
    <x v="3"/>
    <x v="2"/>
    <x v="20"/>
    <x v="622"/>
    <n v="3"/>
    <n v="375"/>
    <n v="15"/>
    <n v="1733.25"/>
    <n v="956.93"/>
    <n v="776.32"/>
    <s v="Cash"/>
    <s v="Delivered"/>
    <s v="George-Herrera"/>
    <s v="charles13@strong.com"/>
    <n v="28"/>
    <s v="No"/>
    <n v="0"/>
  </r>
  <r>
    <s v="ORD1641"/>
    <x v="423"/>
    <d v="2024-10-06T00:00:00"/>
    <s v="CUST165"/>
    <x v="638"/>
    <x v="0"/>
    <s v="PROD9510"/>
    <s v="Stapler"/>
    <x v="0"/>
    <x v="2"/>
    <x v="7"/>
    <x v="623"/>
    <n v="10"/>
    <n v="1443"/>
    <n v="0"/>
    <n v="15207"/>
    <n v="14430.8"/>
    <n v="776.2"/>
    <s v="Cash"/>
    <s v="Delivered"/>
    <s v="Rodriguez-Acosta"/>
    <s v="john53@cruz-howell.com"/>
    <n v="14"/>
    <s v="No"/>
    <n v="0"/>
  </r>
  <r>
    <s v="ORD1642"/>
    <x v="139"/>
    <d v="2025-10-27T00:00:00"/>
    <s v="CUST639"/>
    <x v="639"/>
    <x v="2"/>
    <s v="PROD1304"/>
    <s v="Juice Pack"/>
    <x v="3"/>
    <x v="1"/>
    <x v="8"/>
    <x v="571"/>
    <n v="5"/>
    <n v="1035"/>
    <n v="15"/>
    <n v="5175.75"/>
    <n v="4399.63"/>
    <n v="776.12"/>
    <s v="UPI"/>
    <s v="Returned"/>
    <s v="Patterson LLC"/>
    <s v="tjohnson@bryan-simpson.com"/>
    <n v="1"/>
    <s v="Yes"/>
    <n v="39"/>
  </r>
  <r>
    <s v="ORD1643"/>
    <x v="240"/>
    <d v="2024-08-03T00:00:00"/>
    <s v="CUST615"/>
    <x v="640"/>
    <x v="2"/>
    <s v="PROD3890"/>
    <s v="Stapler"/>
    <x v="0"/>
    <x v="3"/>
    <x v="15"/>
    <x v="624"/>
    <n v="8"/>
    <n v="3424"/>
    <n v="15"/>
    <n v="24060.2"/>
    <n v="23283.9"/>
    <n v="776.3"/>
    <s v="Credit card"/>
    <s v="Pending"/>
    <s v="Armstrong, Butler and Morris"/>
    <s v="schroederjerry@butler.com"/>
    <n v="36"/>
    <s v="No"/>
    <n v="0"/>
  </r>
  <r>
    <s v="ORD1644"/>
    <x v="341"/>
    <d v="2024-04-01T00:00:00"/>
    <s v="CUST827"/>
    <x v="641"/>
    <x v="0"/>
    <s v="PROD4420"/>
    <s v="Sugar"/>
    <x v="3"/>
    <x v="2"/>
    <x v="39"/>
    <x v="625"/>
    <n v="3"/>
    <n v="2846"/>
    <n v="15"/>
    <n v="8034.3"/>
    <n v="7258.11"/>
    <n v="776.19"/>
    <s v="UPI"/>
    <s v="Pending"/>
    <s v="Armstrong and Sons"/>
    <s v="shelly52@pierce.com"/>
    <n v="50"/>
    <s v="No"/>
    <n v="0"/>
  </r>
  <r>
    <s v="ORD1645"/>
    <x v="247"/>
    <d v="2024-04-09T00:00:00"/>
    <s v="CUST121"/>
    <x v="642"/>
    <x v="0"/>
    <s v="PROD9285"/>
    <s v="Sugar"/>
    <x v="3"/>
    <x v="3"/>
    <x v="24"/>
    <x v="626"/>
    <n v="2"/>
    <n v="1062"/>
    <n v="0"/>
    <n v="2901"/>
    <n v="2124.6999999999998"/>
    <n v="776.3"/>
    <s v="UPI"/>
    <s v="Pending"/>
    <s v="Smith Group"/>
    <s v="mcdonaldalan@shepherd.com"/>
    <n v="49"/>
    <s v="No"/>
    <n v="0"/>
  </r>
  <r>
    <s v="ORD1646"/>
    <x v="424"/>
    <d v="2024-09-30T00:00:00"/>
    <s v="CUST364"/>
    <x v="643"/>
    <x v="2"/>
    <s v="PROD3795"/>
    <s v="Calculator"/>
    <x v="0"/>
    <x v="1"/>
    <x v="20"/>
    <x v="627"/>
    <n v="7"/>
    <n v="2094"/>
    <n v="0"/>
    <n v="15435"/>
    <n v="14658.89"/>
    <n v="776.11"/>
    <s v="Net Banking"/>
    <s v="Returned"/>
    <s v="Harris, Whitney and Brown"/>
    <s v="kharris@harrison.info"/>
    <n v="0"/>
    <s v="Yes"/>
    <n v="35"/>
  </r>
  <r>
    <s v="ORD1647"/>
    <x v="268"/>
    <d v="2024-12-15T00:00:00"/>
    <s v="CUST351"/>
    <x v="644"/>
    <x v="0"/>
    <s v="PROD5020"/>
    <s v="Snacks"/>
    <x v="3"/>
    <x v="2"/>
    <x v="2"/>
    <x v="628"/>
    <n v="9"/>
    <n v="4063"/>
    <n v="20"/>
    <n v="30030.6"/>
    <n v="29254.49"/>
    <n v="776.11"/>
    <s v="UPI"/>
    <s v="Cancelled"/>
    <s v="Davis Group"/>
    <s v="brad47@watson-cline.info"/>
    <n v="44"/>
    <s v="No"/>
    <n v="0"/>
  </r>
  <r>
    <s v="ORD1648"/>
    <x v="425"/>
    <d v="2024-09-25T00:00:00"/>
    <s v="CUST628"/>
    <x v="645"/>
    <x v="2"/>
    <s v="PROD3414"/>
    <s v="Office Chair"/>
    <x v="2"/>
    <x v="2"/>
    <x v="25"/>
    <x v="629"/>
    <n v="9"/>
    <n v="3104"/>
    <n v="10"/>
    <n v="25919.4"/>
    <n v="25143.25"/>
    <n v="776.15"/>
    <s v="UPI"/>
    <s v="Cancelled"/>
    <s v="Cox-Woods"/>
    <s v="tammiedavis@knight.com"/>
    <n v="4"/>
    <s v="Yes"/>
    <n v="41"/>
  </r>
  <r>
    <s v="ORD1649"/>
    <x v="282"/>
    <d v="2024-08-05T00:00:00"/>
    <s v="CUST297"/>
    <x v="646"/>
    <x v="2"/>
    <s v="PROD8796"/>
    <s v="Sofa"/>
    <x v="2"/>
    <x v="1"/>
    <x v="12"/>
    <x v="630"/>
    <n v="8"/>
    <n v="1542"/>
    <n v="0"/>
    <n v="13113"/>
    <n v="12336.7"/>
    <n v="776.3"/>
    <s v="Credit card"/>
    <s v="Returned"/>
    <s v="Garcia, Haas and Flynn"/>
    <s v="mccalltimothy@freeman-vasquez.com"/>
    <n v="7"/>
    <s v="Yes"/>
    <n v="35"/>
  </r>
  <r>
    <s v="ORD1650"/>
    <x v="426"/>
    <d v="2023-12-13T00:00:00"/>
    <s v="CUST833"/>
    <x v="647"/>
    <x v="2"/>
    <s v="PROD2102"/>
    <s v="Pen"/>
    <x v="0"/>
    <x v="3"/>
    <x v="21"/>
    <x v="631"/>
    <n v="4"/>
    <n v="4754"/>
    <n v="10"/>
    <n v="17891.400000000001"/>
    <n v="17115.13"/>
    <n v="776.27"/>
    <s v="Net Banking"/>
    <s v="Cancelled"/>
    <s v="Warren, Flores and Mack"/>
    <s v="karenbrown@foster.info"/>
    <n v="14"/>
    <s v="No"/>
    <n v="0"/>
  </r>
  <r>
    <s v="ORD1651"/>
    <x v="427"/>
    <d v="2024-02-15T00:00:00"/>
    <s v="CUST965"/>
    <x v="648"/>
    <x v="0"/>
    <s v="PROD5270"/>
    <s v="Bookshell"/>
    <x v="2"/>
    <x v="2"/>
    <x v="45"/>
    <x v="632"/>
    <n v="6"/>
    <n v="4996"/>
    <n v="0"/>
    <n v="30753"/>
    <n v="29976.75"/>
    <n v="776.25"/>
    <s v="Credit card"/>
    <s v="Pending"/>
    <s v="Morris, Jackson and Lambert"/>
    <s v="douglas80@wong.org"/>
    <n v="35"/>
    <s v="No"/>
    <n v="0"/>
  </r>
  <r>
    <s v="ORD1652"/>
    <x v="128"/>
    <d v="2024-04-11T00:00:00"/>
    <s v="CUST716"/>
    <x v="649"/>
    <x v="0"/>
    <s v="PROD5210"/>
    <s v="Juice Pack"/>
    <x v="3"/>
    <x v="0"/>
    <x v="40"/>
    <x v="633"/>
    <n v="8"/>
    <n v="2848"/>
    <n v="15"/>
    <n v="20143.400000000001"/>
    <n v="19367.13"/>
    <n v="776.27"/>
    <s v="Net Banking"/>
    <s v="Cancelled"/>
    <s v="Garner-Rasmussen"/>
    <s v="jerry46@quinn.com"/>
    <n v="17"/>
    <s v="No"/>
    <n v="0"/>
  </r>
  <r>
    <s v="ORD1653"/>
    <x v="428"/>
    <d v="2025-10-14T00:00:00"/>
    <s v="CUST649"/>
    <x v="650"/>
    <x v="1"/>
    <s v="PROD6346"/>
    <s v="Headphones"/>
    <x v="1"/>
    <x v="2"/>
    <x v="9"/>
    <x v="634"/>
    <n v="8"/>
    <n v="2124"/>
    <n v="10"/>
    <n v="16069.8"/>
    <n v="15293.64"/>
    <n v="776.16"/>
    <s v="Net Banking"/>
    <s v="Delivered"/>
    <s v="Hansen PLC"/>
    <s v="cweaver@sims-oconnor.com"/>
    <n v="12"/>
    <s v="No"/>
    <n v="0"/>
  </r>
  <r>
    <s v="ORD1654"/>
    <x v="61"/>
    <d v="2024-03-27T00:00:00"/>
    <s v="CUST458"/>
    <x v="651"/>
    <x v="0"/>
    <s v="PROD9132"/>
    <s v="Pen"/>
    <x v="0"/>
    <x v="0"/>
    <x v="40"/>
    <x v="635"/>
    <n v="1"/>
    <n v="4861"/>
    <n v="5"/>
    <n v="5394.95"/>
    <n v="4618.74"/>
    <n v="776.21"/>
    <s v="Cash"/>
    <s v="Returned"/>
    <s v="Marsh Ltd"/>
    <s v="wlucas@phillips-burke.com"/>
    <n v="49"/>
    <s v="No"/>
    <n v="0"/>
  </r>
  <r>
    <s v="ORD1655"/>
    <x v="260"/>
    <d v="2024-05-24T00:00:00"/>
    <s v="CUST334"/>
    <x v="652"/>
    <x v="0"/>
    <s v="PROD1020"/>
    <s v="Keyboard"/>
    <x v="1"/>
    <x v="2"/>
    <x v="37"/>
    <x v="636"/>
    <n v="10"/>
    <n v="1607"/>
    <n v="0"/>
    <n v="16847"/>
    <n v="16070.73"/>
    <n v="776.27"/>
    <s v="UPI"/>
    <s v="Delivered"/>
    <s v="Davis and Sons"/>
    <s v="amandabuck@bailey-kent.com"/>
    <n v="21"/>
    <s v="No"/>
    <n v="0"/>
  </r>
  <r>
    <s v="ORD1656"/>
    <x v="23"/>
    <d v="2024-07-08T00:00:00"/>
    <s v="CUST868"/>
    <x v="653"/>
    <x v="0"/>
    <s v="PROD5619"/>
    <s v="Study Table"/>
    <x v="2"/>
    <x v="1"/>
    <x v="26"/>
    <x v="637"/>
    <n v="1"/>
    <n v="222"/>
    <n v="10"/>
    <n v="976.8"/>
    <n v="200.42"/>
    <n v="776.38"/>
    <s v="Net Banking"/>
    <s v="Cancelled"/>
    <s v="Montgomery Group"/>
    <s v="lisa26@cox.com"/>
    <n v="0"/>
    <s v="Yes"/>
    <n v="32"/>
  </r>
  <r>
    <s v="ORD1657"/>
    <x v="417"/>
    <d v="2025-01-27T00:00:00"/>
    <s v="CUST331"/>
    <x v="654"/>
    <x v="2"/>
    <s v="PROD7045"/>
    <s v="Headphones"/>
    <x v="1"/>
    <x v="0"/>
    <x v="16"/>
    <x v="638"/>
    <n v="3"/>
    <n v="1283"/>
    <n v="15"/>
    <n v="4048.65"/>
    <n v="3272.31"/>
    <n v="776.34"/>
    <s v="Credit card"/>
    <s v="Returned"/>
    <s v="Callahan LLC"/>
    <s v="cpittman@hill-white.com"/>
    <n v="32"/>
    <s v="No"/>
    <n v="0"/>
  </r>
  <r>
    <s v="ORD1658"/>
    <x v="429"/>
    <d v="2024-04-05T00:00:00"/>
    <s v="CUST675"/>
    <x v="655"/>
    <x v="0"/>
    <s v="PROD9582"/>
    <s v="Pen"/>
    <x v="0"/>
    <x v="0"/>
    <x v="20"/>
    <x v="639"/>
    <n v="5"/>
    <n v="3807"/>
    <n v="0"/>
    <n v="19812"/>
    <n v="19035.86"/>
    <n v="776.14"/>
    <s v="Net Banking"/>
    <s v="Cancelled"/>
    <s v="Palmer-Brewer"/>
    <s v="susanadams@johnson.com"/>
    <n v="21"/>
    <s v="No"/>
    <n v="0"/>
  </r>
  <r>
    <s v="ORD1659"/>
    <x v="430"/>
    <d v="2025-05-26T00:00:00"/>
    <s v="CUST412"/>
    <x v="656"/>
    <x v="0"/>
    <s v="PROD8468"/>
    <s v="Sugar"/>
    <x v="3"/>
    <x v="2"/>
    <x v="2"/>
    <x v="640"/>
    <n v="2"/>
    <n v="898"/>
    <n v="15"/>
    <n v="2303.6"/>
    <n v="1527.41"/>
    <n v="776.19"/>
    <s v="Net Banking"/>
    <s v="Returned"/>
    <s v="Cochran, Sampson and Moore"/>
    <s v="qmurray@gutierrez-barnes.org"/>
    <n v="33"/>
    <s v="No"/>
    <n v="0"/>
  </r>
  <r>
    <s v="ORD1660"/>
    <x v="224"/>
    <d v="2025-06-13T00:00:00"/>
    <s v="CUST500"/>
    <x v="657"/>
    <x v="2"/>
    <s v="PROD4204"/>
    <s v="Stapler"/>
    <x v="0"/>
    <x v="0"/>
    <x v="17"/>
    <x v="641"/>
    <n v="8"/>
    <n v="4212"/>
    <n v="10"/>
    <n v="31103.4"/>
    <n v="30327.24"/>
    <n v="776.16"/>
    <s v="UPI"/>
    <s v="Cancelled"/>
    <s v="Keith-Velazquez"/>
    <s v="rwood@summers.com"/>
    <n v="23"/>
    <s v="No"/>
    <n v="0"/>
  </r>
  <r>
    <s v="ORD1661"/>
    <x v="431"/>
    <d v="2024-11-18T00:00:00"/>
    <s v="CUST770"/>
    <x v="658"/>
    <x v="2"/>
    <s v="PROD5940"/>
    <s v="Notebook"/>
    <x v="0"/>
    <x v="2"/>
    <x v="40"/>
    <x v="642"/>
    <n v="3"/>
    <n v="4552"/>
    <n v="15"/>
    <n v="12384.6"/>
    <n v="11608.34"/>
    <n v="776.26"/>
    <s v="Cash"/>
    <s v="Cancelled"/>
    <s v="Perkins-Black"/>
    <s v="youngcourtney@waters.com"/>
    <n v="27"/>
    <s v="No"/>
    <n v="0"/>
  </r>
  <r>
    <s v="ORD1662"/>
    <x v="180"/>
    <d v="2024-05-08T00:00:00"/>
    <s v="CUST401"/>
    <x v="659"/>
    <x v="1"/>
    <s v="PROD1532"/>
    <s v="Monitor"/>
    <x v="1"/>
    <x v="0"/>
    <x v="25"/>
    <x v="643"/>
    <n v="6"/>
    <n v="499"/>
    <n v="15"/>
    <n v="3321.9"/>
    <n v="2545.7199999999998"/>
    <n v="776.18"/>
    <s v="Cash"/>
    <s v="Returned"/>
    <s v="Diaz-Farmer"/>
    <s v="heather08@richards-smith.com"/>
    <n v="38"/>
    <s v="No"/>
    <n v="0"/>
  </r>
  <r>
    <s v="ORD1663"/>
    <x v="432"/>
    <d v="2025-10-12T00:00:00"/>
    <s v="CUST821"/>
    <x v="660"/>
    <x v="2"/>
    <s v="PROD9826"/>
    <s v="Monitor"/>
    <x v="1"/>
    <x v="3"/>
    <x v="26"/>
    <x v="644"/>
    <n v="9"/>
    <n v="4254"/>
    <n v="20"/>
    <n v="31405.8"/>
    <n v="30629.599999999999"/>
    <n v="776.2"/>
    <s v="Net Banking"/>
    <s v="Cancelled"/>
    <s v="Brooks, Cooper and Valentine"/>
    <s v="reeddarrell@price-lawson.com"/>
    <n v="25"/>
    <s v="No"/>
    <n v="0"/>
  </r>
  <r>
    <s v="ORD1664"/>
    <x v="115"/>
    <d v="2025-01-25T00:00:00"/>
    <s v="CUST148"/>
    <x v="661"/>
    <x v="0"/>
    <s v="PROD3063"/>
    <s v="Calculator"/>
    <x v="0"/>
    <x v="0"/>
    <x v="34"/>
    <x v="645"/>
    <n v="7"/>
    <n v="4044"/>
    <n v="10"/>
    <n v="26254.2"/>
    <n v="25477.93"/>
    <n v="776.27"/>
    <s v="UPI"/>
    <s v="Cancelled"/>
    <s v="Powell, Richardson and Shepard"/>
    <s v="seth95@singh-brown.biz"/>
    <n v="34"/>
    <s v="No"/>
    <n v="0"/>
  </r>
  <r>
    <s v="ORD1665"/>
    <x v="109"/>
    <d v="2025-07-27T00:00:00"/>
    <s v="CUST882"/>
    <x v="662"/>
    <x v="2"/>
    <s v="PROD9798"/>
    <s v="Snacks"/>
    <x v="3"/>
    <x v="2"/>
    <x v="45"/>
    <x v="646"/>
    <n v="6"/>
    <n v="3284"/>
    <n v="0"/>
    <n v="20481"/>
    <n v="19704.68"/>
    <n v="776.32"/>
    <s v="UPI"/>
    <s v="Pending"/>
    <s v="Webb LLC"/>
    <s v="espinozajason@doyle.com"/>
    <n v="35"/>
    <s v="No"/>
    <n v="0"/>
  </r>
  <r>
    <s v="ORD1666"/>
    <x v="433"/>
    <d v="2024-04-16T00:00:00"/>
    <s v="CUST943"/>
    <x v="663"/>
    <x v="1"/>
    <s v="PROD6292"/>
    <s v="Laptop"/>
    <x v="1"/>
    <x v="1"/>
    <x v="44"/>
    <x v="647"/>
    <n v="3"/>
    <n v="2863"/>
    <n v="0"/>
    <n v="9366"/>
    <n v="8589.69"/>
    <n v="776.31"/>
    <s v="Credit card"/>
    <s v="Cancelled"/>
    <s v="Parsons-Guzman"/>
    <s v="john54@lewis.net"/>
    <n v="42"/>
    <s v="No"/>
    <n v="0"/>
  </r>
  <r>
    <s v="ORD1667"/>
    <x v="434"/>
    <d v="2025-03-19T00:00:00"/>
    <s v="CUST543"/>
    <x v="664"/>
    <x v="1"/>
    <s v="PROD8600"/>
    <s v="Monitor"/>
    <x v="1"/>
    <x v="3"/>
    <x v="44"/>
    <x v="648"/>
    <n v="9"/>
    <n v="3975"/>
    <n v="0"/>
    <n v="36552"/>
    <n v="35775.69"/>
    <n v="776.31"/>
    <s v="Credit card"/>
    <s v="Delivered"/>
    <s v="Lambert Group"/>
    <s v="melissa57@zavala.org"/>
    <n v="30"/>
    <s v="No"/>
    <n v="0"/>
  </r>
  <r>
    <s v="ORD1668"/>
    <x v="435"/>
    <d v="2024-04-06T00:00:00"/>
    <s v="CUST864"/>
    <x v="665"/>
    <x v="1"/>
    <s v="PROD2293"/>
    <s v="Pen"/>
    <x v="0"/>
    <x v="2"/>
    <x v="49"/>
    <x v="90"/>
    <n v="6"/>
    <n v="4353"/>
    <n v="10"/>
    <n v="24283.200000000001"/>
    <n v="23507.09"/>
    <n v="776.11"/>
    <s v="Cash"/>
    <s v="Cancelled"/>
    <s v="Miller-Carlson"/>
    <s v="hancockjimmy@love.org"/>
    <n v="11"/>
    <s v="No"/>
    <n v="0"/>
  </r>
  <r>
    <s v="ORD1669"/>
    <x v="140"/>
    <d v="2025-03-17T00:00:00"/>
    <s v="CUST292"/>
    <x v="666"/>
    <x v="2"/>
    <s v="PROD7572"/>
    <s v="Sofa"/>
    <x v="2"/>
    <x v="2"/>
    <x v="42"/>
    <x v="649"/>
    <n v="3"/>
    <n v="4943"/>
    <n v="10"/>
    <n v="14123.1"/>
    <n v="13346.89"/>
    <n v="776.21"/>
    <s v="Credit card"/>
    <s v="Delivered"/>
    <s v="Suarez Ltd"/>
    <s v="cassandra30@lamb.net"/>
    <n v="12"/>
    <s v="No"/>
    <n v="0"/>
  </r>
  <r>
    <s v="ORD1670"/>
    <x v="436"/>
    <d v="2025-07-15T00:00:00"/>
    <s v="CUST129"/>
    <x v="667"/>
    <x v="1"/>
    <s v="PROD4609"/>
    <s v="Keyboard"/>
    <x v="1"/>
    <x v="0"/>
    <x v="38"/>
    <x v="418"/>
    <n v="1"/>
    <n v="3179"/>
    <n v="15"/>
    <n v="3479.15"/>
    <n v="2702.85"/>
    <n v="776.3"/>
    <s v="Cash"/>
    <s v="Cancelled"/>
    <s v="Nguyen, Dyer and Fox"/>
    <s v="catherine35@dawson-turner.com"/>
    <n v="42"/>
    <s v="No"/>
    <n v="0"/>
  </r>
  <r>
    <s v="ORD1671"/>
    <x v="437"/>
    <d v="2024-09-20T00:00:00"/>
    <s v="CUST574"/>
    <x v="668"/>
    <x v="1"/>
    <s v="PROD6065"/>
    <s v="Monitor"/>
    <x v="1"/>
    <x v="1"/>
    <x v="5"/>
    <x v="650"/>
    <n v="5"/>
    <n v="2821"/>
    <n v="10"/>
    <n v="13471.5"/>
    <n v="12695.36"/>
    <n v="776.14"/>
    <s v="Credit card"/>
    <s v="Pending"/>
    <s v="Evans, Mcknight and Moore"/>
    <s v="cmorris@padilla.biz"/>
    <n v="40"/>
    <s v="No"/>
    <n v="0"/>
  </r>
  <r>
    <s v="ORD1672"/>
    <x v="296"/>
    <d v="2025-06-24T00:00:00"/>
    <s v="CUST555"/>
    <x v="46"/>
    <x v="1"/>
    <s v="PROD2136"/>
    <s v="File Folder"/>
    <x v="0"/>
    <x v="0"/>
    <x v="17"/>
    <x v="651"/>
    <n v="8"/>
    <n v="2735"/>
    <n v="15"/>
    <n v="19375"/>
    <n v="18598.689999999999"/>
    <n v="776.31"/>
    <s v="Credit card"/>
    <s v="Returned"/>
    <s v="Anderson-Miller"/>
    <s v="jamesdean@scott-wilson.biz"/>
    <n v="25"/>
    <s v="No"/>
    <n v="0"/>
  </r>
  <r>
    <s v="ORD1673"/>
    <x v="438"/>
    <d v="2024-04-15T00:00:00"/>
    <s v="CUST677"/>
    <x v="669"/>
    <x v="2"/>
    <s v="PROD4765"/>
    <s v="File Folder"/>
    <x v="0"/>
    <x v="3"/>
    <x v="36"/>
    <x v="652"/>
    <n v="4"/>
    <n v="1982"/>
    <n v="5"/>
    <n v="8308.6"/>
    <n v="7532.35"/>
    <n v="776.25"/>
    <s v="Cash"/>
    <s v="Pending"/>
    <s v="Garcia-Greer"/>
    <s v="timothyadams@espinoza.com"/>
    <n v="41"/>
    <s v="No"/>
    <n v="0"/>
  </r>
  <r>
    <s v="ORD1674"/>
    <x v="233"/>
    <d v="2025-10-25T00:00:00"/>
    <s v="CUST197"/>
    <x v="670"/>
    <x v="0"/>
    <s v="PROD4616"/>
    <s v="Study Table"/>
    <x v="2"/>
    <x v="1"/>
    <x v="36"/>
    <x v="653"/>
    <n v="1"/>
    <n v="3731"/>
    <n v="20"/>
    <n v="3761.8"/>
    <n v="2985.52"/>
    <n v="776.28"/>
    <s v="Cash"/>
    <s v="Cancelled"/>
    <s v="Long LLC"/>
    <s v="richardgomez@spencer.com"/>
    <n v="18"/>
    <s v="No"/>
    <n v="0"/>
  </r>
  <r>
    <s v="ORD1675"/>
    <x v="391"/>
    <d v="2025-05-05T00:00:00"/>
    <s v="CUST135"/>
    <x v="671"/>
    <x v="0"/>
    <s v="PROD5252"/>
    <s v="Headphones"/>
    <x v="1"/>
    <x v="3"/>
    <x v="44"/>
    <x v="654"/>
    <n v="2"/>
    <n v="4107"/>
    <n v="20"/>
    <n v="7348.2"/>
    <n v="6571.88"/>
    <n v="776.32"/>
    <s v="Cash"/>
    <s v="Delivered"/>
    <s v="Deleon-Huerta"/>
    <s v="iponce@fuller.com"/>
    <n v="13"/>
    <s v="No"/>
    <n v="0"/>
  </r>
  <r>
    <s v="ORD1676"/>
    <x v="317"/>
    <d v="2024-10-02T00:00:00"/>
    <s v="CUST686"/>
    <x v="672"/>
    <x v="2"/>
    <s v="PROD2720"/>
    <s v="Bookshell"/>
    <x v="2"/>
    <x v="2"/>
    <x v="49"/>
    <x v="655"/>
    <n v="5"/>
    <n v="2631"/>
    <n v="15"/>
    <n v="11958.75"/>
    <n v="11182.5"/>
    <n v="776.25"/>
    <s v="Cash"/>
    <s v="Pending"/>
    <s v="Wagner Group"/>
    <s v="stephaniecombs@martin.com"/>
    <n v="29"/>
    <s v="No"/>
    <n v="0"/>
  </r>
  <r>
    <s v="ORD1677"/>
    <x v="60"/>
    <d v="2024-10-15T00:00:00"/>
    <s v="CUST202"/>
    <x v="673"/>
    <x v="1"/>
    <s v="PROD9611"/>
    <s v="Study Table"/>
    <x v="2"/>
    <x v="2"/>
    <x v="4"/>
    <x v="656"/>
    <n v="10"/>
    <n v="1214"/>
    <n v="0"/>
    <n v="12917"/>
    <n v="12140.89"/>
    <n v="776.11"/>
    <s v="UPI"/>
    <s v="Delivered"/>
    <s v="Roberts-Barker"/>
    <s v="fosterkiara@simpson.com"/>
    <n v="48"/>
    <s v="No"/>
    <n v="0"/>
  </r>
  <r>
    <s v="ORD1678"/>
    <x v="439"/>
    <d v="2024-06-15T00:00:00"/>
    <s v="CUST847"/>
    <x v="674"/>
    <x v="1"/>
    <s v="PROD1172"/>
    <s v="Headphones"/>
    <x v="1"/>
    <x v="1"/>
    <x v="30"/>
    <x v="657"/>
    <n v="5"/>
    <n v="4218"/>
    <n v="15"/>
    <n v="18703.5"/>
    <n v="17927.11"/>
    <n v="776.39"/>
    <s v="UPI"/>
    <s v="Pending"/>
    <s v="Brandt-Gilbert"/>
    <s v="sandersmanuel@johnson-thomas.org"/>
    <n v="2"/>
    <s v="Yes"/>
    <n v="45"/>
  </r>
  <r>
    <s v="ORD1679"/>
    <x v="410"/>
    <d v="2024-09-15T00:00:00"/>
    <s v="CUST414"/>
    <x v="675"/>
    <x v="2"/>
    <s v="PROD6867"/>
    <s v="Headphones"/>
    <x v="1"/>
    <x v="3"/>
    <x v="46"/>
    <x v="658"/>
    <n v="9"/>
    <n v="258"/>
    <n v="15"/>
    <n v="2750.7"/>
    <n v="1974.31"/>
    <n v="776.39"/>
    <s v="Credit card"/>
    <s v="Returned"/>
    <s v="Rodriguez Inc"/>
    <s v="shawn16@schultz.com"/>
    <n v="14"/>
    <s v="No"/>
    <n v="0"/>
  </r>
  <r>
    <s v="ORD1680"/>
    <x v="440"/>
    <d v="2024-08-10T00:00:00"/>
    <s v="CUST499"/>
    <x v="676"/>
    <x v="1"/>
    <s v="PROD4638"/>
    <s v="Notebook"/>
    <x v="0"/>
    <x v="3"/>
    <x v="22"/>
    <x v="659"/>
    <n v="7"/>
    <n v="4798"/>
    <n v="10"/>
    <n v="31004.400000000001"/>
    <n v="30228.22"/>
    <n v="776.18"/>
    <s v="Cash"/>
    <s v="Returned"/>
    <s v="Anderson, Martinez and Frederick"/>
    <s v="debra66@kennedy.com"/>
    <n v="45"/>
    <s v="No"/>
    <n v="0"/>
  </r>
  <r>
    <s v="ORD1681"/>
    <x v="433"/>
    <d v="2024-04-16T00:00:00"/>
    <s v="CUST548"/>
    <x v="677"/>
    <x v="2"/>
    <s v="PROD4119"/>
    <s v="Juice Pack"/>
    <x v="3"/>
    <x v="3"/>
    <x v="11"/>
    <x v="660"/>
    <n v="7"/>
    <n v="4724"/>
    <n v="15"/>
    <n v="28884.799999999999"/>
    <n v="28108.639999999999"/>
    <n v="776.16"/>
    <s v="Net Banking"/>
    <s v="Delivered"/>
    <s v="Porter Ltd"/>
    <s v="allenvanessa@lloyd.com"/>
    <n v="35"/>
    <s v="No"/>
    <n v="0"/>
  </r>
  <r>
    <s v="ORD1682"/>
    <x v="45"/>
    <d v="2024-10-30T00:00:00"/>
    <s v="CUST102"/>
    <x v="678"/>
    <x v="0"/>
    <s v="PROD2137"/>
    <s v="Headphones"/>
    <x v="1"/>
    <x v="3"/>
    <x v="25"/>
    <x v="661"/>
    <n v="9"/>
    <n v="846"/>
    <n v="0"/>
    <n v="8391"/>
    <n v="7614.63"/>
    <n v="776.37"/>
    <s v="UPI"/>
    <s v="Pending"/>
    <s v="Potts-Middleton"/>
    <s v="xdeleon@garza.com"/>
    <n v="38"/>
    <s v="No"/>
    <n v="0"/>
  </r>
  <r>
    <s v="ORD1683"/>
    <x v="385"/>
    <d v="2024-07-23T00:00:00"/>
    <s v="CUST726"/>
    <x v="679"/>
    <x v="0"/>
    <s v="PROD3785"/>
    <s v="Keyboard"/>
    <x v="1"/>
    <x v="0"/>
    <x v="15"/>
    <x v="662"/>
    <n v="7"/>
    <n v="437"/>
    <n v="10"/>
    <n v="3530.1"/>
    <n v="2753.88"/>
    <n v="776.22"/>
    <s v="UPI"/>
    <s v="Cancelled"/>
    <s v="Cooper, Johnson and Bryan"/>
    <s v="pruittjames@proctor-york.com"/>
    <n v="10"/>
    <s v="No"/>
    <n v="0"/>
  </r>
  <r>
    <s v="ORD1684"/>
    <x v="31"/>
    <d v="2024-02-18T00:00:00"/>
    <s v="CUST808"/>
    <x v="680"/>
    <x v="2"/>
    <s v="PROD3657"/>
    <s v="Keyboard"/>
    <x v="1"/>
    <x v="2"/>
    <x v="31"/>
    <x v="124"/>
    <n v="5"/>
    <n v="2259"/>
    <n v="15"/>
    <n v="10377.75"/>
    <n v="9601.6299999999992"/>
    <n v="776.12"/>
    <s v="UPI"/>
    <s v="Delivered"/>
    <s v="Fischer-Anderson"/>
    <s v="joy01@best.org"/>
    <n v="1"/>
    <s v="Yes"/>
    <n v="26"/>
  </r>
  <r>
    <s v="ORD1685"/>
    <x v="441"/>
    <d v="2025-07-31T00:00:00"/>
    <s v="CUST416"/>
    <x v="681"/>
    <x v="2"/>
    <s v="PROD7090"/>
    <s v="Rice Bag"/>
    <x v="3"/>
    <x v="1"/>
    <x v="0"/>
    <x v="663"/>
    <n v="1"/>
    <n v="2559"/>
    <n v="5"/>
    <n v="3208.05"/>
    <n v="2431.66"/>
    <n v="776.39"/>
    <s v="Net Banking"/>
    <s v="Returned"/>
    <s v="Lopez Ltd"/>
    <s v="lreyes@graves.net"/>
    <n v="50"/>
    <s v="No"/>
    <n v="0"/>
  </r>
  <r>
    <s v="ORD1686"/>
    <x v="20"/>
    <d v="2024-08-26T00:00:00"/>
    <s v="CUST541"/>
    <x v="682"/>
    <x v="1"/>
    <s v="PROD2496"/>
    <s v="Study Table"/>
    <x v="2"/>
    <x v="3"/>
    <x v="44"/>
    <x v="303"/>
    <n v="6"/>
    <n v="2841"/>
    <n v="20"/>
    <n v="14413.8"/>
    <n v="13637.44"/>
    <n v="776.36"/>
    <s v="UPI"/>
    <s v="Pending"/>
    <s v="Fields and Sons"/>
    <s v="robinsontammy@lewis-davis.net"/>
    <n v="47"/>
    <s v="No"/>
    <n v="0"/>
  </r>
  <r>
    <s v="ORD1687"/>
    <x v="392"/>
    <d v="2024-11-02T00:00:00"/>
    <s v="CUST283"/>
    <x v="683"/>
    <x v="1"/>
    <s v="PROD1509"/>
    <s v="Notebook"/>
    <x v="0"/>
    <x v="0"/>
    <x v="39"/>
    <x v="664"/>
    <n v="1"/>
    <n v="1161"/>
    <n v="20"/>
    <n v="1705.8"/>
    <n v="929.66"/>
    <n v="776.14"/>
    <s v="Net Banking"/>
    <s v="Delivered"/>
    <s v="Byrd Inc"/>
    <s v="clinton95@thomas.com"/>
    <n v="42"/>
    <s v="No"/>
    <n v="0"/>
  </r>
  <r>
    <s v="ORD1688"/>
    <x v="152"/>
    <d v="2024-07-19T00:00:00"/>
    <s v="CUST569"/>
    <x v="684"/>
    <x v="2"/>
    <s v="PROD9119"/>
    <s v="Pen"/>
    <x v="0"/>
    <x v="1"/>
    <x v="2"/>
    <x v="665"/>
    <n v="1"/>
    <n v="2819"/>
    <n v="10"/>
    <n v="3314.1"/>
    <n v="2537.86"/>
    <n v="776.24"/>
    <s v="Net Banking"/>
    <s v="Cancelled"/>
    <s v="Nichols and Sons"/>
    <s v="nicholaskelley@joyce-oneal.com"/>
    <n v="18"/>
    <s v="No"/>
    <n v="0"/>
  </r>
  <r>
    <s v="ORD1689"/>
    <x v="224"/>
    <d v="2025-06-11T00:00:00"/>
    <s v="CUST157"/>
    <x v="685"/>
    <x v="2"/>
    <s v="PROD2651"/>
    <s v="Stapler"/>
    <x v="0"/>
    <x v="3"/>
    <x v="16"/>
    <x v="666"/>
    <n v="9"/>
    <n v="2866"/>
    <n v="20"/>
    <n v="21412.2"/>
    <n v="20636.080000000002"/>
    <n v="776.12"/>
    <s v="Net Banking"/>
    <s v="Delivered"/>
    <s v="Clark LLC"/>
    <s v="stephanieanderson@little.com"/>
    <n v="46"/>
    <s v="No"/>
    <n v="0"/>
  </r>
  <r>
    <s v="ORD1690"/>
    <x v="442"/>
    <d v="2024-08-04T00:00:00"/>
    <s v="CUST105"/>
    <x v="686"/>
    <x v="1"/>
    <s v="PROD6245"/>
    <s v="Keyboard"/>
    <x v="1"/>
    <x v="2"/>
    <x v="2"/>
    <x v="667"/>
    <n v="5"/>
    <n v="3464"/>
    <n v="0"/>
    <n v="18097"/>
    <n v="17320.8"/>
    <n v="776.2"/>
    <s v="Net Banking"/>
    <s v="Pending"/>
    <s v="Lopez-Wiggins"/>
    <s v="peterwilliams@ward-smith.info"/>
    <n v="32"/>
    <s v="No"/>
    <n v="0"/>
  </r>
  <r>
    <s v="ORD1691"/>
    <x v="192"/>
    <d v="2025-08-10T00:00:00"/>
    <s v="CUST461"/>
    <x v="687"/>
    <x v="0"/>
    <s v="PROD4960"/>
    <s v="Calculator"/>
    <x v="0"/>
    <x v="2"/>
    <x v="16"/>
    <x v="668"/>
    <n v="10"/>
    <n v="467"/>
    <n v="5"/>
    <n v="5213.5"/>
    <n v="4437.33"/>
    <n v="776.17"/>
    <s v="Credit card"/>
    <s v="Delivered"/>
    <s v="Patterson-Hardin"/>
    <s v="ashleysalas@herrera.com"/>
    <n v="21"/>
    <s v="No"/>
    <n v="0"/>
  </r>
  <r>
    <s v="ORD1692"/>
    <x v="306"/>
    <d v="2024-12-23T00:00:00"/>
    <s v="CUST927"/>
    <x v="688"/>
    <x v="2"/>
    <s v="PROD7133"/>
    <s v="Rice Bag"/>
    <x v="3"/>
    <x v="0"/>
    <x v="45"/>
    <x v="669"/>
    <n v="9"/>
    <n v="294"/>
    <n v="10"/>
    <n v="2726.4"/>
    <n v="2382.23"/>
    <n v="344.17"/>
    <s v="Credit card"/>
    <s v="Returned"/>
    <s v="Williams Inc"/>
    <s v="sarah04@wood-bell.com"/>
    <n v="48"/>
    <s v="No"/>
    <n v="0"/>
  </r>
  <r>
    <s v="ORD1693"/>
    <x v="191"/>
    <d v="2024-05-01T00:00:00"/>
    <s v="CUST234"/>
    <x v="689"/>
    <x v="1"/>
    <s v="PROD4299"/>
    <s v="Sofa"/>
    <x v="2"/>
    <x v="3"/>
    <x v="36"/>
    <x v="670"/>
    <n v="5"/>
    <n v="3810"/>
    <n v="10"/>
    <n v="17490"/>
    <n v="17145.77"/>
    <n v="344.23"/>
    <s v="UPI"/>
    <s v="Returned"/>
    <s v="Savage and Sons"/>
    <s v="kristanelson@chavez.biz"/>
    <n v="18"/>
    <s v="No"/>
    <n v="0"/>
  </r>
  <r>
    <s v="ORD1694"/>
    <x v="443"/>
    <d v="2025-09-08T00:00:00"/>
    <s v="CUST662"/>
    <x v="690"/>
    <x v="0"/>
    <s v="PROD7711"/>
    <s v="Sofa"/>
    <x v="2"/>
    <x v="2"/>
    <x v="2"/>
    <x v="671"/>
    <n v="9"/>
    <n v="3380"/>
    <n v="5"/>
    <n v="29244"/>
    <n v="28899.65"/>
    <n v="344.35"/>
    <s v="UPI"/>
    <s v="Pending"/>
    <s v="Costa Inc"/>
    <s v="carlosbernard@knight.com"/>
    <n v="21"/>
    <s v="No"/>
    <n v="0"/>
  </r>
  <r>
    <s v="ORD1695"/>
    <x v="444"/>
    <d v="2024-12-22T00:00:00"/>
    <s v="CUST731"/>
    <x v="691"/>
    <x v="0"/>
    <s v="PROD4244"/>
    <s v="Laptop"/>
    <x v="1"/>
    <x v="1"/>
    <x v="18"/>
    <x v="672"/>
    <n v="4"/>
    <n v="1482"/>
    <n v="0"/>
    <n v="6273"/>
    <n v="5928.84"/>
    <n v="344.16"/>
    <s v="UPI"/>
    <s v="Pending"/>
    <s v="Sanders, Kelly and Chaney"/>
    <s v="thomasdevin@bailey-oconnor.biz"/>
    <n v="23"/>
    <s v="No"/>
    <n v="0"/>
  </r>
  <r>
    <s v="ORD1696"/>
    <x v="445"/>
    <d v="2024-10-27T00:00:00"/>
    <s v="CUST301"/>
    <x v="692"/>
    <x v="2"/>
    <s v="PROD3082"/>
    <s v="Juice Pack"/>
    <x v="3"/>
    <x v="2"/>
    <x v="3"/>
    <x v="673"/>
    <n v="10"/>
    <n v="1668"/>
    <n v="15"/>
    <n v="14523"/>
    <n v="14178.85"/>
    <n v="344.15"/>
    <s v="UPI"/>
    <s v="Pending"/>
    <s v="Mejia, Hernandez and Taylor"/>
    <s v="davischeyenne@wong.com"/>
    <n v="16"/>
    <s v="No"/>
    <n v="0"/>
  </r>
  <r>
    <s v="ORD1697"/>
    <x v="446"/>
    <d v="2024-02-04T00:00:00"/>
    <s v="CUST121"/>
    <x v="693"/>
    <x v="2"/>
    <s v="PROD1944"/>
    <s v="Monitor"/>
    <x v="1"/>
    <x v="0"/>
    <x v="5"/>
    <x v="674"/>
    <n v="9"/>
    <n v="4517"/>
    <n v="5"/>
    <n v="38965.35"/>
    <n v="38620.959999999999"/>
    <n v="344.39"/>
    <s v="Credit card"/>
    <s v="Pending"/>
    <s v="Russell-Marshall"/>
    <s v="qthompson@smith.net"/>
    <n v="32"/>
    <s v="No"/>
    <n v="0"/>
  </r>
  <r>
    <s v="ORD1698"/>
    <x v="137"/>
    <d v="2024-10-29T00:00:00"/>
    <s v="CUST893"/>
    <x v="694"/>
    <x v="1"/>
    <s v="PROD2009"/>
    <s v="Rice Bag"/>
    <x v="3"/>
    <x v="1"/>
    <x v="15"/>
    <x v="675"/>
    <n v="3"/>
    <n v="827"/>
    <n v="0"/>
    <n v="2826"/>
    <n v="2481.69"/>
    <n v="344.31"/>
    <s v="Net Banking"/>
    <s v="Pending"/>
    <s v="Walker PLC"/>
    <s v="amanda08@turner.org"/>
    <n v="35"/>
    <s v="No"/>
    <n v="0"/>
  </r>
  <r>
    <s v="ORD1699"/>
    <x v="212"/>
    <d v="2024-11-24T00:00:00"/>
    <s v="CUST690"/>
    <x v="695"/>
    <x v="0"/>
    <s v="PROD6788"/>
    <s v="Office Chair"/>
    <x v="2"/>
    <x v="0"/>
    <x v="41"/>
    <x v="676"/>
    <n v="9"/>
    <n v="2738"/>
    <n v="10"/>
    <n v="22522.799999999999"/>
    <n v="22178.65"/>
    <n v="344.15"/>
    <s v="Cash"/>
    <s v="Returned"/>
    <s v="Owens-Duran"/>
    <s v="walkerrobert@mckenzie-butler.com"/>
    <n v="31"/>
    <s v="No"/>
    <n v="0"/>
  </r>
  <r>
    <s v="ORD1700"/>
    <x v="447"/>
    <d v="2024-12-30T00:00:00"/>
    <s v="CUST869"/>
    <x v="696"/>
    <x v="1"/>
    <s v="PROD8162"/>
    <s v="Calculator"/>
    <x v="0"/>
    <x v="2"/>
    <x v="5"/>
    <x v="677"/>
    <n v="4"/>
    <n v="4439"/>
    <n v="0"/>
    <n v="18101"/>
    <n v="17756.900000000001"/>
    <n v="344.1"/>
    <s v="Net Banking"/>
    <s v="Cancelled"/>
    <s v="Green, Thomas and Ward"/>
    <s v="mikeyoung@guerrero.info"/>
    <n v="21"/>
    <s v="No"/>
    <n v="0"/>
  </r>
  <r>
    <s v="ORD1701"/>
    <x v="244"/>
    <d v="2025-06-06T00:00:00"/>
    <s v="CUST159"/>
    <x v="697"/>
    <x v="2"/>
    <s v="PROD4670"/>
    <s v="Cooking oil"/>
    <x v="3"/>
    <x v="3"/>
    <x v="29"/>
    <x v="678"/>
    <n v="4"/>
    <n v="1676"/>
    <n v="5"/>
    <n v="6713.8"/>
    <n v="6369.63"/>
    <n v="344.17"/>
    <s v="Credit card"/>
    <s v="Pending"/>
    <s v="Page, Greene and Moore"/>
    <s v="brownshirley@vargas.biz"/>
    <n v="9"/>
    <s v="Yes"/>
    <n v="46"/>
  </r>
  <r>
    <s v="ORD1702"/>
    <x v="177"/>
    <d v="2025-05-09T00:00:00"/>
    <s v="CUST303"/>
    <x v="698"/>
    <x v="2"/>
    <s v="PROD7818"/>
    <s v="Stapler"/>
    <x v="0"/>
    <x v="0"/>
    <x v="27"/>
    <x v="679"/>
    <n v="1"/>
    <n v="1871"/>
    <n v="10"/>
    <n v="2028.9"/>
    <n v="1684.66"/>
    <n v="344.24"/>
    <s v="Net Banking"/>
    <s v="Returned"/>
    <s v="Hayes-Walker"/>
    <s v="qaustin@lucas.com"/>
    <n v="30"/>
    <s v="No"/>
    <n v="0"/>
  </r>
  <r>
    <s v="ORD1703"/>
    <x v="341"/>
    <d v="2024-04-02T00:00:00"/>
    <s v="CUST935"/>
    <x v="699"/>
    <x v="2"/>
    <s v="PROD8123"/>
    <s v="Headphones"/>
    <x v="1"/>
    <x v="0"/>
    <x v="17"/>
    <x v="680"/>
    <n v="2"/>
    <n v="2707"/>
    <n v="15"/>
    <n v="4946.8999999999996"/>
    <n v="4602.74"/>
    <n v="344.16"/>
    <s v="Net Banking"/>
    <s v="Returned"/>
    <s v="Ellis Ltd"/>
    <s v="dalegordon@morrison-arias.org"/>
    <n v="43"/>
    <s v="No"/>
    <n v="0"/>
  </r>
  <r>
    <s v="ORD1704"/>
    <x v="129"/>
    <d v="2024-04-25T00:00:00"/>
    <s v="CUST843"/>
    <x v="700"/>
    <x v="0"/>
    <s v="PROD6967"/>
    <s v="Sofa"/>
    <x v="2"/>
    <x v="1"/>
    <x v="23"/>
    <x v="681"/>
    <n v="1"/>
    <n v="392"/>
    <n v="5"/>
    <n v="717.4"/>
    <n v="373.08"/>
    <n v="344.32"/>
    <s v="UPI"/>
    <s v="Pending"/>
    <s v="Rogers, West and Erickson"/>
    <s v="hsanchez@skinner.com"/>
    <n v="45"/>
    <s v="No"/>
    <n v="0"/>
  </r>
  <r>
    <s v="ORD1705"/>
    <x v="395"/>
    <d v="2023-11-27T00:00:00"/>
    <s v="CUST784"/>
    <x v="701"/>
    <x v="1"/>
    <s v="PROD7162"/>
    <s v="Monitor"/>
    <x v="1"/>
    <x v="1"/>
    <x v="30"/>
    <x v="682"/>
    <n v="4"/>
    <n v="3559"/>
    <n v="0"/>
    <n v="14581"/>
    <n v="14236.78"/>
    <n v="344.22"/>
    <s v="UPI"/>
    <s v="Cancelled"/>
    <s v="Davis PLC"/>
    <s v="andrewsryan@young.com"/>
    <n v="7"/>
    <s v="Yes"/>
    <n v="42"/>
  </r>
  <r>
    <s v="ORD1706"/>
    <x v="326"/>
    <d v="2025-01-19T00:00:00"/>
    <s v="CUST227"/>
    <x v="702"/>
    <x v="1"/>
    <s v="PROD2922"/>
    <s v="Juice Pack"/>
    <x v="3"/>
    <x v="2"/>
    <x v="24"/>
    <x v="683"/>
    <n v="7"/>
    <n v="3833"/>
    <n v="5"/>
    <n v="25834.45"/>
    <n v="25490.29"/>
    <n v="344.16"/>
    <s v="Cash"/>
    <s v="Returned"/>
    <s v="Garcia Group"/>
    <s v="nicholasburke@hale-sweeney.org"/>
    <n v="29"/>
    <s v="No"/>
    <n v="0"/>
  </r>
  <r>
    <s v="ORD1707"/>
    <x v="145"/>
    <d v="2024-07-08T00:00:00"/>
    <s v="CUST848"/>
    <x v="703"/>
    <x v="0"/>
    <s v="PROD3830"/>
    <s v="Cooking oil"/>
    <x v="3"/>
    <x v="3"/>
    <x v="6"/>
    <x v="684"/>
    <n v="7"/>
    <n v="3404"/>
    <n v="20"/>
    <n v="19407.400000000001"/>
    <n v="19063.28"/>
    <n v="344.12"/>
    <s v="Credit card"/>
    <s v="Returned"/>
    <s v="Thomas Inc"/>
    <s v="halvarez@blake.net"/>
    <n v="4"/>
    <s v="Yes"/>
    <n v="45"/>
  </r>
  <r>
    <s v="ORD1708"/>
    <x v="448"/>
    <d v="2025-09-15T00:00:00"/>
    <s v="CUST751"/>
    <x v="704"/>
    <x v="0"/>
    <s v="PROD8174"/>
    <s v="Sugar"/>
    <x v="3"/>
    <x v="0"/>
    <x v="17"/>
    <x v="685"/>
    <n v="4"/>
    <n v="1195"/>
    <n v="10"/>
    <n v="4647"/>
    <n v="4302.8100000000004"/>
    <n v="344.19"/>
    <s v="Cash"/>
    <s v="Pending"/>
    <s v="Friedman LLC"/>
    <s v="stephanie44@wood-odom.com"/>
    <n v="33"/>
    <s v="No"/>
    <n v="0"/>
  </r>
  <r>
    <s v="ORD1709"/>
    <x v="341"/>
    <d v="2024-03-27T00:00:00"/>
    <s v="CUST471"/>
    <x v="705"/>
    <x v="1"/>
    <s v="PROD7615"/>
    <s v="Rice Bag"/>
    <x v="3"/>
    <x v="0"/>
    <x v="32"/>
    <x v="686"/>
    <n v="6"/>
    <n v="692"/>
    <n v="10"/>
    <n v="4081.8"/>
    <n v="3737.51"/>
    <n v="344.29"/>
    <s v="Cash"/>
    <s v="Cancelled"/>
    <s v="Mccullough, Garcia and Parker"/>
    <s v="leslie32@may-horn.org"/>
    <n v="12"/>
    <s v="No"/>
    <n v="0"/>
  </r>
  <r>
    <s v="ORD1710"/>
    <x v="449"/>
    <d v="2024-05-22T00:00:00"/>
    <s v="CUST135"/>
    <x v="706"/>
    <x v="1"/>
    <s v="PROD9263"/>
    <s v="Dining Table"/>
    <x v="2"/>
    <x v="3"/>
    <x v="0"/>
    <x v="687"/>
    <n v="8"/>
    <n v="4748"/>
    <n v="0"/>
    <n v="38329"/>
    <n v="37984.870000000003"/>
    <n v="344.13"/>
    <s v="Cash"/>
    <s v="Returned"/>
    <s v="Taylor-Maynard"/>
    <s v="andersonmathew@cooper.biz"/>
    <n v="14"/>
    <s v="No"/>
    <n v="0"/>
  </r>
  <r>
    <s v="ORD1711"/>
    <x v="25"/>
    <d v="2024-07-17T00:00:00"/>
    <s v="CUST294"/>
    <x v="707"/>
    <x v="1"/>
    <s v="PROD9073"/>
    <s v="Laptop"/>
    <x v="1"/>
    <x v="2"/>
    <x v="21"/>
    <x v="688"/>
    <n v="10"/>
    <n v="2623"/>
    <n v="20"/>
    <n v="21329"/>
    <n v="20984.63"/>
    <n v="344.37"/>
    <s v="Net Banking"/>
    <s v="Delivered"/>
    <s v="Little PLC"/>
    <s v="michael34@mitchell-reed.com"/>
    <n v="11"/>
    <s v="No"/>
    <n v="0"/>
  </r>
  <r>
    <s v="ORD1712"/>
    <x v="362"/>
    <d v="2025-09-06T00:00:00"/>
    <s v="CUST742"/>
    <x v="708"/>
    <x v="2"/>
    <s v="PROD8193"/>
    <s v="Study Table"/>
    <x v="2"/>
    <x v="2"/>
    <x v="11"/>
    <x v="689"/>
    <n v="5"/>
    <n v="4143"/>
    <n v="10"/>
    <n v="18988.5"/>
    <n v="18644.400000000001"/>
    <n v="344.1"/>
    <s v="Cash"/>
    <s v="Cancelled"/>
    <s v="Michael LLC"/>
    <s v="jason60@mays.com"/>
    <n v="37"/>
    <s v="No"/>
    <n v="0"/>
  </r>
  <r>
    <s v="ORD1713"/>
    <x v="450"/>
    <d v="2025-04-17T00:00:00"/>
    <s v="CUST141"/>
    <x v="709"/>
    <x v="2"/>
    <s v="PROD9703"/>
    <s v="Laptop"/>
    <x v="1"/>
    <x v="2"/>
    <x v="33"/>
    <x v="690"/>
    <n v="5"/>
    <n v="1187"/>
    <n v="10"/>
    <n v="5686.5"/>
    <n v="5342.24"/>
    <n v="344.26"/>
    <s v="Cash"/>
    <s v="Cancelled"/>
    <s v="Nash-Bradley"/>
    <s v="jamie45@thompson.com"/>
    <n v="38"/>
    <s v="No"/>
    <n v="0"/>
  </r>
  <r>
    <s v="ORD1714"/>
    <x v="74"/>
    <d v="2025-06-28T00:00:00"/>
    <s v="CUST247"/>
    <x v="710"/>
    <x v="2"/>
    <s v="PROD8121"/>
    <s v="Bookshell"/>
    <x v="2"/>
    <x v="3"/>
    <x v="4"/>
    <x v="691"/>
    <n v="10"/>
    <n v="846"/>
    <n v="20"/>
    <n v="7113"/>
    <n v="6768.75"/>
    <n v="344.25"/>
    <s v="Net Banking"/>
    <s v="Cancelled"/>
    <s v="Kirk, Cook and Page"/>
    <s v="ibarramike@mcintosh-lucero.com"/>
    <n v="29"/>
    <s v="No"/>
    <n v="0"/>
  </r>
  <r>
    <s v="ORD1715"/>
    <x v="72"/>
    <d v="2024-01-20T00:00:00"/>
    <s v="CUST816"/>
    <x v="711"/>
    <x v="1"/>
    <s v="PROD7170"/>
    <s v="Mouse"/>
    <x v="1"/>
    <x v="3"/>
    <x v="25"/>
    <x v="692"/>
    <n v="3"/>
    <n v="123"/>
    <n v="0"/>
    <n v="714"/>
    <n v="369.71"/>
    <n v="344.29"/>
    <s v="Credit card"/>
    <s v="Cancelled"/>
    <s v="Townsend and Sons"/>
    <s v="sbarber@rodriguez-davis.info"/>
    <n v="37"/>
    <s v="No"/>
    <n v="0"/>
  </r>
  <r>
    <s v="ORD1716"/>
    <x v="26"/>
    <d v="2024-07-31T00:00:00"/>
    <s v="CUST508"/>
    <x v="712"/>
    <x v="1"/>
    <s v="PROD3664"/>
    <s v="Calculator"/>
    <x v="0"/>
    <x v="1"/>
    <x v="31"/>
    <x v="693"/>
    <n v="5"/>
    <n v="2939"/>
    <n v="5"/>
    <n v="14305.25"/>
    <n v="13960.9"/>
    <n v="344.35"/>
    <s v="UPI"/>
    <s v="Cancelled"/>
    <s v="Curtis-Cummings"/>
    <s v="charlesdavis@bernard.com"/>
    <n v="33"/>
    <s v="No"/>
    <n v="0"/>
  </r>
  <r>
    <s v="ORD1717"/>
    <x v="451"/>
    <d v="2024-02-18T00:00:00"/>
    <s v="CUST549"/>
    <x v="713"/>
    <x v="1"/>
    <s v="PROD4264"/>
    <s v="Laptop"/>
    <x v="1"/>
    <x v="3"/>
    <x v="40"/>
    <x v="694"/>
    <n v="2"/>
    <n v="1674"/>
    <n v="10"/>
    <n v="3358.2"/>
    <n v="3013.85"/>
    <n v="344.35"/>
    <s v="UPI"/>
    <s v="Delivered"/>
    <s v="Hughes-York"/>
    <s v="jesse90@wilson-griffith.biz"/>
    <n v="6"/>
    <s v="Yes"/>
    <n v="28"/>
  </r>
  <r>
    <s v="ORD1718"/>
    <x v="378"/>
    <d v="2025-10-23T00:00:00"/>
    <s v="CUST194"/>
    <x v="714"/>
    <x v="2"/>
    <s v="PROD4428"/>
    <s v="Keyboard"/>
    <x v="1"/>
    <x v="2"/>
    <x v="23"/>
    <x v="695"/>
    <n v="4"/>
    <n v="1500"/>
    <n v="20"/>
    <n v="5145"/>
    <n v="4800.82"/>
    <n v="344.18"/>
    <s v="Cash"/>
    <s v="Returned"/>
    <s v="Villanueva LLC"/>
    <s v="irobles@crawford-flores.com"/>
    <n v="10"/>
    <s v="No"/>
    <n v="0"/>
  </r>
  <r>
    <s v="ORD1719"/>
    <x v="452"/>
    <d v="2024-07-06T00:00:00"/>
    <s v="CUST897"/>
    <x v="715"/>
    <x v="2"/>
    <s v="PROD4782"/>
    <s v="Office Chair"/>
    <x v="2"/>
    <x v="3"/>
    <x v="39"/>
    <x v="696"/>
    <n v="8"/>
    <n v="1167"/>
    <n v="5"/>
    <n v="9214.2000000000007"/>
    <n v="8869.93"/>
    <n v="344.27"/>
    <s v="UPI"/>
    <s v="Returned"/>
    <s v="Graham and Sons"/>
    <s v="dpayne@fisher.biz"/>
    <n v="10"/>
    <s v="No"/>
    <n v="0"/>
  </r>
  <r>
    <s v="ORD1720"/>
    <x v="148"/>
    <d v="2025-01-08T00:00:00"/>
    <s v="CUST852"/>
    <x v="716"/>
    <x v="0"/>
    <s v="PROD2586"/>
    <s v="Calculator"/>
    <x v="0"/>
    <x v="3"/>
    <x v="14"/>
    <x v="697"/>
    <n v="8"/>
    <n v="1041"/>
    <n v="20"/>
    <n v="7007.4"/>
    <n v="6663.21"/>
    <n v="344.19"/>
    <s v="Credit card"/>
    <s v="Returned"/>
    <s v="Williamson Inc"/>
    <s v="plittle@macias.info"/>
    <n v="9"/>
    <s v="Yes"/>
    <n v="47"/>
  </r>
  <r>
    <s v="ORD1721"/>
    <x v="289"/>
    <d v="2023-12-15T00:00:00"/>
    <s v="CUST379"/>
    <x v="717"/>
    <x v="0"/>
    <s v="PROD4360"/>
    <s v="Rice Bag"/>
    <x v="3"/>
    <x v="2"/>
    <x v="11"/>
    <x v="698"/>
    <n v="10"/>
    <n v="3284"/>
    <n v="20"/>
    <n v="26617"/>
    <n v="26272.7"/>
    <n v="344.3"/>
    <s v="Cash"/>
    <s v="Delivered"/>
    <s v="Little-Trujillo"/>
    <s v="gdean@beck-walters.com"/>
    <n v="32"/>
    <s v="No"/>
    <n v="0"/>
  </r>
  <r>
    <s v="ORD1722"/>
    <x v="428"/>
    <d v="2025-10-15T00:00:00"/>
    <s v="CUST506"/>
    <x v="718"/>
    <x v="0"/>
    <s v="PROD4278"/>
    <s v="Pen"/>
    <x v="0"/>
    <x v="1"/>
    <x v="30"/>
    <x v="699"/>
    <n v="4"/>
    <n v="3116"/>
    <n v="0"/>
    <n v="12809"/>
    <n v="12464.8"/>
    <n v="344.2"/>
    <s v="Credit card"/>
    <s v="Delivered"/>
    <s v="Potter Group"/>
    <s v="amyrios@miller.info"/>
    <n v="49"/>
    <s v="No"/>
    <n v="0"/>
  </r>
  <r>
    <s v="ORD1723"/>
    <x v="438"/>
    <d v="2024-04-19T00:00:00"/>
    <s v="CUST262"/>
    <x v="719"/>
    <x v="2"/>
    <s v="PROD3201"/>
    <s v="Cooking oil"/>
    <x v="3"/>
    <x v="1"/>
    <x v="19"/>
    <x v="700"/>
    <n v="5"/>
    <n v="1857"/>
    <n v="5"/>
    <n v="9165.75"/>
    <n v="8821.36"/>
    <n v="344.39"/>
    <s v="Net Banking"/>
    <s v="Returned"/>
    <s v="Castillo, Smith and Smith"/>
    <s v="ebeck@cunningham.net"/>
    <n v="2"/>
    <s v="Yes"/>
    <n v="27"/>
  </r>
  <r>
    <s v="ORD1724"/>
    <x v="1"/>
    <d v="2025-07-23T00:00:00"/>
    <s v="CUST935"/>
    <x v="720"/>
    <x v="0"/>
    <s v="PROD3157"/>
    <s v="Study Table"/>
    <x v="2"/>
    <x v="1"/>
    <x v="39"/>
    <x v="701"/>
    <n v="5"/>
    <n v="647"/>
    <n v="5"/>
    <n v="3418.25"/>
    <n v="3074"/>
    <n v="344.25"/>
    <s v="Net Banking"/>
    <s v="Pending"/>
    <s v="Johnston, Crawford and Perez"/>
    <s v="courtneyhester@cooper.com"/>
    <n v="31"/>
    <s v="No"/>
    <n v="0"/>
  </r>
  <r>
    <s v="ORD1725"/>
    <x v="16"/>
    <d v="2025-11-04T00:00:00"/>
    <s v="CUST822"/>
    <x v="721"/>
    <x v="0"/>
    <s v="PROD4579"/>
    <s v="Headphones"/>
    <x v="1"/>
    <x v="2"/>
    <x v="41"/>
    <x v="702"/>
    <n v="1"/>
    <n v="1750"/>
    <n v="0"/>
    <n v="2095"/>
    <n v="1750.7"/>
    <n v="344.3"/>
    <s v="Net Banking"/>
    <s v="Cancelled"/>
    <s v="Odonnell-Soto"/>
    <s v="andrew88@cox-mckenzie.com"/>
    <n v="49"/>
    <s v="No"/>
    <n v="0"/>
  </r>
  <r>
    <s v="ORD1726"/>
    <x v="98"/>
    <d v="2025-08-11T00:00:00"/>
    <s v="CUST499"/>
    <x v="722"/>
    <x v="2"/>
    <s v="PROD3433"/>
    <s v="Monitor"/>
    <x v="1"/>
    <x v="3"/>
    <x v="19"/>
    <x v="703"/>
    <n v="2"/>
    <n v="1680"/>
    <n v="10"/>
    <n v="3369"/>
    <n v="3024.8"/>
    <n v="344.2"/>
    <s v="Credit card"/>
    <s v="Returned"/>
    <s v="Williams-Lambert"/>
    <s v="lee71@gonzales.com"/>
    <n v="2"/>
    <s v="Yes"/>
    <n v="49"/>
  </r>
  <r>
    <s v="ORD1727"/>
    <x v="403"/>
    <d v="2025-02-06T00:00:00"/>
    <s v="CUST261"/>
    <x v="723"/>
    <x v="1"/>
    <s v="PROD2531"/>
    <s v="Office Chair"/>
    <x v="2"/>
    <x v="0"/>
    <x v="40"/>
    <x v="704"/>
    <n v="4"/>
    <n v="2593"/>
    <n v="5"/>
    <n v="10198.4"/>
    <n v="9854.24"/>
    <n v="344.16"/>
    <s v="Net Banking"/>
    <s v="Returned"/>
    <s v="Mack-Morales"/>
    <s v="wigginsjennifer@cortez-mcneil.org"/>
    <n v="13"/>
    <s v="No"/>
    <n v="0"/>
  </r>
  <r>
    <s v="ORD1728"/>
    <x v="453"/>
    <d v="2024-12-02T00:00:00"/>
    <s v="CUST426"/>
    <x v="724"/>
    <x v="1"/>
    <s v="PROD9663"/>
    <s v="Laptop"/>
    <x v="1"/>
    <x v="0"/>
    <x v="30"/>
    <x v="705"/>
    <n v="3"/>
    <n v="2070"/>
    <n v="0"/>
    <n v="6555"/>
    <n v="6210.68"/>
    <n v="344.32"/>
    <s v="Credit card"/>
    <s v="Pending"/>
    <s v="Daugherty LLC"/>
    <s v="alexis33@martin-jones.com"/>
    <n v="2"/>
    <s v="Yes"/>
    <n v="34"/>
  </r>
  <r>
    <s v="ORD1729"/>
    <x v="277"/>
    <d v="2025-03-20T00:00:00"/>
    <s v="CUST177"/>
    <x v="725"/>
    <x v="1"/>
    <s v="PROD3186"/>
    <s v="Mouse"/>
    <x v="1"/>
    <x v="1"/>
    <x v="22"/>
    <x v="706"/>
    <n v="5"/>
    <n v="3053"/>
    <n v="20"/>
    <n v="12557"/>
    <n v="12212.88"/>
    <n v="344.12"/>
    <s v="Credit card"/>
    <s v="Returned"/>
    <s v="Miller and Sons"/>
    <s v="derek75@cooper.com"/>
    <n v="23"/>
    <s v="No"/>
    <n v="0"/>
  </r>
  <r>
    <s v="ORD1730"/>
    <x v="287"/>
    <d v="2024-06-16T00:00:00"/>
    <s v="CUST733"/>
    <x v="726"/>
    <x v="0"/>
    <s v="PROD3884"/>
    <s v="Office Chair"/>
    <x v="2"/>
    <x v="0"/>
    <x v="7"/>
    <x v="707"/>
    <n v="7"/>
    <n v="4737"/>
    <n v="10"/>
    <n v="30188.1"/>
    <n v="29843.71"/>
    <n v="344.39"/>
    <s v="UPI"/>
    <s v="Returned"/>
    <s v="Ball, Moreno and Meyer"/>
    <s v="wrighttyler@wilkins.info"/>
    <n v="47"/>
    <s v="No"/>
    <n v="0"/>
  </r>
  <r>
    <s v="ORD1731"/>
    <x v="454"/>
    <d v="2024-12-05T00:00:00"/>
    <s v="CUST692"/>
    <x v="727"/>
    <x v="2"/>
    <s v="PROD9137"/>
    <s v="Rice Bag"/>
    <x v="3"/>
    <x v="2"/>
    <x v="46"/>
    <x v="708"/>
    <n v="5"/>
    <n v="3437"/>
    <n v="10"/>
    <n v="15811.5"/>
    <n v="15467.2"/>
    <n v="344.3"/>
    <s v="Net Banking"/>
    <s v="Pending"/>
    <s v="Brock-Henderson"/>
    <s v="meadowskenneth@macias-browning.com"/>
    <n v="28"/>
    <s v="No"/>
    <n v="0"/>
  </r>
  <r>
    <s v="ORD1732"/>
    <x v="158"/>
    <d v="2024-02-18T00:00:00"/>
    <s v="CUST469"/>
    <x v="728"/>
    <x v="2"/>
    <s v="PROD1730"/>
    <s v="Keyboard"/>
    <x v="1"/>
    <x v="2"/>
    <x v="22"/>
    <x v="709"/>
    <n v="10"/>
    <n v="2696"/>
    <n v="10"/>
    <n v="24609"/>
    <n v="24264.63"/>
    <n v="344.37"/>
    <s v="UPI"/>
    <s v="Returned"/>
    <s v="Navarro-Dunn"/>
    <s v="rosalesnatalie@johnson.org"/>
    <n v="40"/>
    <s v="No"/>
    <n v="0"/>
  </r>
  <r>
    <s v="ORD1733"/>
    <x v="455"/>
    <d v="2025-03-18T00:00:00"/>
    <s v="CUST122"/>
    <x v="729"/>
    <x v="2"/>
    <s v="PROD1715"/>
    <s v="File Folder"/>
    <x v="0"/>
    <x v="3"/>
    <x v="28"/>
    <x v="710"/>
    <n v="6"/>
    <n v="2063"/>
    <n v="10"/>
    <n v="11485.2"/>
    <n v="11140.82"/>
    <n v="344.38"/>
    <s v="Cash"/>
    <s v="Delivered"/>
    <s v="Foster and Sons"/>
    <s v="langheidi@king.com"/>
    <n v="25"/>
    <s v="No"/>
    <n v="0"/>
  </r>
  <r>
    <s v="ORD1734"/>
    <x v="456"/>
    <d v="2024-05-07T00:00:00"/>
    <s v="CUST582"/>
    <x v="730"/>
    <x v="0"/>
    <s v="PROD1287"/>
    <s v="Juice Pack"/>
    <x v="3"/>
    <x v="3"/>
    <x v="35"/>
    <x v="711"/>
    <n v="2"/>
    <n v="4881"/>
    <n v="5"/>
    <n v="9618.9"/>
    <n v="9274.57"/>
    <n v="344.33"/>
    <s v="UPI"/>
    <s v="Returned"/>
    <s v="Delacruz-Thompson"/>
    <s v="sarawalker@bates.com"/>
    <n v="29"/>
    <s v="No"/>
    <n v="0"/>
  </r>
  <r>
    <s v="ORD1735"/>
    <x v="264"/>
    <d v="2024-11-01T00:00:00"/>
    <s v="CUST144"/>
    <x v="731"/>
    <x v="2"/>
    <s v="PROD1850"/>
    <s v="Mouse"/>
    <x v="1"/>
    <x v="0"/>
    <x v="12"/>
    <x v="712"/>
    <n v="1"/>
    <n v="4488"/>
    <n v="0"/>
    <n v="4833"/>
    <n v="4488.6499999999996"/>
    <n v="344.35"/>
    <s v="Net Banking"/>
    <s v="Cancelled"/>
    <s v="Johnson-Mendoza"/>
    <s v="xsheppard@stewart.com"/>
    <n v="27"/>
    <s v="No"/>
    <n v="0"/>
  </r>
  <r>
    <s v="ORD1736"/>
    <x v="80"/>
    <d v="2025-08-09T00:00:00"/>
    <s v="CUST251"/>
    <x v="732"/>
    <x v="2"/>
    <s v="PROD2857"/>
    <s v="Bookshell"/>
    <x v="2"/>
    <x v="2"/>
    <x v="15"/>
    <x v="713"/>
    <n v="8"/>
    <n v="369"/>
    <n v="10"/>
    <n v="3001.8"/>
    <n v="2657.41"/>
    <n v="344.39"/>
    <s v="Credit card"/>
    <s v="Delivered"/>
    <s v="Young-Smith"/>
    <s v="oarias@patterson.com"/>
    <n v="11"/>
    <s v="No"/>
    <n v="0"/>
  </r>
  <r>
    <s v="ORD1737"/>
    <x v="457"/>
    <d v="2025-08-30T00:00:00"/>
    <s v="CUST343"/>
    <x v="733"/>
    <x v="1"/>
    <s v="PROD6841"/>
    <s v="Office Chair"/>
    <x v="2"/>
    <x v="3"/>
    <x v="1"/>
    <x v="714"/>
    <n v="3"/>
    <n v="1924"/>
    <n v="0"/>
    <n v="6117"/>
    <n v="5772.73"/>
    <n v="344.27"/>
    <s v="Credit card"/>
    <s v="Delivered"/>
    <s v="Rowland Group"/>
    <s v="allisonrios@cox.com"/>
    <n v="16"/>
    <s v="No"/>
    <n v="0"/>
  </r>
  <r>
    <s v="ORD1738"/>
    <x v="457"/>
    <d v="2025-08-30T00:00:00"/>
    <s v="CUST528"/>
    <x v="734"/>
    <x v="2"/>
    <s v="PROD8507"/>
    <s v="Dining Table"/>
    <x v="2"/>
    <x v="3"/>
    <x v="41"/>
    <x v="715"/>
    <n v="5"/>
    <n v="810"/>
    <n v="10"/>
    <n v="3990"/>
    <n v="3645.66"/>
    <n v="344.34"/>
    <s v="UPI"/>
    <s v="Cancelled"/>
    <s v="Barton, King and Garcia"/>
    <s v="peterrose@wallace.info"/>
    <n v="5"/>
    <s v="Yes"/>
    <n v="21"/>
  </r>
  <r>
    <s v="ORD1739"/>
    <x v="281"/>
    <d v="2025-10-16T00:00:00"/>
    <s v="CUST493"/>
    <x v="735"/>
    <x v="0"/>
    <s v="PROD8239"/>
    <s v="Bookshell"/>
    <x v="2"/>
    <x v="2"/>
    <x v="41"/>
    <x v="716"/>
    <n v="4"/>
    <n v="3979"/>
    <n v="0"/>
    <n v="16261"/>
    <n v="15916.8"/>
    <n v="344.2"/>
    <s v="UPI"/>
    <s v="Delivered"/>
    <s v="Hicks, Holland and Massey"/>
    <s v="madisonmiller@bell.com"/>
    <n v="42"/>
    <s v="No"/>
    <n v="0"/>
  </r>
  <r>
    <s v="ORD1740"/>
    <x v="290"/>
    <d v="2024-07-04T00:00:00"/>
    <s v="CUST371"/>
    <x v="736"/>
    <x v="2"/>
    <s v="PROD2961"/>
    <s v="Snacks"/>
    <x v="3"/>
    <x v="3"/>
    <x v="45"/>
    <x v="717"/>
    <n v="6"/>
    <n v="2405"/>
    <n v="20"/>
    <n v="11889"/>
    <n v="11544.89"/>
    <n v="344.11"/>
    <s v="Net Banking"/>
    <s v="Returned"/>
    <s v="Ewing, Aguilar and Lowe"/>
    <s v="cmiranda@gardner-hicks.com"/>
    <n v="42"/>
    <s v="No"/>
    <n v="0"/>
  </r>
  <r>
    <s v="ORD1741"/>
    <x v="202"/>
    <d v="2025-05-30T00:00:00"/>
    <s v="CUST625"/>
    <x v="737"/>
    <x v="2"/>
    <s v="PROD7119"/>
    <s v="Sofa"/>
    <x v="2"/>
    <x v="0"/>
    <x v="20"/>
    <x v="718"/>
    <n v="4"/>
    <n v="1918"/>
    <n v="0"/>
    <n v="8017"/>
    <n v="7672.67"/>
    <n v="344.33"/>
    <s v="Cash"/>
    <s v="Cancelled"/>
    <s v="Robinson PLC"/>
    <s v="jenny91@lowe.org"/>
    <n v="35"/>
    <s v="No"/>
    <n v="0"/>
  </r>
  <r>
    <s v="ORD1742"/>
    <x v="458"/>
    <d v="2025-06-09T00:00:00"/>
    <s v="CUST558"/>
    <x v="738"/>
    <x v="0"/>
    <s v="PROD6391"/>
    <s v="Mouse"/>
    <x v="1"/>
    <x v="1"/>
    <x v="10"/>
    <x v="719"/>
    <n v="3"/>
    <n v="500"/>
    <n v="20"/>
    <n v="1545"/>
    <n v="1200.74"/>
    <n v="344.26"/>
    <s v="UPI"/>
    <s v="Returned"/>
    <s v="Vasquez LLC"/>
    <s v="adkinsjoseph@jensen.biz"/>
    <n v="33"/>
    <s v="No"/>
    <n v="0"/>
  </r>
  <r>
    <s v="ORD1743"/>
    <x v="253"/>
    <d v="2024-04-10T00:00:00"/>
    <s v="CUST123"/>
    <x v="739"/>
    <x v="2"/>
    <s v="PROD9273"/>
    <s v="Dining Table"/>
    <x v="2"/>
    <x v="0"/>
    <x v="41"/>
    <x v="720"/>
    <n v="4"/>
    <n v="3608"/>
    <n v="15"/>
    <n v="12612.2"/>
    <n v="12268.04"/>
    <n v="344.16"/>
    <s v="Cash"/>
    <s v="Delivered"/>
    <s v="Johnson, Stevens and Crawford"/>
    <s v="idelgado@stanley.info"/>
    <n v="13"/>
    <s v="No"/>
    <n v="0"/>
  </r>
  <r>
    <s v="ORD1744"/>
    <x v="45"/>
    <d v="2024-11-01T00:00:00"/>
    <s v="CUST132"/>
    <x v="740"/>
    <x v="1"/>
    <s v="PROD7802"/>
    <s v="Notebook"/>
    <x v="0"/>
    <x v="1"/>
    <x v="29"/>
    <x v="721"/>
    <n v="3"/>
    <n v="4436"/>
    <n v="5"/>
    <n v="12987.6"/>
    <n v="12643.37"/>
    <n v="344.23"/>
    <s v="UPI"/>
    <s v="Cancelled"/>
    <s v="Joyce PLC"/>
    <s v="hollandpeter@stafford-wood.com"/>
    <n v="29"/>
    <s v="No"/>
    <n v="0"/>
  </r>
  <r>
    <s v="ORD1745"/>
    <x v="459"/>
    <d v="2024-05-11T00:00:00"/>
    <s v="CUST555"/>
    <x v="741"/>
    <x v="0"/>
    <s v="PROD5406"/>
    <s v="Mouse"/>
    <x v="1"/>
    <x v="0"/>
    <x v="40"/>
    <x v="722"/>
    <n v="9"/>
    <n v="1667"/>
    <n v="15"/>
    <n v="13097.55"/>
    <n v="12753.25"/>
    <n v="344.3"/>
    <s v="Net Banking"/>
    <s v="Returned"/>
    <s v="Stout Inc"/>
    <s v="gwilliams@ayala.info"/>
    <n v="44"/>
    <s v="No"/>
    <n v="0"/>
  </r>
  <r>
    <s v="ORD1746"/>
    <x v="426"/>
    <d v="2023-12-16T00:00:00"/>
    <s v="CUST783"/>
    <x v="742"/>
    <x v="0"/>
    <s v="PROD1884"/>
    <s v="File Folder"/>
    <x v="0"/>
    <x v="2"/>
    <x v="42"/>
    <x v="723"/>
    <n v="1"/>
    <n v="3081"/>
    <n v="5"/>
    <n v="3271.95"/>
    <n v="2927.82"/>
    <n v="344.13"/>
    <s v="UPI"/>
    <s v="Delivered"/>
    <s v="Griffin LLC"/>
    <s v="brownjames@miller.com"/>
    <n v="24"/>
    <s v="No"/>
    <n v="0"/>
  </r>
  <r>
    <s v="ORD1747"/>
    <x v="460"/>
    <d v="2024-07-09T00:00:00"/>
    <s v="CUST251"/>
    <x v="743"/>
    <x v="2"/>
    <s v="PROD4345"/>
    <s v="Laptop"/>
    <x v="1"/>
    <x v="2"/>
    <x v="49"/>
    <x v="724"/>
    <n v="9"/>
    <n v="4881"/>
    <n v="0"/>
    <n v="44274"/>
    <n v="43929.7"/>
    <n v="344.3"/>
    <s v="Credit card"/>
    <s v="Delivered"/>
    <s v="Johnson, Bell and Suarez"/>
    <s v="nwilkinson@ramirez.org"/>
    <n v="32"/>
    <s v="No"/>
    <n v="0"/>
  </r>
  <r>
    <s v="ORD1748"/>
    <x v="12"/>
    <d v="2024-02-19T00:00:00"/>
    <s v="CUST390"/>
    <x v="744"/>
    <x v="0"/>
    <s v="PROD9395"/>
    <s v="Calculator"/>
    <x v="0"/>
    <x v="2"/>
    <x v="2"/>
    <x v="725"/>
    <n v="1"/>
    <n v="2106"/>
    <n v="20"/>
    <n v="2029.8"/>
    <n v="1685.44"/>
    <n v="344.36"/>
    <s v="Net Banking"/>
    <s v="Cancelled"/>
    <s v="Watson LLC"/>
    <s v="darrellmartinez@mcpherson.org"/>
    <n v="10"/>
    <s v="No"/>
    <n v="0"/>
  </r>
  <r>
    <s v="ORD1749"/>
    <x v="461"/>
    <d v="2024-11-16T00:00:00"/>
    <s v="CUST320"/>
    <x v="745"/>
    <x v="0"/>
    <s v="PROD8226"/>
    <s v="Pen"/>
    <x v="0"/>
    <x v="2"/>
    <x v="29"/>
    <x v="726"/>
    <n v="9"/>
    <n v="4153"/>
    <n v="15"/>
    <n v="32115.45"/>
    <n v="31771.200000000001"/>
    <n v="344.25"/>
    <s v="Cash"/>
    <s v="Cancelled"/>
    <s v="Gutierrez, Williams and Galloway"/>
    <s v="herreramelissa@munoz-cardenas.net"/>
    <n v="3"/>
    <s v="Yes"/>
    <n v="31"/>
  </r>
  <r>
    <s v="ORD1750"/>
    <x v="462"/>
    <d v="2024-06-25T00:00:00"/>
    <s v="CUST726"/>
    <x v="746"/>
    <x v="1"/>
    <s v="PROD1361"/>
    <s v="Cooking oil"/>
    <x v="3"/>
    <x v="3"/>
    <x v="11"/>
    <x v="687"/>
    <n v="10"/>
    <n v="1159"/>
    <n v="10"/>
    <n v="10776"/>
    <n v="10431.709999999999"/>
    <n v="344.29"/>
    <s v="Credit card"/>
    <s v="Cancelled"/>
    <s v="Davis, Johnston and Brady"/>
    <s v="samanthaweber@garrett-pierce.com"/>
    <n v="19"/>
    <s v="No"/>
    <n v="0"/>
  </r>
  <r>
    <s v="ORD1751"/>
    <x v="229"/>
    <d v="2025-09-09T00:00:00"/>
    <s v="CUST222"/>
    <x v="747"/>
    <x v="2"/>
    <s v="PROD3189"/>
    <s v="Study Table"/>
    <x v="2"/>
    <x v="2"/>
    <x v="27"/>
    <x v="428"/>
    <n v="10"/>
    <n v="1076"/>
    <n v="10"/>
    <n v="10029"/>
    <n v="9684.66"/>
    <n v="344.34"/>
    <s v="UPI"/>
    <s v="Cancelled"/>
    <s v="Robinson-Ball"/>
    <s v="amanda24@welch.info"/>
    <n v="35"/>
    <s v="No"/>
    <n v="0"/>
  </r>
  <r>
    <s v="ORD1752"/>
    <x v="362"/>
    <d v="2025-09-11T00:00:00"/>
    <s v="CUST614"/>
    <x v="748"/>
    <x v="0"/>
    <s v="PROD7168"/>
    <s v="Snacks"/>
    <x v="3"/>
    <x v="0"/>
    <x v="1"/>
    <x v="727"/>
    <n v="5"/>
    <n v="981"/>
    <n v="15"/>
    <n v="4514.25"/>
    <n v="4170.0200000000004"/>
    <n v="344.23"/>
    <s v="Credit card"/>
    <s v="Pending"/>
    <s v="Henson PLC"/>
    <s v="luisjohnson@rodriguez.com"/>
    <n v="34"/>
    <s v="No"/>
    <n v="0"/>
  </r>
  <r>
    <s v="ORD1753"/>
    <x v="207"/>
    <d v="2024-08-08T00:00:00"/>
    <s v="CUST738"/>
    <x v="749"/>
    <x v="0"/>
    <s v="PROD9967"/>
    <s v="Juice Pack"/>
    <x v="3"/>
    <x v="0"/>
    <x v="19"/>
    <x v="728"/>
    <n v="9"/>
    <n v="602"/>
    <n v="15"/>
    <n v="4950.3"/>
    <n v="4606.13"/>
    <n v="344.17"/>
    <s v="UPI"/>
    <s v="Returned"/>
    <s v="Obrien, Nelson and Smith"/>
    <s v="george17@benson.com"/>
    <n v="44"/>
    <s v="No"/>
    <n v="0"/>
  </r>
  <r>
    <s v="ORD1754"/>
    <x v="150"/>
    <d v="2024-12-14T00:00:00"/>
    <s v="CUST721"/>
    <x v="750"/>
    <x v="1"/>
    <s v="PROD1011"/>
    <s v="Stapler"/>
    <x v="0"/>
    <x v="2"/>
    <x v="29"/>
    <x v="729"/>
    <n v="8"/>
    <n v="752"/>
    <n v="20"/>
    <n v="5157.8"/>
    <n v="4813.45"/>
    <n v="344.35"/>
    <s v="Cash"/>
    <s v="Pending"/>
    <s v="Hall and Sons"/>
    <s v="masonlee@george-walker.com"/>
    <n v="20"/>
    <s v="No"/>
    <n v="0"/>
  </r>
  <r>
    <s v="ORD1755"/>
    <x v="339"/>
    <d v="2024-03-25T00:00:00"/>
    <s v="CUST744"/>
    <x v="751"/>
    <x v="0"/>
    <s v="PROD3791"/>
    <s v="Headphones"/>
    <x v="1"/>
    <x v="2"/>
    <x v="46"/>
    <x v="730"/>
    <n v="9"/>
    <n v="2712"/>
    <n v="10"/>
    <n v="22312.2"/>
    <n v="21967.87"/>
    <n v="344.33"/>
    <s v="Credit card"/>
    <s v="Cancelled"/>
    <s v="Sanchez, Howard and Decker"/>
    <s v="adrian49@gray.org"/>
    <n v="13"/>
    <s v="No"/>
    <n v="0"/>
  </r>
  <r>
    <s v="ORD1756"/>
    <x v="420"/>
    <d v="2024-11-03T00:00:00"/>
    <s v="CUST955"/>
    <x v="752"/>
    <x v="2"/>
    <s v="PROD1913"/>
    <s v="Stapler"/>
    <x v="0"/>
    <x v="2"/>
    <x v="7"/>
    <x v="731"/>
    <n v="4"/>
    <n v="1431"/>
    <n v="10"/>
    <n v="5496.6"/>
    <n v="5152.49"/>
    <n v="344.11"/>
    <s v="Cash"/>
    <s v="Delivered"/>
    <s v="Garcia PLC"/>
    <s v="mike55@abbott-solis.com"/>
    <n v="8"/>
    <s v="Yes"/>
    <n v="32"/>
  </r>
  <r>
    <s v="ORD1757"/>
    <x v="251"/>
    <d v="2024-03-28T00:00:00"/>
    <s v="CUST760"/>
    <x v="753"/>
    <x v="2"/>
    <s v="PROD1450"/>
    <s v="Notebook"/>
    <x v="0"/>
    <x v="0"/>
    <x v="42"/>
    <x v="732"/>
    <n v="6"/>
    <n v="4494"/>
    <n v="15"/>
    <n v="23264.400000000001"/>
    <n v="22920.12"/>
    <n v="344.28"/>
    <s v="Cash"/>
    <s v="Returned"/>
    <s v="Anderson, Hall and Moreno"/>
    <s v="william93@hayes.com"/>
    <n v="40"/>
    <s v="No"/>
    <n v="0"/>
  </r>
  <r>
    <s v="ORD1758"/>
    <x v="436"/>
    <d v="2025-07-20T00:00:00"/>
    <s v="CUST195"/>
    <x v="754"/>
    <x v="1"/>
    <s v="PROD8455"/>
    <s v="Headphones"/>
    <x v="1"/>
    <x v="2"/>
    <x v="30"/>
    <x v="733"/>
    <n v="4"/>
    <n v="4691"/>
    <n v="15"/>
    <n v="16294.4"/>
    <n v="15950.05"/>
    <n v="344.35"/>
    <s v="Cash"/>
    <s v="Pending"/>
    <s v="Robinson, Stevenson and Hall"/>
    <s v="belldylan@mason-wilkins.com"/>
    <n v="2"/>
    <s v="Yes"/>
    <n v="41"/>
  </r>
  <r>
    <s v="ORD1759"/>
    <x v="366"/>
    <d v="2023-12-07T00:00:00"/>
    <s v="CUST909"/>
    <x v="755"/>
    <x v="2"/>
    <s v="PROD8259"/>
    <s v="Study Table"/>
    <x v="2"/>
    <x v="3"/>
    <x v="4"/>
    <x v="734"/>
    <n v="9"/>
    <n v="513"/>
    <n v="10"/>
    <n v="4500.3"/>
    <n v="4155.99"/>
    <n v="344.31"/>
    <s v="Net Banking"/>
    <s v="Cancelled"/>
    <s v="Baker, Wagner and Tucker"/>
    <s v="hannah89@leach.com"/>
    <n v="39"/>
    <s v="No"/>
    <n v="0"/>
  </r>
  <r>
    <s v="ORD1760"/>
    <x v="411"/>
    <d v="2025-08-19T00:00:00"/>
    <s v="CUST676"/>
    <x v="756"/>
    <x v="0"/>
    <s v="PROD9637"/>
    <s v="Stapler"/>
    <x v="0"/>
    <x v="0"/>
    <x v="30"/>
    <x v="735"/>
    <n v="9"/>
    <n v="1199"/>
    <n v="5"/>
    <n v="10596.45"/>
    <n v="10252.290000000001"/>
    <n v="344.16"/>
    <s v="Net Banking"/>
    <s v="Delivered"/>
    <s v="Harrington-Potter"/>
    <s v="christopherkerr@mckenzie-davila.com"/>
    <n v="4"/>
    <s v="Yes"/>
    <n v="35"/>
  </r>
  <r>
    <s v="ORD1761"/>
    <x v="431"/>
    <d v="2024-11-13T00:00:00"/>
    <s v="CUST458"/>
    <x v="711"/>
    <x v="1"/>
    <s v="PROD3120"/>
    <s v="Cooking oil"/>
    <x v="3"/>
    <x v="3"/>
    <x v="35"/>
    <x v="736"/>
    <n v="3"/>
    <n v="3756"/>
    <n v="20"/>
    <n v="9359.4"/>
    <n v="9015.2900000000009"/>
    <n v="344.11"/>
    <s v="Credit card"/>
    <s v="Returned"/>
    <s v="Lee Ltd"/>
    <s v="spencerstone@lopez.com"/>
    <n v="10"/>
    <s v="No"/>
    <n v="0"/>
  </r>
  <r>
    <s v="ORD1762"/>
    <x v="463"/>
    <d v="2024-11-12T00:00:00"/>
    <s v="CUST925"/>
    <x v="757"/>
    <x v="2"/>
    <s v="PROD6786"/>
    <s v="Mouse"/>
    <x v="1"/>
    <x v="1"/>
    <x v="36"/>
    <x v="737"/>
    <n v="4"/>
    <n v="2208"/>
    <n v="20"/>
    <n v="7410.6"/>
    <n v="7066.45"/>
    <n v="344.15"/>
    <s v="Cash"/>
    <s v="Cancelled"/>
    <s v="Simon-James"/>
    <s v="thahn@zamora.com"/>
    <n v="35"/>
    <s v="No"/>
    <n v="0"/>
  </r>
  <r>
    <s v="ORD1763"/>
    <x v="464"/>
    <d v="2025-05-25T00:00:00"/>
    <s v="CUST393"/>
    <x v="758"/>
    <x v="1"/>
    <s v="PROD4531"/>
    <s v="Notebook"/>
    <x v="0"/>
    <x v="0"/>
    <x v="34"/>
    <x v="542"/>
    <n v="7"/>
    <n v="2273"/>
    <n v="10"/>
    <n v="14664.9"/>
    <n v="14320.56"/>
    <n v="344.34"/>
    <s v="Credit card"/>
    <s v="Delivered"/>
    <s v="Mays, Gomez and Thompson"/>
    <s v="julie82@finley.biz"/>
    <n v="24"/>
    <s v="No"/>
    <n v="0"/>
  </r>
  <r>
    <s v="ORD1764"/>
    <x v="465"/>
    <d v="2024-02-23T00:00:00"/>
    <s v="CUST633"/>
    <x v="759"/>
    <x v="0"/>
    <s v="PROD9769"/>
    <s v="Snacks"/>
    <x v="3"/>
    <x v="1"/>
    <x v="42"/>
    <x v="738"/>
    <n v="7"/>
    <n v="3339"/>
    <n v="15"/>
    <n v="20212.05"/>
    <n v="19867.68"/>
    <n v="344.37"/>
    <s v="UPI"/>
    <s v="Cancelled"/>
    <s v="Hall and Sons"/>
    <s v="lucasdaniel@mejia-buckley.com"/>
    <n v="15"/>
    <s v="No"/>
    <n v="0"/>
  </r>
  <r>
    <s v="ORD1765"/>
    <x v="266"/>
    <d v="2025-08-18T00:00:00"/>
    <s v="CUST563"/>
    <x v="760"/>
    <x v="2"/>
    <s v="PROD9640"/>
    <s v="Cooking oil"/>
    <x v="3"/>
    <x v="3"/>
    <x v="2"/>
    <x v="739"/>
    <n v="10"/>
    <n v="2045"/>
    <n v="0"/>
    <n v="20795"/>
    <n v="20450.87"/>
    <n v="344.13"/>
    <s v="Credit card"/>
    <s v="Cancelled"/>
    <s v="Chang, Martinez and Kim"/>
    <s v="zlopez@stevens.net"/>
    <n v="28"/>
    <s v="No"/>
    <n v="0"/>
  </r>
  <r>
    <s v="ORD1766"/>
    <x v="466"/>
    <d v="2024-03-28T00:00:00"/>
    <s v="CUST218"/>
    <x v="761"/>
    <x v="0"/>
    <s v="PROD8073"/>
    <s v="Dining Table"/>
    <x v="2"/>
    <x v="0"/>
    <x v="11"/>
    <x v="574"/>
    <n v="9"/>
    <n v="2965"/>
    <n v="10"/>
    <n v="24361.5"/>
    <n v="24017.4"/>
    <n v="344.1"/>
    <s v="Net Banking"/>
    <s v="Delivered"/>
    <s v="Barnes Ltd"/>
    <s v="antonio63@holloway.biz"/>
    <n v="45"/>
    <s v="No"/>
    <n v="0"/>
  </r>
  <r>
    <s v="ORD1767"/>
    <x v="16"/>
    <d v="2025-11-04T00:00:00"/>
    <s v="CUST752"/>
    <x v="762"/>
    <x v="0"/>
    <s v="PROD4618"/>
    <s v="Dining Table"/>
    <x v="2"/>
    <x v="0"/>
    <x v="31"/>
    <x v="740"/>
    <n v="6"/>
    <n v="4671"/>
    <n v="10"/>
    <n v="25568.400000000001"/>
    <n v="25224.27"/>
    <n v="344.13"/>
    <s v="Cash"/>
    <s v="Returned"/>
    <s v="Jenkins-Moore"/>
    <s v="dsmith@fisher-brown.com"/>
    <n v="50"/>
    <s v="No"/>
    <n v="0"/>
  </r>
  <r>
    <s v="ORD1768"/>
    <x v="467"/>
    <d v="2025-07-25T00:00:00"/>
    <s v="CUST371"/>
    <x v="763"/>
    <x v="0"/>
    <s v="PROD6801"/>
    <s v="Calculator"/>
    <x v="0"/>
    <x v="0"/>
    <x v="18"/>
    <x v="741"/>
    <n v="2"/>
    <n v="2420"/>
    <n v="5"/>
    <n v="4943"/>
    <n v="4598.6899999999996"/>
    <n v="344.31"/>
    <s v="Cash"/>
    <s v="Returned"/>
    <s v="Walls-Khan"/>
    <s v="tnavarro@vaughan.com"/>
    <n v="47"/>
    <s v="No"/>
    <n v="0"/>
  </r>
  <r>
    <s v="ORD1769"/>
    <x v="407"/>
    <d v="2024-07-11T00:00:00"/>
    <s v="CUST522"/>
    <x v="764"/>
    <x v="1"/>
    <s v="PROD6658"/>
    <s v="Calculator"/>
    <x v="0"/>
    <x v="0"/>
    <x v="42"/>
    <x v="742"/>
    <n v="10"/>
    <n v="1922"/>
    <n v="0"/>
    <n v="19565"/>
    <n v="19220.68"/>
    <n v="344.32"/>
    <s v="Cash"/>
    <s v="Returned"/>
    <s v="Weaver, Williams and Bishop"/>
    <s v="michaelbrown@jones.com"/>
    <n v="21"/>
    <s v="No"/>
    <n v="0"/>
  </r>
  <r>
    <s v="ORD1770"/>
    <x v="468"/>
    <d v="2025-07-29T00:00:00"/>
    <s v="CUST347"/>
    <x v="765"/>
    <x v="2"/>
    <s v="PROD3149"/>
    <s v="File Folder"/>
    <x v="0"/>
    <x v="0"/>
    <x v="4"/>
    <x v="743"/>
    <n v="9"/>
    <n v="466"/>
    <n v="5"/>
    <n v="4329.3"/>
    <n v="3984.95"/>
    <n v="344.35"/>
    <s v="Cash"/>
    <s v="Cancelled"/>
    <s v="Brooks Inc"/>
    <s v="joseph98@harper.com"/>
    <n v="5"/>
    <s v="Yes"/>
    <n v="44"/>
  </r>
  <r>
    <s v="ORD1771"/>
    <x v="469"/>
    <d v="2023-11-12T00:00:00"/>
    <s v="CUST788"/>
    <x v="296"/>
    <x v="0"/>
    <s v="PROD3451"/>
    <s v="Dining Table"/>
    <x v="2"/>
    <x v="3"/>
    <x v="42"/>
    <x v="744"/>
    <n v="3"/>
    <n v="657"/>
    <n v="20"/>
    <n v="1921.8"/>
    <n v="1577.57"/>
    <n v="344.23"/>
    <s v="UPI"/>
    <s v="Cancelled"/>
    <s v="Anderson PLC"/>
    <s v="alexandrahernandez@harmon.net"/>
    <n v="39"/>
    <s v="No"/>
    <n v="0"/>
  </r>
  <r>
    <s v="ORD1772"/>
    <x v="470"/>
    <d v="2025-03-07T00:00:00"/>
    <s v="CUST899"/>
    <x v="766"/>
    <x v="1"/>
    <s v="PROD3783"/>
    <s v="Pen"/>
    <x v="0"/>
    <x v="0"/>
    <x v="27"/>
    <x v="745"/>
    <n v="1"/>
    <n v="1186"/>
    <n v="5"/>
    <n v="1471.7"/>
    <n v="1127.3"/>
    <n v="344.4"/>
    <s v="Cash"/>
    <s v="Cancelled"/>
    <s v="Rodriguez-Harmon"/>
    <s v="debra62@haney.com"/>
    <n v="18"/>
    <s v="No"/>
    <n v="0"/>
  </r>
  <r>
    <s v="ORD1773"/>
    <x v="239"/>
    <d v="2025-04-20T00:00:00"/>
    <s v="CUST558"/>
    <x v="767"/>
    <x v="1"/>
    <s v="PROD3528"/>
    <s v="Bookshell"/>
    <x v="2"/>
    <x v="3"/>
    <x v="0"/>
    <x v="746"/>
    <n v="9"/>
    <n v="2507"/>
    <n v="0"/>
    <n v="22908"/>
    <n v="22563.75"/>
    <n v="344.25"/>
    <s v="UPI"/>
    <s v="Pending"/>
    <s v="Smith-Brown"/>
    <s v="pwatson@richard.com"/>
    <n v="14"/>
    <s v="No"/>
    <n v="0"/>
  </r>
  <r>
    <s v="ORD1774"/>
    <x v="471"/>
    <d v="2024-05-17T00:00:00"/>
    <s v="CUST166"/>
    <x v="768"/>
    <x v="0"/>
    <s v="PROD3926"/>
    <s v="Monitor"/>
    <x v="1"/>
    <x v="3"/>
    <x v="4"/>
    <x v="747"/>
    <n v="10"/>
    <n v="4002"/>
    <n v="10"/>
    <n v="36363"/>
    <n v="36018.79"/>
    <n v="344.21"/>
    <s v="Cash"/>
    <s v="Returned"/>
    <s v="Reynolds Group"/>
    <s v="kelly29@andersen.com"/>
    <n v="24"/>
    <s v="No"/>
    <n v="0"/>
  </r>
  <r>
    <s v="ORD1775"/>
    <x v="405"/>
    <d v="2023-11-30T00:00:00"/>
    <s v="CUST343"/>
    <x v="769"/>
    <x v="2"/>
    <s v="PROD2844"/>
    <s v="Calculator"/>
    <x v="0"/>
    <x v="2"/>
    <x v="8"/>
    <x v="748"/>
    <n v="4"/>
    <n v="2377"/>
    <n v="5"/>
    <n v="9377.6"/>
    <n v="9033.41"/>
    <n v="344.19"/>
    <s v="UPI"/>
    <s v="Cancelled"/>
    <s v="Smith-Yu"/>
    <s v="rogersmark@martinez-sandoval.com"/>
    <n v="49"/>
    <s v="No"/>
    <n v="0"/>
  </r>
  <r>
    <s v="ORD1776"/>
    <x v="327"/>
    <d v="2024-07-07T00:00:00"/>
    <s v="CUST343"/>
    <x v="770"/>
    <x v="2"/>
    <s v="PROD8451"/>
    <s v="Monitor"/>
    <x v="1"/>
    <x v="0"/>
    <x v="11"/>
    <x v="749"/>
    <n v="10"/>
    <n v="1303"/>
    <n v="10"/>
    <n v="12072"/>
    <n v="11727.68"/>
    <n v="344.32"/>
    <s v="UPI"/>
    <s v="Cancelled"/>
    <s v="Mitchell PLC"/>
    <s v="rbates@lee.org"/>
    <n v="32"/>
    <s v="No"/>
    <n v="0"/>
  </r>
  <r>
    <s v="ORD1777"/>
    <x v="466"/>
    <d v="2024-03-29T00:00:00"/>
    <s v="CUST681"/>
    <x v="771"/>
    <x v="2"/>
    <s v="PROD3607"/>
    <s v="Monitor"/>
    <x v="1"/>
    <x v="2"/>
    <x v="29"/>
    <x v="750"/>
    <n v="4"/>
    <n v="2646"/>
    <n v="0"/>
    <n v="10929"/>
    <n v="10584.78"/>
    <n v="344.22"/>
    <s v="UPI"/>
    <s v="Delivered"/>
    <s v="Williams PLC"/>
    <s v="crossmariah@hayden.com"/>
    <n v="32"/>
    <s v="No"/>
    <n v="0"/>
  </r>
  <r>
    <s v="ORD1778"/>
    <x v="472"/>
    <d v="2025-03-14T00:00:00"/>
    <s v="CUST888"/>
    <x v="772"/>
    <x v="2"/>
    <s v="PROD8928"/>
    <s v="Bookshell"/>
    <x v="2"/>
    <x v="0"/>
    <x v="1"/>
    <x v="751"/>
    <n v="4"/>
    <n v="673"/>
    <n v="20"/>
    <n v="2498.6"/>
    <n v="2154.4"/>
    <n v="344.2"/>
    <s v="Cash"/>
    <s v="Cancelled"/>
    <s v="Terry Ltd"/>
    <s v="zmyers@dixon.com"/>
    <n v="34"/>
    <s v="No"/>
    <n v="0"/>
  </r>
  <r>
    <s v="ORD1779"/>
    <x v="326"/>
    <d v="2025-01-21T00:00:00"/>
    <s v="CUST451"/>
    <x v="773"/>
    <x v="1"/>
    <s v="PROD9384"/>
    <s v="Rice Bag"/>
    <x v="3"/>
    <x v="0"/>
    <x v="10"/>
    <x v="752"/>
    <n v="3"/>
    <n v="2930"/>
    <n v="15"/>
    <n v="7816.5"/>
    <n v="7472.14"/>
    <n v="344.36"/>
    <s v="Net Banking"/>
    <s v="Cancelled"/>
    <s v="Miller-Payne"/>
    <s v="lewisjenny@smith-scott.com"/>
    <n v="13"/>
    <s v="No"/>
    <n v="0"/>
  </r>
  <r>
    <s v="ORD1780"/>
    <x v="355"/>
    <d v="2025-02-13T00:00:00"/>
    <s v="CUST242"/>
    <x v="774"/>
    <x v="2"/>
    <s v="PROD8008"/>
    <s v="Sugar"/>
    <x v="3"/>
    <x v="2"/>
    <x v="41"/>
    <x v="753"/>
    <n v="8"/>
    <n v="2530"/>
    <n v="10"/>
    <n v="18561"/>
    <n v="18216.68"/>
    <n v="344.32"/>
    <s v="Credit card"/>
    <s v="Cancelled"/>
    <s v="Sandoval-Robinson"/>
    <s v="umendez@moreno-fuller.com"/>
    <n v="40"/>
    <s v="No"/>
    <n v="0"/>
  </r>
  <r>
    <s v="ORD1781"/>
    <x v="204"/>
    <d v="2025-06-05T00:00:00"/>
    <s v="CUST492"/>
    <x v="775"/>
    <x v="0"/>
    <s v="PROD1220"/>
    <s v="Office Chair"/>
    <x v="2"/>
    <x v="1"/>
    <x v="49"/>
    <x v="754"/>
    <n v="3"/>
    <n v="2912"/>
    <n v="5"/>
    <n v="8644.2000000000007"/>
    <n v="8299.9"/>
    <n v="344.3"/>
    <s v="Credit card"/>
    <s v="Returned"/>
    <s v="Jones Group"/>
    <s v="juan01@walker.net"/>
    <n v="27"/>
    <s v="No"/>
    <n v="0"/>
  </r>
  <r>
    <s v="ORD1782"/>
    <x v="70"/>
    <d v="2025-08-25T00:00:00"/>
    <s v="CUST560"/>
    <x v="776"/>
    <x v="1"/>
    <s v="PROD5082"/>
    <s v="Keyboard"/>
    <x v="1"/>
    <x v="0"/>
    <x v="30"/>
    <x v="755"/>
    <n v="3"/>
    <n v="4252"/>
    <n v="10"/>
    <n v="11825.4"/>
    <n v="11481.24"/>
    <n v="344.16"/>
    <s v="Cash"/>
    <s v="Returned"/>
    <s v="Williams, Cook and Newton"/>
    <s v="barrybruce@green.com"/>
    <n v="18"/>
    <s v="No"/>
    <n v="0"/>
  </r>
  <r>
    <s v="ORD1783"/>
    <x v="423"/>
    <d v="2024-10-08T00:00:00"/>
    <s v="CUST849"/>
    <x v="777"/>
    <x v="0"/>
    <s v="PROD9457"/>
    <s v="Rice Bag"/>
    <x v="3"/>
    <x v="2"/>
    <x v="4"/>
    <x v="756"/>
    <n v="3"/>
    <n v="4770"/>
    <n v="5"/>
    <n v="13939.5"/>
    <n v="13595.36"/>
    <n v="344.14"/>
    <s v="Cash"/>
    <s v="Delivered"/>
    <s v="King and Sons"/>
    <s v="wernercharlotte@hall.biz"/>
    <n v="33"/>
    <s v="No"/>
    <n v="0"/>
  </r>
  <r>
    <s v="ORD1784"/>
    <x v="473"/>
    <d v="2025-02-02T00:00:00"/>
    <s v="CUST530"/>
    <x v="778"/>
    <x v="0"/>
    <s v="PROD3958"/>
    <s v="Snacks"/>
    <x v="3"/>
    <x v="2"/>
    <x v="30"/>
    <x v="757"/>
    <n v="2"/>
    <n v="220"/>
    <n v="0"/>
    <n v="785"/>
    <n v="440.78"/>
    <n v="344.22"/>
    <s v="Net Banking"/>
    <s v="Returned"/>
    <s v="Moon, White and Lam"/>
    <s v="sharonsmith@richardson.com"/>
    <n v="11"/>
    <s v="No"/>
    <n v="0"/>
  </r>
  <r>
    <s v="ORD1785"/>
    <x v="375"/>
    <d v="2025-08-22T00:00:00"/>
    <s v="CUST394"/>
    <x v="779"/>
    <x v="2"/>
    <s v="PROD1314"/>
    <s v="File Folder"/>
    <x v="0"/>
    <x v="1"/>
    <x v="5"/>
    <x v="758"/>
    <n v="7"/>
    <n v="710"/>
    <n v="5"/>
    <n v="5066.5"/>
    <n v="4722.1400000000003"/>
    <n v="344.36"/>
    <s v="Cash"/>
    <s v="Cancelled"/>
    <s v="White, Coffey and Kidd"/>
    <s v="smithmargaret@brown.com"/>
    <n v="10"/>
    <s v="No"/>
    <n v="0"/>
  </r>
  <r>
    <s v="ORD1786"/>
    <x v="474"/>
    <d v="2025-01-08T00:00:00"/>
    <s v="CUST472"/>
    <x v="780"/>
    <x v="0"/>
    <s v="PROD5024"/>
    <s v="Cooking oil"/>
    <x v="3"/>
    <x v="3"/>
    <x v="49"/>
    <x v="759"/>
    <n v="4"/>
    <n v="4630"/>
    <n v="5"/>
    <n v="17939"/>
    <n v="17594.88"/>
    <n v="344.12"/>
    <s v="Credit card"/>
    <s v="Delivered"/>
    <s v="Robertson-Snow"/>
    <s v="angelabeasley@santos.info"/>
    <n v="27"/>
    <s v="No"/>
    <n v="0"/>
  </r>
  <r>
    <s v="ORD1787"/>
    <x v="335"/>
    <d v="2024-08-11T00:00:00"/>
    <s v="CUST779"/>
    <x v="781"/>
    <x v="1"/>
    <s v="PROD7786"/>
    <s v="Cooking oil"/>
    <x v="3"/>
    <x v="3"/>
    <x v="15"/>
    <x v="760"/>
    <n v="9"/>
    <n v="3264"/>
    <n v="15"/>
    <n v="25314.6"/>
    <n v="24970.45"/>
    <n v="344.15"/>
    <s v="UPI"/>
    <s v="Cancelled"/>
    <s v="Shepherd, Adams and Jones"/>
    <s v="daniel55@myers.org"/>
    <n v="29"/>
    <s v="No"/>
    <n v="0"/>
  </r>
  <r>
    <s v="ORD1788"/>
    <x v="141"/>
    <d v="2023-12-21T00:00:00"/>
    <s v="CUST950"/>
    <x v="782"/>
    <x v="1"/>
    <s v="PROD4786"/>
    <s v="Sofa"/>
    <x v="2"/>
    <x v="0"/>
    <x v="7"/>
    <x v="761"/>
    <n v="3"/>
    <n v="4888"/>
    <n v="20"/>
    <n v="12076.2"/>
    <n v="11731.8"/>
    <n v="344.4"/>
    <s v="Credit card"/>
    <s v="Cancelled"/>
    <s v="Collins PLC"/>
    <s v="danielharris@williams.biz"/>
    <n v="6"/>
    <s v="Yes"/>
    <n v="49"/>
  </r>
  <r>
    <s v="ORD1789"/>
    <x v="475"/>
    <d v="2025-05-19T00:00:00"/>
    <s v="CUST634"/>
    <x v="783"/>
    <x v="0"/>
    <s v="PROD1527"/>
    <s v="Monitor"/>
    <x v="1"/>
    <x v="3"/>
    <x v="43"/>
    <x v="762"/>
    <n v="9"/>
    <n v="124"/>
    <n v="5"/>
    <n v="1405.2"/>
    <n v="1060.8499999999999"/>
    <n v="344.35"/>
    <s v="UPI"/>
    <s v="Pending"/>
    <s v="Green and Sons"/>
    <s v="cookshawn@ponce.org"/>
    <n v="43"/>
    <s v="No"/>
    <n v="0"/>
  </r>
  <r>
    <s v="ORD1790"/>
    <x v="373"/>
    <d v="2025-04-15T00:00:00"/>
    <s v="CUST538"/>
    <x v="784"/>
    <x v="1"/>
    <s v="PROD9155"/>
    <s v="Office Chair"/>
    <x v="2"/>
    <x v="3"/>
    <x v="18"/>
    <x v="763"/>
    <n v="5"/>
    <n v="1893"/>
    <n v="15"/>
    <n v="8390.25"/>
    <n v="8046.13"/>
    <n v="344.12"/>
    <s v="Credit card"/>
    <s v="Returned"/>
    <s v="Soto-Harris"/>
    <s v="leongina@soto.info"/>
    <n v="46"/>
    <s v="No"/>
    <n v="0"/>
  </r>
  <r>
    <s v="ORD1791"/>
    <x v="476"/>
    <d v="2024-08-27T00:00:00"/>
    <s v="CUST239"/>
    <x v="785"/>
    <x v="2"/>
    <s v="PROD9353"/>
    <s v="File Folder"/>
    <x v="0"/>
    <x v="3"/>
    <x v="43"/>
    <x v="764"/>
    <n v="10"/>
    <n v="249"/>
    <n v="0"/>
    <n v="2835"/>
    <n v="2490.66"/>
    <n v="344.34"/>
    <s v="UPI"/>
    <s v="Cancelled"/>
    <s v="Grimes-Morse"/>
    <s v="jenna67@andrews.com"/>
    <n v="21"/>
    <s v="No"/>
    <n v="0"/>
  </r>
  <r>
    <s v="ORD1792"/>
    <x v="477"/>
    <d v="2025-04-23T00:00:00"/>
    <s v="CUST319"/>
    <x v="786"/>
    <x v="0"/>
    <s v="PROD4626"/>
    <s v="Laptop"/>
    <x v="1"/>
    <x v="1"/>
    <x v="36"/>
    <x v="765"/>
    <n v="6"/>
    <n v="4485"/>
    <n v="0"/>
    <n v="27255"/>
    <n v="26910.880000000001"/>
    <n v="344.12"/>
    <s v="Credit card"/>
    <s v="Returned"/>
    <s v="Nelson, Garcia and Scott"/>
    <s v="ujackson@higgins-day.com"/>
    <n v="42"/>
    <s v="No"/>
    <n v="0"/>
  </r>
  <r>
    <s v="ORD1793"/>
    <x v="35"/>
    <d v="2023-12-21T00:00:00"/>
    <s v="CUST501"/>
    <x v="787"/>
    <x v="1"/>
    <s v="PROD7969"/>
    <s v="Pen"/>
    <x v="0"/>
    <x v="0"/>
    <x v="8"/>
    <x v="766"/>
    <n v="1"/>
    <n v="2476"/>
    <n v="10"/>
    <n v="2573.4"/>
    <n v="2229.09"/>
    <n v="344.31"/>
    <s v="Cash"/>
    <s v="Returned"/>
    <s v="Silva Group"/>
    <s v="kelleyjulie@medina.com"/>
    <n v="37"/>
    <s v="No"/>
    <n v="0"/>
  </r>
  <r>
    <s v="ORD1794"/>
    <x v="382"/>
    <d v="2025-01-10T00:00:00"/>
    <s v="CUST951"/>
    <x v="788"/>
    <x v="2"/>
    <s v="PROD6996"/>
    <s v="Stapler"/>
    <x v="0"/>
    <x v="2"/>
    <x v="16"/>
    <x v="767"/>
    <n v="2"/>
    <n v="4481"/>
    <n v="20"/>
    <n v="7514.6"/>
    <n v="7170.33"/>
    <n v="344.27"/>
    <s v="Credit card"/>
    <s v="Returned"/>
    <s v="Smith and Sons"/>
    <s v="solomondevin@parsons.com"/>
    <n v="17"/>
    <s v="No"/>
    <n v="0"/>
  </r>
  <r>
    <s v="ORD1795"/>
    <x v="201"/>
    <d v="2024-10-06T00:00:00"/>
    <s v="CUST663"/>
    <x v="789"/>
    <x v="2"/>
    <s v="PROD3897"/>
    <s v="Office Chair"/>
    <x v="2"/>
    <x v="3"/>
    <x v="10"/>
    <x v="768"/>
    <n v="5"/>
    <n v="2722"/>
    <n v="20"/>
    <n v="11233"/>
    <n v="10888.8"/>
    <n v="344.2"/>
    <s v="Net Banking"/>
    <s v="Delivered"/>
    <s v="King, Brown and Barnett"/>
    <s v="michael87@yang.com"/>
    <n v="43"/>
    <s v="No"/>
    <n v="0"/>
  </r>
  <r>
    <s v="ORD1796"/>
    <x v="88"/>
    <d v="2025-04-03T00:00:00"/>
    <s v="CUST496"/>
    <x v="790"/>
    <x v="0"/>
    <s v="PROD1942"/>
    <s v="Laptop"/>
    <x v="1"/>
    <x v="3"/>
    <x v="15"/>
    <x v="769"/>
    <n v="4"/>
    <n v="1707"/>
    <n v="0"/>
    <n v="7173"/>
    <n v="6828.66"/>
    <n v="344.34"/>
    <s v="Cash"/>
    <s v="Pending"/>
    <s v="Leon, Sparks and Nguyen"/>
    <s v="aaronhess@allen.com"/>
    <n v="36"/>
    <s v="No"/>
    <n v="0"/>
  </r>
  <r>
    <s v="ORD1797"/>
    <x v="102"/>
    <d v="2025-10-29T00:00:00"/>
    <s v="CUST155"/>
    <x v="791"/>
    <x v="1"/>
    <s v="PROD6891"/>
    <s v="Mouse"/>
    <x v="1"/>
    <x v="0"/>
    <x v="26"/>
    <x v="770"/>
    <n v="4"/>
    <n v="4069"/>
    <n v="15"/>
    <n v="14179.6"/>
    <n v="13835.47"/>
    <n v="344.13"/>
    <s v="UPI"/>
    <s v="Returned"/>
    <s v="Roman, Gray and Holmes"/>
    <s v="vasquezsarah@flores.com"/>
    <n v="12"/>
    <s v="No"/>
    <n v="0"/>
  </r>
  <r>
    <s v="ORD1798"/>
    <x v="16"/>
    <d v="2025-11-03T00:00:00"/>
    <s v="CUST479"/>
    <x v="236"/>
    <x v="2"/>
    <s v="PROD7220"/>
    <s v="Sofa"/>
    <x v="2"/>
    <x v="2"/>
    <x v="24"/>
    <x v="771"/>
    <n v="8"/>
    <n v="559"/>
    <n v="20"/>
    <n v="3922.6"/>
    <n v="3578.21"/>
    <n v="344.39"/>
    <s v="Net Banking"/>
    <s v="Delivered"/>
    <s v="Sanchez, Holloway and Myers"/>
    <s v="sarah01@thompson-wilkerson.info"/>
    <n v="12"/>
    <s v="No"/>
    <n v="0"/>
  </r>
  <r>
    <s v="ORD1799"/>
    <x v="478"/>
    <d v="2025-10-08T00:00:00"/>
    <s v="CUST676"/>
    <x v="792"/>
    <x v="0"/>
    <s v="PROD5184"/>
    <s v="Office Chair"/>
    <x v="2"/>
    <x v="1"/>
    <x v="33"/>
    <x v="21"/>
    <n v="10"/>
    <n v="4691"/>
    <n v="10"/>
    <n v="42564"/>
    <n v="42219.76"/>
    <n v="344.24"/>
    <s v="Cash"/>
    <s v="Delivered"/>
    <s v="Young-Rich"/>
    <s v="dixondebbie@casey.net"/>
    <n v="41"/>
    <s v="No"/>
    <n v="0"/>
  </r>
  <r>
    <s v="ORD1800"/>
    <x v="467"/>
    <d v="2025-07-21T00:00:00"/>
    <s v="CUST269"/>
    <x v="793"/>
    <x v="2"/>
    <s v="PROD5729"/>
    <s v="Keyboard"/>
    <x v="1"/>
    <x v="1"/>
    <x v="6"/>
    <x v="772"/>
    <n v="4"/>
    <n v="941"/>
    <n v="20"/>
    <n v="3356.2"/>
    <n v="3012.03"/>
    <n v="344.17"/>
    <s v="Credit card"/>
    <s v="Delivered"/>
    <s v="Guerra-Green"/>
    <s v="william32@bell.com"/>
    <n v="26"/>
    <s v="No"/>
    <n v="0"/>
  </r>
  <r>
    <s v="ORD1801"/>
    <x v="309"/>
    <d v="2024-09-15T00:00:00"/>
    <s v="CUST774"/>
    <x v="794"/>
    <x v="0"/>
    <s v="PROD7460"/>
    <s v="Bookshell"/>
    <x v="2"/>
    <x v="2"/>
    <x v="16"/>
    <x v="773"/>
    <n v="3"/>
    <n v="329"/>
    <n v="10"/>
    <n v="1233.3"/>
    <n v="889"/>
    <n v="344.3"/>
    <s v="Net Banking"/>
    <s v="Cancelled"/>
    <s v="Rivera-Gamble"/>
    <s v="nicole78@allen-shelton.biz"/>
    <n v="28"/>
    <s v="No"/>
    <n v="0"/>
  </r>
  <r>
    <s v="ORD1802"/>
    <x v="479"/>
    <d v="2024-01-04T00:00:00"/>
    <s v="CUST888"/>
    <x v="795"/>
    <x v="0"/>
    <s v="PROD7689"/>
    <s v="Mouse"/>
    <x v="1"/>
    <x v="1"/>
    <x v="10"/>
    <x v="774"/>
    <n v="5"/>
    <n v="2480"/>
    <n v="0"/>
    <n v="12745"/>
    <n v="12400.79"/>
    <n v="344.21"/>
    <s v="UPI"/>
    <s v="Delivered"/>
    <s v="Chambers-Morton"/>
    <s v="rcervantes@johnson.info"/>
    <n v="31"/>
    <s v="No"/>
    <n v="0"/>
  </r>
  <r>
    <s v="ORD1803"/>
    <x v="284"/>
    <d v="2025-04-23T00:00:00"/>
    <s v="CUST188"/>
    <x v="796"/>
    <x v="1"/>
    <s v="PROD6622"/>
    <s v="Juice Pack"/>
    <x v="3"/>
    <x v="2"/>
    <x v="0"/>
    <x v="775"/>
    <n v="5"/>
    <n v="112"/>
    <n v="10"/>
    <n v="849"/>
    <n v="504.8"/>
    <n v="344.2"/>
    <s v="Net Banking"/>
    <s v="Pending"/>
    <s v="Davidson, Stevens and Haley"/>
    <s v="along@hill.com"/>
    <n v="49"/>
    <s v="No"/>
    <n v="0"/>
  </r>
  <r>
    <s v="ORD1804"/>
    <x v="206"/>
    <d v="2025-09-11T00:00:00"/>
    <s v="CUST288"/>
    <x v="797"/>
    <x v="0"/>
    <s v="PROD4487"/>
    <s v="Office Chair"/>
    <x v="2"/>
    <x v="0"/>
    <x v="36"/>
    <x v="776"/>
    <n v="4"/>
    <n v="3078"/>
    <n v="15"/>
    <n v="10810.2"/>
    <n v="10465.89"/>
    <n v="344.31"/>
    <s v="UPI"/>
    <s v="Pending"/>
    <s v="Vasquez-Cruz"/>
    <s v="darlene74@butler-coleman.info"/>
    <n v="2"/>
    <s v="Yes"/>
    <n v="40"/>
  </r>
  <r>
    <s v="ORD1805"/>
    <x v="12"/>
    <d v="2024-02-25T00:00:00"/>
    <s v="CUST426"/>
    <x v="798"/>
    <x v="0"/>
    <s v="PROD2102"/>
    <s v="Rice Bag"/>
    <x v="3"/>
    <x v="1"/>
    <x v="30"/>
    <x v="777"/>
    <n v="8"/>
    <n v="751"/>
    <n v="0"/>
    <n v="6353"/>
    <n v="6008.8"/>
    <n v="344.2"/>
    <s v="Cash"/>
    <s v="Cancelled"/>
    <s v="Elliott, Myers and Bradley"/>
    <s v="adavis@mcdonald.org"/>
    <n v="0"/>
    <s v="Yes"/>
    <n v="28"/>
  </r>
  <r>
    <s v="ORD1806"/>
    <x v="480"/>
    <d v="2024-02-18T00:00:00"/>
    <s v="CUST102"/>
    <x v="799"/>
    <x v="2"/>
    <s v="PROD9124"/>
    <s v="Pen"/>
    <x v="0"/>
    <x v="1"/>
    <x v="37"/>
    <x v="635"/>
    <n v="6"/>
    <n v="2882"/>
    <n v="5"/>
    <n v="16772.400000000001"/>
    <n v="16428.240000000002"/>
    <n v="344.16"/>
    <s v="Credit card"/>
    <s v="Pending"/>
    <s v="Pruitt, Sandoval and Moss"/>
    <s v="bwright@armstrong.com"/>
    <n v="37"/>
    <s v="No"/>
    <n v="0"/>
  </r>
  <r>
    <s v="ORD1807"/>
    <x v="481"/>
    <d v="2025-03-14T00:00:00"/>
    <s v="CUST705"/>
    <x v="800"/>
    <x v="2"/>
    <s v="PROD1070"/>
    <s v="Stapler"/>
    <x v="0"/>
    <x v="3"/>
    <x v="14"/>
    <x v="778"/>
    <n v="8"/>
    <n v="173"/>
    <n v="15"/>
    <n v="1521.4"/>
    <n v="1177.03"/>
    <n v="344.37"/>
    <s v="Net Banking"/>
    <s v="Delivered"/>
    <s v="Glass, Wilson and Nelson"/>
    <s v="noahmanning@moore.net"/>
    <n v="4"/>
    <s v="Yes"/>
    <n v="22"/>
  </r>
  <r>
    <s v="ORD1808"/>
    <x v="403"/>
    <d v="2025-02-07T00:00:00"/>
    <s v="CUST159"/>
    <x v="801"/>
    <x v="0"/>
    <s v="PROD1291"/>
    <s v="Snacks"/>
    <x v="3"/>
    <x v="0"/>
    <x v="13"/>
    <x v="779"/>
    <n v="7"/>
    <n v="2574"/>
    <n v="10"/>
    <n v="16561.2"/>
    <n v="16217.07"/>
    <n v="344.13"/>
    <s v="UPI"/>
    <s v="Returned"/>
    <s v="Boyd, Vargas and West"/>
    <s v="barbaraneal@montes-henderson.com"/>
    <n v="0"/>
    <s v="Yes"/>
    <n v="28"/>
  </r>
  <r>
    <s v="ORD1809"/>
    <x v="257"/>
    <d v="2025-02-10T00:00:00"/>
    <s v="CUST754"/>
    <x v="802"/>
    <x v="1"/>
    <s v="PROD3735"/>
    <s v="Cooking oil"/>
    <x v="3"/>
    <x v="3"/>
    <x v="38"/>
    <x v="780"/>
    <n v="9"/>
    <n v="4508"/>
    <n v="10"/>
    <n v="36859.800000000003"/>
    <n v="36515.519999999997"/>
    <n v="344.28"/>
    <s v="Credit card"/>
    <s v="Pending"/>
    <s v="Perez, Cortez and Johnston"/>
    <s v="lauraperez@sherman.com"/>
    <n v="25"/>
    <s v="No"/>
    <n v="0"/>
  </r>
  <r>
    <s v="ORD1810"/>
    <x v="343"/>
    <d v="2024-06-27T00:00:00"/>
    <s v="CUST377"/>
    <x v="803"/>
    <x v="1"/>
    <s v="PROD9375"/>
    <s v="Dining Table"/>
    <x v="2"/>
    <x v="3"/>
    <x v="29"/>
    <x v="781"/>
    <n v="4"/>
    <n v="2088"/>
    <n v="15"/>
    <n v="7444.2"/>
    <n v="7099.92"/>
    <n v="344.28"/>
    <s v="Cash"/>
    <s v="Cancelled"/>
    <s v="Wilcox, Matthews and Stafford"/>
    <s v="rebeccabrown@figueroa.biz"/>
    <n v="20"/>
    <s v="No"/>
    <n v="0"/>
  </r>
  <r>
    <s v="ORD1811"/>
    <x v="128"/>
    <d v="2024-04-11T00:00:00"/>
    <s v="CUST537"/>
    <x v="804"/>
    <x v="0"/>
    <s v="PROD5650"/>
    <s v="Snacks"/>
    <x v="3"/>
    <x v="1"/>
    <x v="3"/>
    <x v="782"/>
    <n v="2"/>
    <n v="2087"/>
    <n v="15"/>
    <n v="3892.9"/>
    <n v="3548.77"/>
    <n v="344.13"/>
    <s v="UPI"/>
    <s v="Returned"/>
    <s v="Hernandez and Sons"/>
    <s v="nbarrett@mejia-phillips.com"/>
    <n v="46"/>
    <s v="No"/>
    <n v="0"/>
  </r>
  <r>
    <s v="ORD1812"/>
    <x v="351"/>
    <d v="2024-09-29T00:00:00"/>
    <s v="CUST455"/>
    <x v="805"/>
    <x v="0"/>
    <s v="PROD2277"/>
    <s v="Office Chair"/>
    <x v="2"/>
    <x v="1"/>
    <x v="27"/>
    <x v="783"/>
    <n v="7"/>
    <n v="2870"/>
    <n v="5"/>
    <n v="19430.5"/>
    <n v="19086.400000000001"/>
    <n v="344.1"/>
    <s v="Credit card"/>
    <s v="Pending"/>
    <s v="Owens, Smith and Simpson"/>
    <s v="robertsonyvonne@clayton-wright.com"/>
    <n v="24"/>
    <s v="No"/>
    <n v="0"/>
  </r>
  <r>
    <s v="ORD1813"/>
    <x v="482"/>
    <d v="2024-07-27T00:00:00"/>
    <s v="CUST826"/>
    <x v="806"/>
    <x v="1"/>
    <s v="PROD2819"/>
    <s v="Headphones"/>
    <x v="1"/>
    <x v="1"/>
    <x v="49"/>
    <x v="784"/>
    <n v="9"/>
    <n v="861"/>
    <n v="0"/>
    <n v="8094"/>
    <n v="7749.89"/>
    <n v="344.11"/>
    <s v="Cash"/>
    <s v="Returned"/>
    <s v="Bennett-Brown"/>
    <s v="penaelizabeth@caldwell-waters.org"/>
    <n v="38"/>
    <s v="No"/>
    <n v="0"/>
  </r>
  <r>
    <s v="ORD1814"/>
    <x v="483"/>
    <d v="2025-02-24T00:00:00"/>
    <s v="CUST582"/>
    <x v="807"/>
    <x v="0"/>
    <s v="PROD4037"/>
    <s v="Snacks"/>
    <x v="3"/>
    <x v="3"/>
    <x v="41"/>
    <x v="785"/>
    <n v="9"/>
    <n v="3400"/>
    <n v="20"/>
    <n v="24825"/>
    <n v="24480.84"/>
    <n v="344.16"/>
    <s v="Cash"/>
    <s v="Returned"/>
    <s v="Stone LLC"/>
    <s v="johnanderson@martinez-carter.com"/>
    <n v="48"/>
    <s v="No"/>
    <n v="0"/>
  </r>
  <r>
    <s v="ORD1815"/>
    <x v="484"/>
    <d v="2025-06-01T00:00:00"/>
    <s v="CUST933"/>
    <x v="808"/>
    <x v="0"/>
    <s v="PROD2373"/>
    <s v="Stapler"/>
    <x v="0"/>
    <x v="2"/>
    <x v="21"/>
    <x v="786"/>
    <n v="1"/>
    <n v="3074"/>
    <n v="15"/>
    <n v="2957.9"/>
    <n v="2613.56"/>
    <n v="344.34"/>
    <s v="Credit card"/>
    <s v="Cancelled"/>
    <s v="Harmon-Ferguson"/>
    <s v="alicia68@baker.com"/>
    <n v="43"/>
    <s v="No"/>
    <n v="0"/>
  </r>
  <r>
    <s v="ORD1816"/>
    <x v="485"/>
    <d v="2025-06-26T00:00:00"/>
    <s v="CUST681"/>
    <x v="809"/>
    <x v="1"/>
    <s v="PROD2288"/>
    <s v="Sugar"/>
    <x v="3"/>
    <x v="3"/>
    <x v="10"/>
    <x v="787"/>
    <n v="4"/>
    <n v="2241"/>
    <n v="0"/>
    <n v="9309"/>
    <n v="8964.64"/>
    <n v="344.36"/>
    <s v="Credit card"/>
    <s v="Cancelled"/>
    <s v="Lawson Inc"/>
    <s v="holderjudith@hodges.com"/>
    <n v="10"/>
    <s v="No"/>
    <n v="0"/>
  </r>
  <r>
    <s v="ORD1817"/>
    <x v="486"/>
    <d v="2024-01-13T00:00:00"/>
    <s v="CUST668"/>
    <x v="810"/>
    <x v="2"/>
    <s v="PROD1364"/>
    <s v="Notebook"/>
    <x v="0"/>
    <x v="0"/>
    <x v="34"/>
    <x v="788"/>
    <n v="10"/>
    <n v="451"/>
    <n v="0"/>
    <n v="4855"/>
    <n v="4510.78"/>
    <n v="344.22"/>
    <s v="Credit card"/>
    <s v="Returned"/>
    <s v="Dawson Group"/>
    <s v="kimberly77@moore.com"/>
    <n v="22"/>
    <s v="No"/>
    <n v="0"/>
  </r>
  <r>
    <s v="ORD1818"/>
    <x v="251"/>
    <d v="2024-03-29T00:00:00"/>
    <s v="CUST708"/>
    <x v="811"/>
    <x v="1"/>
    <s v="PROD8174"/>
    <s v="File Folder"/>
    <x v="0"/>
    <x v="3"/>
    <x v="44"/>
    <x v="789"/>
    <n v="6"/>
    <n v="2980"/>
    <n v="20"/>
    <n v="14649"/>
    <n v="14304.69"/>
    <n v="344.31"/>
    <s v="Credit card"/>
    <s v="Delivered"/>
    <s v="Campbell-Glass"/>
    <s v="villarrealtina@woodard.com"/>
    <n v="2"/>
    <s v="Yes"/>
    <n v="20"/>
  </r>
  <r>
    <s v="ORD1819"/>
    <x v="40"/>
    <d v="2024-11-18T00:00:00"/>
    <s v="CUST678"/>
    <x v="812"/>
    <x v="0"/>
    <s v="PROD7760"/>
    <s v="Dining Table"/>
    <x v="2"/>
    <x v="0"/>
    <x v="33"/>
    <x v="790"/>
    <n v="1"/>
    <n v="1894"/>
    <n v="15"/>
    <n v="1954.9"/>
    <n v="1610.55"/>
    <n v="344.35"/>
    <s v="UPI"/>
    <s v="Pending"/>
    <s v="Peters, Morrison and Rose"/>
    <s v="vthompson@lee-jimenez.com"/>
    <n v="14"/>
    <s v="No"/>
    <n v="0"/>
  </r>
  <r>
    <s v="ORD1820"/>
    <x v="447"/>
    <d v="2024-12-27T00:00:00"/>
    <s v="CUST924"/>
    <x v="813"/>
    <x v="2"/>
    <s v="PROD2006"/>
    <s v="Laptop"/>
    <x v="1"/>
    <x v="2"/>
    <x v="15"/>
    <x v="791"/>
    <n v="4"/>
    <n v="3499"/>
    <n v="5"/>
    <n v="13641.2"/>
    <n v="13296.84"/>
    <n v="344.36"/>
    <s v="Credit card"/>
    <s v="Returned"/>
    <s v="Garcia Inc"/>
    <s v="wbarr@barnes.org"/>
    <n v="41"/>
    <s v="No"/>
    <n v="0"/>
  </r>
  <r>
    <s v="ORD1821"/>
    <x v="487"/>
    <d v="2025-01-16T00:00:00"/>
    <s v="CUST329"/>
    <x v="814"/>
    <x v="1"/>
    <s v="PROD9759"/>
    <s v="Headphones"/>
    <x v="1"/>
    <x v="3"/>
    <x v="45"/>
    <x v="792"/>
    <n v="7"/>
    <n v="2825"/>
    <n v="15"/>
    <n v="17153.75"/>
    <n v="16809.64"/>
    <n v="344.11"/>
    <s v="Credit card"/>
    <s v="Returned"/>
    <s v="Chapman, Stanley and Petersen"/>
    <s v="smercado@valentine-hebert.com"/>
    <n v="15"/>
    <s v="No"/>
    <n v="0"/>
  </r>
  <r>
    <s v="ORD1822"/>
    <x v="167"/>
    <d v="2024-11-22T00:00:00"/>
    <s v="CUST287"/>
    <x v="815"/>
    <x v="1"/>
    <s v="PROD8099"/>
    <s v="Cooking oil"/>
    <x v="3"/>
    <x v="2"/>
    <x v="22"/>
    <x v="793"/>
    <n v="2"/>
    <n v="1045"/>
    <n v="10"/>
    <n v="2226"/>
    <n v="1881.76"/>
    <n v="344.24"/>
    <s v="Credit card"/>
    <s v="Cancelled"/>
    <s v="Ford Group"/>
    <s v="monica50@reynolds.biz"/>
    <n v="7"/>
    <s v="Yes"/>
    <n v="50"/>
  </r>
  <r>
    <s v="ORD1823"/>
    <x v="342"/>
    <d v="2024-12-25T00:00:00"/>
    <s v="CUST874"/>
    <x v="816"/>
    <x v="2"/>
    <s v="PROD4325"/>
    <s v="Study Table"/>
    <x v="2"/>
    <x v="1"/>
    <x v="37"/>
    <x v="794"/>
    <n v="8"/>
    <n v="2531"/>
    <n v="5"/>
    <n v="19580.599999999999"/>
    <n v="19236.439999999999"/>
    <n v="344.16"/>
    <s v="Credit card"/>
    <s v="Pending"/>
    <s v="Friedman Inc"/>
    <s v="joshuajohnson@rodriguez.com"/>
    <n v="2"/>
    <s v="Yes"/>
    <n v="36"/>
  </r>
  <r>
    <s v="ORD1824"/>
    <x v="387"/>
    <d v="2024-10-29T00:00:00"/>
    <s v="CUST472"/>
    <x v="817"/>
    <x v="1"/>
    <s v="PROD8231"/>
    <s v="Juice Pack"/>
    <x v="3"/>
    <x v="3"/>
    <x v="0"/>
    <x v="795"/>
    <n v="4"/>
    <n v="2012"/>
    <n v="10"/>
    <n v="7588.2"/>
    <n v="7244.1"/>
    <n v="344.1"/>
    <s v="Cash"/>
    <s v="Pending"/>
    <s v="Lane, Simmons and Cunningham"/>
    <s v="ginaowens@andrews-gay.net"/>
    <n v="10"/>
    <s v="No"/>
    <n v="0"/>
  </r>
  <r>
    <s v="ORD1825"/>
    <x v="488"/>
    <d v="2024-09-16T00:00:00"/>
    <s v="CUST753"/>
    <x v="818"/>
    <x v="1"/>
    <s v="PROD8112"/>
    <s v="Mouse"/>
    <x v="1"/>
    <x v="1"/>
    <x v="45"/>
    <x v="796"/>
    <n v="5"/>
    <n v="3632"/>
    <n v="20"/>
    <n v="14873"/>
    <n v="14528.67"/>
    <n v="344.33"/>
    <s v="Cash"/>
    <s v="Delivered"/>
    <s v="Pratt, Evans and Rodriguez"/>
    <s v="jason34@vaughn.org"/>
    <n v="27"/>
    <s v="No"/>
    <n v="0"/>
  </r>
  <r>
    <s v="ORD1826"/>
    <x v="407"/>
    <d v="2024-07-11T00:00:00"/>
    <s v="CUST703"/>
    <x v="819"/>
    <x v="1"/>
    <s v="PROD7926"/>
    <s v="Pen"/>
    <x v="0"/>
    <x v="3"/>
    <x v="24"/>
    <x v="797"/>
    <n v="2"/>
    <n v="2188"/>
    <n v="15"/>
    <n v="4064.6"/>
    <n v="3720.42"/>
    <n v="344.18"/>
    <s v="UPI"/>
    <s v="Returned"/>
    <s v="Patel-Phelps"/>
    <s v="charles91@woods.com"/>
    <n v="40"/>
    <s v="No"/>
    <n v="0"/>
  </r>
  <r>
    <s v="ORD1827"/>
    <x v="489"/>
    <d v="2025-04-05T00:00:00"/>
    <s v="CUST288"/>
    <x v="820"/>
    <x v="0"/>
    <s v="PROD1928"/>
    <s v="Study Table"/>
    <x v="2"/>
    <x v="1"/>
    <x v="20"/>
    <x v="798"/>
    <n v="4"/>
    <n v="3998"/>
    <n v="20"/>
    <n v="13138.6"/>
    <n v="12794.44"/>
    <n v="344.16"/>
    <s v="Credit card"/>
    <s v="Delivered"/>
    <s v="Miller-Morgan"/>
    <s v="sward@simmons.com"/>
    <n v="45"/>
    <s v="No"/>
    <n v="0"/>
  </r>
  <r>
    <s v="ORD1828"/>
    <x v="353"/>
    <d v="2025-03-01T00:00:00"/>
    <s v="CUST809"/>
    <x v="821"/>
    <x v="0"/>
    <s v="PROD2704"/>
    <s v="Calculator"/>
    <x v="0"/>
    <x v="3"/>
    <x v="43"/>
    <x v="799"/>
    <n v="9"/>
    <n v="1741"/>
    <n v="20"/>
    <n v="12880.2"/>
    <n v="12535.82"/>
    <n v="344.38"/>
    <s v="Net Banking"/>
    <s v="Pending"/>
    <s v="Macias, Smith and Wright"/>
    <s v="john26@smith-wong.com"/>
    <n v="3"/>
    <s v="Yes"/>
    <n v="24"/>
  </r>
  <r>
    <s v="ORD1829"/>
    <x v="238"/>
    <d v="2025-02-17T00:00:00"/>
    <s v="CUST831"/>
    <x v="822"/>
    <x v="2"/>
    <s v="PROD1798"/>
    <s v="Pen"/>
    <x v="0"/>
    <x v="0"/>
    <x v="5"/>
    <x v="800"/>
    <n v="3"/>
    <n v="1147"/>
    <n v="0"/>
    <n v="3786"/>
    <n v="3441.63"/>
    <n v="344.37"/>
    <s v="Net Banking"/>
    <s v="Cancelled"/>
    <s v="Williams-Holland"/>
    <s v="brendasmith@wolfe.com"/>
    <n v="5"/>
    <s v="Yes"/>
    <n v="30"/>
  </r>
  <r>
    <s v="ORD1830"/>
    <x v="490"/>
    <d v="2024-10-23T00:00:00"/>
    <s v="CUST222"/>
    <x v="823"/>
    <x v="2"/>
    <s v="PROD8654"/>
    <s v="Notebook"/>
    <x v="0"/>
    <x v="0"/>
    <x v="37"/>
    <x v="801"/>
    <n v="9"/>
    <n v="4121"/>
    <n v="15"/>
    <n v="31870.65"/>
    <n v="31526.44"/>
    <n v="344.21"/>
    <s v="UPI"/>
    <s v="Cancelled"/>
    <s v="Holloway, Jordan and Dougherty"/>
    <s v="pamela62@chapman.info"/>
    <n v="44"/>
    <s v="No"/>
    <n v="0"/>
  </r>
  <r>
    <s v="ORD1831"/>
    <x v="320"/>
    <d v="2025-02-12T00:00:00"/>
    <s v="CUST175"/>
    <x v="824"/>
    <x v="2"/>
    <s v="PROD3499"/>
    <s v="Study Table"/>
    <x v="2"/>
    <x v="2"/>
    <x v="15"/>
    <x v="802"/>
    <n v="5"/>
    <n v="3728"/>
    <n v="10"/>
    <n v="17121"/>
    <n v="16776.73"/>
    <n v="344.27"/>
    <s v="UPI"/>
    <s v="Returned"/>
    <s v="Jones-Marshall"/>
    <s v="robertwyatt@anderson-page.com"/>
    <n v="41"/>
    <s v="No"/>
    <n v="0"/>
  </r>
  <r>
    <s v="ORD1832"/>
    <x v="408"/>
    <d v="2025-10-28T00:00:00"/>
    <s v="CUST468"/>
    <x v="825"/>
    <x v="1"/>
    <s v="PROD3220"/>
    <s v="Stapler"/>
    <x v="0"/>
    <x v="2"/>
    <x v="49"/>
    <x v="803"/>
    <n v="10"/>
    <n v="392"/>
    <n v="10"/>
    <n v="3873"/>
    <n v="3528.71"/>
    <n v="344.29"/>
    <s v="Cash"/>
    <s v="Delivered"/>
    <s v="Collier Group"/>
    <s v="ernestbarton@mcbride-davis.com"/>
    <n v="14"/>
    <s v="No"/>
    <n v="0"/>
  </r>
  <r>
    <s v="ORD1833"/>
    <x v="216"/>
    <d v="2024-07-27T00:00:00"/>
    <s v="CUST456"/>
    <x v="826"/>
    <x v="2"/>
    <s v="PROD9652"/>
    <s v="Headphones"/>
    <x v="1"/>
    <x v="0"/>
    <x v="46"/>
    <x v="804"/>
    <n v="10"/>
    <n v="162"/>
    <n v="5"/>
    <n v="1884"/>
    <n v="1539.71"/>
    <n v="344.29"/>
    <s v="Credit card"/>
    <s v="Delivered"/>
    <s v="Little-Williamson"/>
    <s v="marshallshawna@yang.biz"/>
    <n v="24"/>
    <s v="No"/>
    <n v="0"/>
  </r>
  <r>
    <s v="ORD1834"/>
    <x v="258"/>
    <d v="2024-05-15T00:00:00"/>
    <s v="CUST433"/>
    <x v="827"/>
    <x v="1"/>
    <s v="PROD1889"/>
    <s v="Cooking oil"/>
    <x v="3"/>
    <x v="2"/>
    <x v="8"/>
    <x v="805"/>
    <n v="2"/>
    <n v="4834"/>
    <n v="15"/>
    <n v="8562.7999999999993"/>
    <n v="8218.65"/>
    <n v="344.15"/>
    <s v="UPI"/>
    <s v="Pending"/>
    <s v="Chase-Romero"/>
    <s v="yphillips@hill.com"/>
    <n v="0"/>
    <s v="Yes"/>
    <n v="39"/>
  </r>
  <r>
    <s v="ORD1835"/>
    <x v="447"/>
    <d v="2024-12-29T00:00:00"/>
    <s v="CUST100"/>
    <x v="828"/>
    <x v="1"/>
    <s v="PROD8353"/>
    <s v="Stapler"/>
    <x v="0"/>
    <x v="3"/>
    <x v="7"/>
    <x v="806"/>
    <n v="10"/>
    <n v="1066"/>
    <n v="20"/>
    <n v="8873"/>
    <n v="8528.83"/>
    <n v="344.17"/>
    <s v="Credit card"/>
    <s v="Pending"/>
    <s v="Long Inc"/>
    <s v="michaelsmith@taylor.com"/>
    <n v="41"/>
    <s v="No"/>
    <n v="0"/>
  </r>
  <r>
    <s v="ORD1836"/>
    <x v="16"/>
    <d v="2025-11-03T00:00:00"/>
    <s v="CUST161"/>
    <x v="829"/>
    <x v="1"/>
    <s v="PROD8639"/>
    <s v="Bookshell"/>
    <x v="2"/>
    <x v="0"/>
    <x v="5"/>
    <x v="89"/>
    <n v="6"/>
    <n v="931"/>
    <n v="15"/>
    <n v="5093.1000000000004"/>
    <n v="4748.92"/>
    <n v="344.18"/>
    <s v="Cash"/>
    <s v="Delivered"/>
    <s v="Johnson, Cantu and Bell"/>
    <s v="hkelly@may.com"/>
    <n v="12"/>
    <s v="No"/>
    <n v="0"/>
  </r>
  <r>
    <s v="ORD1837"/>
    <x v="194"/>
    <d v="2025-08-28T00:00:00"/>
    <s v="CUST887"/>
    <x v="830"/>
    <x v="0"/>
    <s v="PROD5776"/>
    <s v="Mouse"/>
    <x v="1"/>
    <x v="0"/>
    <x v="36"/>
    <x v="807"/>
    <n v="10"/>
    <n v="2892"/>
    <n v="20"/>
    <n v="23481"/>
    <n v="23136.66"/>
    <n v="344.34"/>
    <s v="UPI"/>
    <s v="Delivered"/>
    <s v="Berry Group"/>
    <s v="sknapp@wang.com"/>
    <n v="18"/>
    <s v="No"/>
    <n v="0"/>
  </r>
  <r>
    <s v="ORD1838"/>
    <x v="280"/>
    <d v="2024-07-25T00:00:00"/>
    <s v="CUST266"/>
    <x v="831"/>
    <x v="0"/>
    <s v="PROD8230"/>
    <s v="Rice Bag"/>
    <x v="3"/>
    <x v="3"/>
    <x v="16"/>
    <x v="808"/>
    <n v="10"/>
    <n v="1990"/>
    <n v="5"/>
    <n v="19250"/>
    <n v="18905.650000000001"/>
    <n v="344.35"/>
    <s v="Cash"/>
    <s v="Cancelled"/>
    <s v="Robinson-Lopez"/>
    <s v="esmith@berg-thompson.biz"/>
    <n v="43"/>
    <s v="No"/>
    <n v="0"/>
  </r>
  <r>
    <s v="ORD1839"/>
    <x v="491"/>
    <d v="2025-10-06T00:00:00"/>
    <s v="CUST123"/>
    <x v="832"/>
    <x v="2"/>
    <s v="PROD1287"/>
    <s v="Stapler"/>
    <x v="0"/>
    <x v="3"/>
    <x v="26"/>
    <x v="809"/>
    <n v="9"/>
    <n v="2672"/>
    <n v="10"/>
    <n v="21988.2"/>
    <n v="21644.05"/>
    <n v="344.15"/>
    <s v="UPI"/>
    <s v="Returned"/>
    <s v="Bradshaw-Stevens"/>
    <s v="mbrewer@duncan.net"/>
    <n v="39"/>
    <s v="No"/>
    <n v="0"/>
  </r>
  <r>
    <s v="ORD1840"/>
    <x v="341"/>
    <d v="2024-03-31T00:00:00"/>
    <s v="CUST221"/>
    <x v="833"/>
    <x v="2"/>
    <s v="PROD9785"/>
    <s v="Notebook"/>
    <x v="0"/>
    <x v="3"/>
    <x v="29"/>
    <x v="810"/>
    <n v="7"/>
    <n v="3426"/>
    <n v="15"/>
    <n v="20729.7"/>
    <n v="20385.439999999999"/>
    <n v="344.26"/>
    <s v="Credit card"/>
    <s v="Pending"/>
    <s v="George-Hoffman"/>
    <s v="frankcasey@robinson.com"/>
    <n v="18"/>
    <s v="No"/>
    <n v="0"/>
  </r>
  <r>
    <s v="ORD1841"/>
    <x v="336"/>
    <d v="2024-09-01T00:00:00"/>
    <s v="CUST957"/>
    <x v="834"/>
    <x v="1"/>
    <s v="PROD5740"/>
    <s v="Juice Pack"/>
    <x v="3"/>
    <x v="2"/>
    <x v="11"/>
    <x v="656"/>
    <n v="8"/>
    <n v="346"/>
    <n v="0"/>
    <n v="3113"/>
    <n v="2768.85"/>
    <n v="344.15"/>
    <s v="Net Banking"/>
    <s v="Cancelled"/>
    <s v="Black, Davidson and Odom"/>
    <s v="watkinsphyllis@davis.com"/>
    <n v="10"/>
    <s v="No"/>
    <n v="0"/>
  </r>
  <r>
    <s v="ORD1842"/>
    <x v="371"/>
    <d v="2025-01-20T00:00:00"/>
    <s v="CUST615"/>
    <x v="835"/>
    <x v="1"/>
    <s v="PROD6094"/>
    <s v="File Folder"/>
    <x v="0"/>
    <x v="0"/>
    <x v="23"/>
    <x v="811"/>
    <n v="2"/>
    <n v="4378"/>
    <n v="0"/>
    <n v="9101"/>
    <n v="8756.8700000000008"/>
    <n v="344.13"/>
    <s v="Net Banking"/>
    <s v="Delivered"/>
    <s v="Wall, Daniels and Gonzales"/>
    <s v="ymoore@brennan.info"/>
    <n v="28"/>
    <s v="No"/>
    <n v="0"/>
  </r>
  <r>
    <s v="ORD1843"/>
    <x v="59"/>
    <d v="2024-09-04T00:00:00"/>
    <s v="CUST933"/>
    <x v="836"/>
    <x v="1"/>
    <s v="PROD1131"/>
    <s v="Study Table"/>
    <x v="2"/>
    <x v="3"/>
    <x v="36"/>
    <x v="812"/>
    <n v="6"/>
    <n v="4638"/>
    <n v="10"/>
    <n v="25390.2"/>
    <n v="25045.99"/>
    <n v="344.21"/>
    <s v="Credit card"/>
    <s v="Delivered"/>
    <s v="Rodriguez and Sons"/>
    <s v="jandrews@ray-mcdaniel.biz"/>
    <n v="50"/>
    <s v="No"/>
    <n v="0"/>
  </r>
  <r>
    <s v="ORD1844"/>
    <x v="385"/>
    <d v="2024-07-19T00:00:00"/>
    <s v="CUST275"/>
    <x v="837"/>
    <x v="0"/>
    <s v="PROD7436"/>
    <s v="Sofa"/>
    <x v="2"/>
    <x v="3"/>
    <x v="33"/>
    <x v="813"/>
    <n v="10"/>
    <n v="884"/>
    <n v="10"/>
    <n v="8301"/>
    <n v="7956.84"/>
    <n v="344.16"/>
    <s v="UPI"/>
    <s v="Pending"/>
    <s v="Obrien Inc"/>
    <s v="alvarezkendra@sanchez.info"/>
    <n v="22"/>
    <s v="No"/>
    <n v="0"/>
  </r>
  <r>
    <s v="ORD1845"/>
    <x v="492"/>
    <d v="2024-12-16T00:00:00"/>
    <s v="CUST788"/>
    <x v="838"/>
    <x v="2"/>
    <s v="PROD8108"/>
    <s v="Headphones"/>
    <x v="1"/>
    <x v="2"/>
    <x v="46"/>
    <x v="814"/>
    <n v="4"/>
    <n v="2878"/>
    <n v="0"/>
    <n v="11857"/>
    <n v="11512.67"/>
    <n v="344.33"/>
    <s v="Credit card"/>
    <s v="Delivered"/>
    <s v="Tran-Evans"/>
    <s v="carlos09@smith.com"/>
    <n v="12"/>
    <s v="No"/>
    <n v="0"/>
  </r>
  <r>
    <s v="ORD1846"/>
    <x v="59"/>
    <d v="2024-09-03T00:00:00"/>
    <s v="CUST159"/>
    <x v="839"/>
    <x v="0"/>
    <s v="PROD1768"/>
    <s v="Calculator"/>
    <x v="0"/>
    <x v="0"/>
    <x v="29"/>
    <x v="815"/>
    <n v="10"/>
    <n v="2498"/>
    <n v="0"/>
    <n v="25325"/>
    <n v="24980.83"/>
    <n v="344.17"/>
    <s v="Cash"/>
    <s v="Delivered"/>
    <s v="Lewis PLC"/>
    <s v="robynjohnson@bruce-coleman.org"/>
    <n v="40"/>
    <s v="No"/>
    <n v="0"/>
  </r>
  <r>
    <s v="ORD1847"/>
    <x v="493"/>
    <d v="2024-05-30T00:00:00"/>
    <s v="CUST479"/>
    <x v="840"/>
    <x v="2"/>
    <s v="PROD2984"/>
    <s v="Keyboard"/>
    <x v="1"/>
    <x v="3"/>
    <x v="44"/>
    <x v="816"/>
    <n v="8"/>
    <n v="995"/>
    <n v="10"/>
    <n v="7509"/>
    <n v="7164.73"/>
    <n v="344.27"/>
    <s v="Cash"/>
    <s v="Cancelled"/>
    <s v="Joseph-Mora"/>
    <s v="brittanyphillips@martin-burke.com"/>
    <n v="45"/>
    <s v="No"/>
    <n v="0"/>
  </r>
  <r>
    <s v="ORD1848"/>
    <x v="135"/>
    <d v="2024-06-08T00:00:00"/>
    <s v="CUST230"/>
    <x v="841"/>
    <x v="0"/>
    <s v="PROD1876"/>
    <s v="Snacks"/>
    <x v="3"/>
    <x v="1"/>
    <x v="39"/>
    <x v="817"/>
    <n v="10"/>
    <n v="4680"/>
    <n v="5"/>
    <n v="44805"/>
    <n v="44460.61"/>
    <n v="344.39"/>
    <s v="Cash"/>
    <s v="Cancelled"/>
    <s v="Reynolds, Day and Roberts"/>
    <s v="wjohnson@rosario.net"/>
    <n v="29"/>
    <s v="No"/>
    <n v="0"/>
  </r>
  <r>
    <s v="ORD1849"/>
    <x v="165"/>
    <d v="2024-08-04T00:00:00"/>
    <s v="CUST948"/>
    <x v="842"/>
    <x v="1"/>
    <s v="PROD7045"/>
    <s v="Sofa"/>
    <x v="2"/>
    <x v="0"/>
    <x v="9"/>
    <x v="818"/>
    <n v="9"/>
    <n v="4590"/>
    <n v="10"/>
    <n v="37524"/>
    <n v="37179.61"/>
    <n v="344.39"/>
    <s v="Net Banking"/>
    <s v="Delivered"/>
    <s v="Bryan, Benitez and Evans"/>
    <s v="vchapman@schaefer.com"/>
    <n v="48"/>
    <s v="No"/>
    <n v="0"/>
  </r>
  <r>
    <s v="ORD1850"/>
    <x v="494"/>
    <d v="2024-01-30T00:00:00"/>
    <s v="CUST846"/>
    <x v="843"/>
    <x v="2"/>
    <s v="PROD7725"/>
    <s v="Snacks"/>
    <x v="3"/>
    <x v="3"/>
    <x v="3"/>
    <x v="819"/>
    <n v="2"/>
    <n v="1633"/>
    <n v="15"/>
    <n v="3121.1"/>
    <n v="2776.89"/>
    <n v="344.21"/>
    <s v="Credit card"/>
    <s v="Cancelled"/>
    <s v="Hayes-Cole"/>
    <s v="mmartinez@austin.biz"/>
    <n v="44"/>
    <s v="No"/>
    <n v="0"/>
  </r>
  <r>
    <s v="ORD1851"/>
    <x v="97"/>
    <d v="2024-05-01T00:00:00"/>
    <s v="CUST779"/>
    <x v="39"/>
    <x v="1"/>
    <s v="PROD7487"/>
    <s v="Stapler"/>
    <x v="0"/>
    <x v="2"/>
    <x v="9"/>
    <x v="820"/>
    <n v="4"/>
    <n v="858"/>
    <n v="20"/>
    <n v="3090.6"/>
    <n v="2746.35"/>
    <n v="344.25"/>
    <s v="Credit card"/>
    <s v="Returned"/>
    <s v="Evans Group"/>
    <s v="novakjared@johnson.com"/>
    <n v="42"/>
    <s v="No"/>
    <n v="0"/>
  </r>
  <r>
    <s v="ORD1852"/>
    <x v="370"/>
    <d v="2025-07-14T00:00:00"/>
    <s v="CUST667"/>
    <x v="844"/>
    <x v="0"/>
    <s v="PROD2264"/>
    <s v="Notebook"/>
    <x v="0"/>
    <x v="3"/>
    <x v="36"/>
    <x v="821"/>
    <n v="10"/>
    <n v="802"/>
    <n v="10"/>
    <n v="7563"/>
    <n v="7218.62"/>
    <n v="344.38"/>
    <s v="Net Banking"/>
    <s v="Delivered"/>
    <s v="Perez, Combs and Rivas"/>
    <s v="lking@johnson.com"/>
    <n v="41"/>
    <s v="No"/>
    <n v="0"/>
  </r>
  <r>
    <s v="ORD1853"/>
    <x v="188"/>
    <d v="2024-06-09T00:00:00"/>
    <s v="CUST340"/>
    <x v="845"/>
    <x v="2"/>
    <s v="PROD3721"/>
    <s v="Study Table"/>
    <x v="2"/>
    <x v="3"/>
    <x v="23"/>
    <x v="822"/>
    <n v="4"/>
    <n v="606"/>
    <n v="0"/>
    <n v="2769"/>
    <n v="2424.86"/>
    <n v="344.14"/>
    <s v="Credit card"/>
    <s v="Delivered"/>
    <s v="Chan and Sons"/>
    <s v="kirksmith@ortiz.com"/>
    <n v="33"/>
    <s v="No"/>
    <n v="0"/>
  </r>
  <r>
    <s v="ORD1854"/>
    <x v="384"/>
    <d v="2024-03-07T00:00:00"/>
    <s v="CUST300"/>
    <x v="846"/>
    <x v="2"/>
    <s v="PROD6187"/>
    <s v="Bookshell"/>
    <x v="2"/>
    <x v="3"/>
    <x v="22"/>
    <x v="823"/>
    <n v="7"/>
    <n v="957"/>
    <n v="0"/>
    <n v="7044"/>
    <n v="6699.64"/>
    <n v="344.36"/>
    <s v="Net Banking"/>
    <s v="Pending"/>
    <s v="Jackson, Holland and Phillips"/>
    <s v="yangdawn@kelly.biz"/>
    <n v="0"/>
    <s v="Yes"/>
    <n v="22"/>
  </r>
  <r>
    <s v="ORD1855"/>
    <x v="482"/>
    <d v="2024-07-31T00:00:00"/>
    <s v="CUST624"/>
    <x v="847"/>
    <x v="1"/>
    <s v="PROD9665"/>
    <s v="Sugar"/>
    <x v="3"/>
    <x v="1"/>
    <x v="3"/>
    <x v="824"/>
    <n v="8"/>
    <n v="3463"/>
    <n v="15"/>
    <n v="23893.4"/>
    <n v="23549.23"/>
    <n v="344.17"/>
    <s v="Net Banking"/>
    <s v="Cancelled"/>
    <s v="Miles-Zuniga"/>
    <s v="fhamilton@myers-mills.net"/>
    <n v="38"/>
    <s v="No"/>
    <n v="0"/>
  </r>
  <r>
    <s v="ORD1856"/>
    <x v="12"/>
    <d v="2024-02-25T00:00:00"/>
    <s v="CUST315"/>
    <x v="848"/>
    <x v="0"/>
    <s v="PROD6623"/>
    <s v="Dining Table"/>
    <x v="2"/>
    <x v="3"/>
    <x v="5"/>
    <x v="825"/>
    <n v="8"/>
    <n v="2435"/>
    <n v="0"/>
    <n v="19825"/>
    <n v="19480.900000000001"/>
    <n v="344.1"/>
    <s v="Credit card"/>
    <s v="Cancelled"/>
    <s v="Callahan-Goodman"/>
    <s v="hansonlindsay@harrison.com"/>
    <n v="43"/>
    <s v="No"/>
    <n v="0"/>
  </r>
  <r>
    <s v="ORD1857"/>
    <x v="495"/>
    <d v="2024-01-06T00:00:00"/>
    <s v="CUST274"/>
    <x v="849"/>
    <x v="2"/>
    <s v="PROD8019"/>
    <s v="Juice Pack"/>
    <x v="3"/>
    <x v="3"/>
    <x v="19"/>
    <x v="826"/>
    <n v="7"/>
    <n v="3132"/>
    <n v="0"/>
    <n v="22269"/>
    <n v="21924.87"/>
    <n v="344.13"/>
    <s v="Credit card"/>
    <s v="Delivered"/>
    <s v="Miller, Brown and Miller"/>
    <s v="thomas06@jenkins-murray.com"/>
    <n v="8"/>
    <s v="Yes"/>
    <n v="22"/>
  </r>
  <r>
    <s v="ORD1858"/>
    <x v="247"/>
    <d v="2024-04-09T00:00:00"/>
    <s v="CUST225"/>
    <x v="850"/>
    <x v="1"/>
    <s v="PROD6329"/>
    <s v="Study Table"/>
    <x v="2"/>
    <x v="0"/>
    <x v="26"/>
    <x v="827"/>
    <n v="4"/>
    <n v="1785"/>
    <n v="20"/>
    <n v="6057"/>
    <n v="5712.84"/>
    <n v="344.16"/>
    <s v="Cash"/>
    <s v="Delivered"/>
    <s v="Brown-Foley"/>
    <s v="phillipwhitehead@lin.com"/>
    <n v="21"/>
    <s v="No"/>
    <n v="0"/>
  </r>
  <r>
    <s v="ORD1859"/>
    <x v="496"/>
    <d v="2025-01-29T00:00:00"/>
    <s v="CUST610"/>
    <x v="851"/>
    <x v="2"/>
    <s v="PROD3405"/>
    <s v="Dining Table"/>
    <x v="2"/>
    <x v="3"/>
    <x v="1"/>
    <x v="828"/>
    <n v="5"/>
    <n v="1326"/>
    <n v="20"/>
    <n v="5649"/>
    <n v="5304.62"/>
    <n v="344.38"/>
    <s v="Net Banking"/>
    <s v="Pending"/>
    <s v="Dyer-Davila"/>
    <s v="oscar58@wolfe.net"/>
    <n v="25"/>
    <s v="No"/>
    <n v="0"/>
  </r>
  <r>
    <s v="ORD1860"/>
    <x v="497"/>
    <d v="2024-02-23T00:00:00"/>
    <s v="CUST112"/>
    <x v="350"/>
    <x v="1"/>
    <s v="PROD4972"/>
    <s v="Office Chair"/>
    <x v="2"/>
    <x v="0"/>
    <x v="18"/>
    <x v="829"/>
    <n v="7"/>
    <n v="1901"/>
    <n v="5"/>
    <n v="12986.65"/>
    <n v="12642.47"/>
    <n v="344.18"/>
    <s v="Credit card"/>
    <s v="Cancelled"/>
    <s v="Schmidt, Rios and Cruz"/>
    <s v="brianadavis@rodriguez.com"/>
    <n v="17"/>
    <s v="No"/>
    <n v="0"/>
  </r>
  <r>
    <s v="ORD1861"/>
    <x v="293"/>
    <d v="2024-09-28T00:00:00"/>
    <s v="CUST206"/>
    <x v="852"/>
    <x v="0"/>
    <s v="PROD8582"/>
    <s v="Stapler"/>
    <x v="0"/>
    <x v="1"/>
    <x v="38"/>
    <x v="830"/>
    <n v="10"/>
    <n v="2558"/>
    <n v="20"/>
    <n v="20809"/>
    <n v="20464.84"/>
    <n v="344.16"/>
    <s v="Credit card"/>
    <s v="Returned"/>
    <s v="Wilson-Smith"/>
    <s v="dbrown@brooks.info"/>
    <n v="40"/>
    <s v="No"/>
    <n v="0"/>
  </r>
  <r>
    <s v="ORD1862"/>
    <x v="226"/>
    <d v="2025-06-02T00:00:00"/>
    <s v="CUST159"/>
    <x v="853"/>
    <x v="0"/>
    <s v="PROD7795"/>
    <s v="Stapler"/>
    <x v="0"/>
    <x v="0"/>
    <x v="46"/>
    <x v="831"/>
    <n v="2"/>
    <n v="894"/>
    <n v="5"/>
    <n v="2043.6"/>
    <n v="1699.31"/>
    <n v="344.29"/>
    <s v="Net Banking"/>
    <s v="Delivered"/>
    <s v="Logan, Murillo and Ramirez"/>
    <s v="kaylabaker@scott.com"/>
    <n v="30"/>
    <s v="No"/>
    <n v="0"/>
  </r>
  <r>
    <s v="ORD1863"/>
    <x v="498"/>
    <d v="2024-07-26T00:00:00"/>
    <s v="CUST344"/>
    <x v="854"/>
    <x v="1"/>
    <s v="PROD7069"/>
    <s v="Rice Bag"/>
    <x v="3"/>
    <x v="3"/>
    <x v="21"/>
    <x v="832"/>
    <n v="6"/>
    <n v="136"/>
    <n v="15"/>
    <n v="1038.5999999999999"/>
    <n v="694.23"/>
    <n v="344.37"/>
    <s v="Net Banking"/>
    <s v="Cancelled"/>
    <s v="Gregory PLC"/>
    <s v="lewistyler@elliott-richardson.org"/>
    <n v="33"/>
    <s v="No"/>
    <n v="0"/>
  </r>
  <r>
    <s v="ORD1864"/>
    <x v="499"/>
    <d v="2024-06-21T00:00:00"/>
    <s v="CUST351"/>
    <x v="855"/>
    <x v="0"/>
    <s v="PROD4490"/>
    <s v="Laptop"/>
    <x v="1"/>
    <x v="0"/>
    <x v="30"/>
    <x v="833"/>
    <n v="7"/>
    <n v="573"/>
    <n v="10"/>
    <n v="3954.9"/>
    <n v="3610.72"/>
    <n v="344.18"/>
    <s v="UPI"/>
    <s v="Returned"/>
    <s v="Chambers-Gonzalez"/>
    <s v="johnsonfrancis@reed-jacobs.com"/>
    <n v="48"/>
    <s v="No"/>
    <n v="0"/>
  </r>
  <r>
    <s v="ORD1865"/>
    <x v="152"/>
    <d v="2024-07-21T00:00:00"/>
    <s v="CUST353"/>
    <x v="856"/>
    <x v="0"/>
    <s v="PROD8148"/>
    <s v="Snacks"/>
    <x v="3"/>
    <x v="0"/>
    <x v="17"/>
    <x v="834"/>
    <n v="7"/>
    <n v="1236"/>
    <n v="20"/>
    <n v="7266.6"/>
    <n v="6922.41"/>
    <n v="344.19"/>
    <s v="UPI"/>
    <s v="Returned"/>
    <s v="Webb-Allen"/>
    <s v="tgreen@kim.com"/>
    <n v="6"/>
    <s v="Yes"/>
    <n v="45"/>
  </r>
  <r>
    <s v="ORD1866"/>
    <x v="243"/>
    <d v="2024-12-31T00:00:00"/>
    <s v="CUST772"/>
    <x v="857"/>
    <x v="2"/>
    <s v="PROD1237"/>
    <s v="Cooking oil"/>
    <x v="3"/>
    <x v="3"/>
    <x v="23"/>
    <x v="835"/>
    <n v="7"/>
    <n v="2156"/>
    <n v="10"/>
    <n v="13927.8"/>
    <n v="13583.44"/>
    <n v="344.36"/>
    <s v="UPI"/>
    <s v="Delivered"/>
    <s v="Williams, Dixon and Miller"/>
    <s v="victoriakelly@bright.com"/>
    <n v="27"/>
    <s v="No"/>
    <n v="0"/>
  </r>
  <r>
    <s v="ORD1867"/>
    <x v="239"/>
    <d v="2025-04-18T00:00:00"/>
    <s v="CUST704"/>
    <x v="858"/>
    <x v="0"/>
    <s v="PROD1576"/>
    <s v="File Folder"/>
    <x v="0"/>
    <x v="3"/>
    <x v="46"/>
    <x v="836"/>
    <n v="10"/>
    <n v="507"/>
    <n v="10"/>
    <n v="4908"/>
    <n v="4563.8500000000004"/>
    <n v="344.15"/>
    <s v="Credit card"/>
    <s v="Pending"/>
    <s v="Ramos, Rodriguez and Browning"/>
    <s v="davidwelch@wheeler.com"/>
    <n v="10"/>
    <s v="No"/>
    <n v="0"/>
  </r>
  <r>
    <s v="ORD1868"/>
    <x v="110"/>
    <d v="2024-04-23T00:00:00"/>
    <s v="CUST665"/>
    <x v="859"/>
    <x v="1"/>
    <s v="PROD3407"/>
    <s v="Monitor"/>
    <x v="1"/>
    <x v="3"/>
    <x v="23"/>
    <x v="837"/>
    <n v="5"/>
    <n v="271"/>
    <n v="15"/>
    <n v="1496.75"/>
    <n v="1152.48"/>
    <n v="344.27"/>
    <s v="Cash"/>
    <s v="Returned"/>
    <s v="Arias-Mills"/>
    <s v="marcus32@price.com"/>
    <n v="13"/>
    <s v="No"/>
    <n v="0"/>
  </r>
  <r>
    <s v="ORD1869"/>
    <x v="61"/>
    <d v="2024-03-22T00:00:00"/>
    <s v="CUST136"/>
    <x v="860"/>
    <x v="1"/>
    <s v="PROD8855"/>
    <s v="Cooking oil"/>
    <x v="3"/>
    <x v="3"/>
    <x v="40"/>
    <x v="838"/>
    <n v="6"/>
    <n v="2434"/>
    <n v="10"/>
    <n v="13710.6"/>
    <n v="13144.32"/>
    <n v="566.28"/>
    <s v="Net Banking"/>
    <s v="Delivered"/>
    <s v="Reese PLC"/>
    <s v="michael48@martinez.com"/>
    <n v="19"/>
    <s v="No"/>
    <n v="0"/>
  </r>
  <r>
    <s v="ORD1870"/>
    <x v="6"/>
    <d v="2024-11-23T00:00:00"/>
    <s v="CUST183"/>
    <x v="861"/>
    <x v="2"/>
    <s v="PROD1925"/>
    <s v="Office Chair"/>
    <x v="2"/>
    <x v="0"/>
    <x v="32"/>
    <x v="839"/>
    <n v="2"/>
    <n v="4611"/>
    <n v="10"/>
    <n v="8866.7999999999993"/>
    <n v="8300.48"/>
    <n v="566.32000000000005"/>
    <s v="Net Banking"/>
    <s v="Cancelled"/>
    <s v="Smith and Sons"/>
    <s v="xlucero@thomas.net"/>
    <n v="5"/>
    <s v="Yes"/>
    <n v="44"/>
  </r>
  <r>
    <s v="ORD1871"/>
    <x v="33"/>
    <d v="2024-07-16T00:00:00"/>
    <s v="CUST406"/>
    <x v="862"/>
    <x v="0"/>
    <s v="PROD1726"/>
    <s v="Stapler"/>
    <x v="0"/>
    <x v="2"/>
    <x v="0"/>
    <x v="840"/>
    <n v="2"/>
    <n v="3499"/>
    <n v="20"/>
    <n v="6165.4"/>
    <n v="5599.21"/>
    <n v="566.19000000000005"/>
    <s v="UPI"/>
    <s v="Cancelled"/>
    <s v="Christian Inc"/>
    <s v="hmooney@parker.biz"/>
    <n v="45"/>
    <s v="No"/>
    <n v="0"/>
  </r>
  <r>
    <s v="ORD1872"/>
    <x v="500"/>
    <d v="2025-03-22T00:00:00"/>
    <s v="CUST456"/>
    <x v="863"/>
    <x v="2"/>
    <s v="PROD9376"/>
    <s v="Pen"/>
    <x v="0"/>
    <x v="2"/>
    <x v="20"/>
    <x v="841"/>
    <n v="6"/>
    <n v="1324"/>
    <n v="0"/>
    <n v="8511"/>
    <n v="7944.84"/>
    <n v="566.16"/>
    <s v="Net Banking"/>
    <s v="Cancelled"/>
    <s v="Peterson, Parrish and Martinez"/>
    <s v="tylerpowell@bruce.net"/>
    <n v="50"/>
    <s v="No"/>
    <n v="0"/>
  </r>
  <r>
    <s v="ORD1873"/>
    <x v="431"/>
    <d v="2024-11-12T00:00:00"/>
    <s v="CUST467"/>
    <x v="864"/>
    <x v="1"/>
    <s v="PROD8585"/>
    <s v="Bookshell"/>
    <x v="2"/>
    <x v="3"/>
    <x v="5"/>
    <x v="842"/>
    <n v="5"/>
    <n v="3463"/>
    <n v="0"/>
    <n v="17882"/>
    <n v="17315.740000000002"/>
    <n v="566.26"/>
    <s v="UPI"/>
    <s v="Delivered"/>
    <s v="Chase-Mann"/>
    <s v="marksjean@morgan.info"/>
    <n v="11"/>
    <s v="No"/>
    <n v="0"/>
  </r>
  <r>
    <s v="ORD1874"/>
    <x v="501"/>
    <d v="2024-04-13T00:00:00"/>
    <s v="CUST401"/>
    <x v="865"/>
    <x v="1"/>
    <s v="PROD1986"/>
    <s v="Dining Table"/>
    <x v="2"/>
    <x v="1"/>
    <x v="14"/>
    <x v="843"/>
    <n v="6"/>
    <n v="4104"/>
    <n v="0"/>
    <n v="25191"/>
    <n v="24624.89"/>
    <n v="566.11"/>
    <s v="Credit card"/>
    <s v="Pending"/>
    <s v="Hernandez-Gonzalez"/>
    <s v="jameswiley@bailey.com"/>
    <n v="31"/>
    <s v="No"/>
    <n v="0"/>
  </r>
  <r>
    <s v="ORD1875"/>
    <x v="502"/>
    <d v="2024-02-05T00:00:00"/>
    <s v="CUST106"/>
    <x v="866"/>
    <x v="0"/>
    <s v="PROD2082"/>
    <s v="Juice Pack"/>
    <x v="3"/>
    <x v="2"/>
    <x v="23"/>
    <x v="844"/>
    <n v="3"/>
    <n v="693"/>
    <n v="15"/>
    <n v="2334.15"/>
    <n v="1767.9"/>
    <n v="566.25"/>
    <s v="UPI"/>
    <s v="Returned"/>
    <s v="Marshall-Shepard"/>
    <s v="stephensronald@schultz-rangel.com"/>
    <n v="47"/>
    <s v="No"/>
    <n v="0"/>
  </r>
  <r>
    <s v="ORD1876"/>
    <x v="503"/>
    <d v="2024-12-30T00:00:00"/>
    <s v="CUST783"/>
    <x v="867"/>
    <x v="2"/>
    <s v="PROD1241"/>
    <s v="Bookshell"/>
    <x v="2"/>
    <x v="3"/>
    <x v="35"/>
    <x v="845"/>
    <n v="6"/>
    <n v="4660"/>
    <n v="10"/>
    <n v="25731"/>
    <n v="25164.66"/>
    <n v="566.34"/>
    <s v="Credit card"/>
    <s v="Delivered"/>
    <s v="Morrison-Dawson"/>
    <s v="hollandrachel@smith.org"/>
    <n v="24"/>
    <s v="No"/>
    <n v="0"/>
  </r>
  <r>
    <s v="ORD1877"/>
    <x v="504"/>
    <d v="2025-08-26T00:00:00"/>
    <s v="CUST141"/>
    <x v="868"/>
    <x v="2"/>
    <s v="PROD5105"/>
    <s v="File Folder"/>
    <x v="0"/>
    <x v="2"/>
    <x v="5"/>
    <x v="846"/>
    <n v="2"/>
    <n v="4017"/>
    <n v="5"/>
    <n v="8199.2999999999993"/>
    <n v="7632.98"/>
    <n v="566.32000000000005"/>
    <s v="UPI"/>
    <s v="Pending"/>
    <s v="Cunningham-Harmon"/>
    <s v="ballkelly@wright-washington.net"/>
    <n v="5"/>
    <s v="Yes"/>
    <n v="42"/>
  </r>
  <r>
    <s v="ORD1878"/>
    <x v="505"/>
    <d v="2025-06-24T00:00:00"/>
    <s v="CUST119"/>
    <x v="869"/>
    <x v="0"/>
    <s v="PROD5586"/>
    <s v="Sugar"/>
    <x v="3"/>
    <x v="0"/>
    <x v="43"/>
    <x v="847"/>
    <n v="3"/>
    <n v="4492"/>
    <n v="10"/>
    <n v="12695.4"/>
    <n v="12129.21"/>
    <n v="566.19000000000005"/>
    <s v="UPI"/>
    <s v="Pending"/>
    <s v="Jackson-Phillips"/>
    <s v="rmiller@cooke.info"/>
    <n v="37"/>
    <s v="No"/>
    <n v="0"/>
  </r>
  <r>
    <s v="ORD1879"/>
    <x v="251"/>
    <d v="2024-04-01T00:00:00"/>
    <s v="CUST624"/>
    <x v="406"/>
    <x v="1"/>
    <s v="PROD8759"/>
    <s v="Rice Bag"/>
    <x v="3"/>
    <x v="3"/>
    <x v="8"/>
    <x v="848"/>
    <n v="10"/>
    <n v="262"/>
    <n v="0"/>
    <n v="3187"/>
    <n v="2620.63"/>
    <n v="566.37"/>
    <s v="Cash"/>
    <s v="Returned"/>
    <s v="Hall PLC"/>
    <s v="jake14@skinner-ellis.org"/>
    <n v="20"/>
    <s v="No"/>
    <n v="0"/>
  </r>
  <r>
    <s v="ORD1880"/>
    <x v="100"/>
    <d v="2024-10-05T00:00:00"/>
    <s v="CUST425"/>
    <x v="870"/>
    <x v="2"/>
    <s v="PROD4132"/>
    <s v="Cooking oil"/>
    <x v="3"/>
    <x v="1"/>
    <x v="27"/>
    <x v="849"/>
    <n v="5"/>
    <n v="1769"/>
    <n v="10"/>
    <n v="8527.5"/>
    <n v="7961.15"/>
    <n v="566.35"/>
    <s v="Net Banking"/>
    <s v="Cancelled"/>
    <s v="Howard-Sanchez"/>
    <s v="denise01@dixon.com"/>
    <n v="4"/>
    <s v="Yes"/>
    <n v="20"/>
  </r>
  <r>
    <s v="ORD1881"/>
    <x v="224"/>
    <d v="2025-06-12T00:00:00"/>
    <s v="CUST332"/>
    <x v="871"/>
    <x v="1"/>
    <s v="PROD7905"/>
    <s v="Pen"/>
    <x v="0"/>
    <x v="2"/>
    <x v="13"/>
    <x v="850"/>
    <n v="1"/>
    <n v="2123"/>
    <n v="10"/>
    <n v="2477.6999999999998"/>
    <n v="1911.49"/>
    <n v="566.21"/>
    <s v="Cash"/>
    <s v="Cancelled"/>
    <s v="Rodgers-Esparza"/>
    <s v="daltondavid@hancock-morris.com"/>
    <n v="23"/>
    <s v="No"/>
    <n v="0"/>
  </r>
  <r>
    <s v="ORD1882"/>
    <x v="396"/>
    <d v="2024-08-29T00:00:00"/>
    <s v="CUST124"/>
    <x v="872"/>
    <x v="0"/>
    <s v="PROD1530"/>
    <s v="Stapler"/>
    <x v="0"/>
    <x v="1"/>
    <x v="40"/>
    <x v="851"/>
    <n v="3"/>
    <n v="659"/>
    <n v="20"/>
    <n v="2148.6"/>
    <n v="1582.26"/>
    <n v="566.34"/>
    <s v="UPI"/>
    <s v="Delivered"/>
    <s v="Hudson Inc"/>
    <s v="humphreysteven@cox.com"/>
    <n v="9"/>
    <s v="Yes"/>
    <n v="22"/>
  </r>
  <r>
    <s v="ORD1883"/>
    <x v="270"/>
    <d v="2024-07-26T00:00:00"/>
    <s v="CUST418"/>
    <x v="873"/>
    <x v="0"/>
    <s v="PROD9783"/>
    <s v="Cooking oil"/>
    <x v="3"/>
    <x v="0"/>
    <x v="43"/>
    <x v="852"/>
    <n v="4"/>
    <n v="2846"/>
    <n v="10"/>
    <n v="10812.6"/>
    <n v="10246.219999999999"/>
    <n v="566.38"/>
    <s v="UPI"/>
    <s v="Cancelled"/>
    <s v="Cortez-Humphrey"/>
    <s v="atkinsonsherri@smith.com"/>
    <n v="0"/>
    <s v="Yes"/>
    <n v="49"/>
  </r>
  <r>
    <s v="ORD1884"/>
    <x v="305"/>
    <d v="2025-05-11T00:00:00"/>
    <s v="CUST299"/>
    <x v="874"/>
    <x v="0"/>
    <s v="PROD4773"/>
    <s v="Dining Table"/>
    <x v="2"/>
    <x v="3"/>
    <x v="47"/>
    <x v="853"/>
    <n v="9"/>
    <n v="3603"/>
    <n v="15"/>
    <n v="28129.95"/>
    <n v="27563.84"/>
    <n v="566.11"/>
    <s v="Cash"/>
    <s v="Returned"/>
    <s v="Gallegos and Sons"/>
    <s v="waltertran@decker.org"/>
    <n v="17"/>
    <s v="No"/>
    <n v="0"/>
  </r>
  <r>
    <s v="ORD1885"/>
    <x v="501"/>
    <d v="2024-04-15T00:00:00"/>
    <s v="CUST739"/>
    <x v="875"/>
    <x v="2"/>
    <s v="PROD3617"/>
    <s v="Mouse"/>
    <x v="1"/>
    <x v="3"/>
    <x v="41"/>
    <x v="854"/>
    <n v="8"/>
    <n v="3937"/>
    <n v="0"/>
    <n v="32063"/>
    <n v="31496.61"/>
    <n v="566.39"/>
    <s v="Net Banking"/>
    <s v="Returned"/>
    <s v="Rubio Inc"/>
    <s v="johnoconnor@hill.biz"/>
    <n v="12"/>
    <s v="No"/>
    <n v="0"/>
  </r>
  <r>
    <s v="ORD1886"/>
    <x v="252"/>
    <d v="2023-12-30T00:00:00"/>
    <s v="CUST207"/>
    <x v="876"/>
    <x v="1"/>
    <s v="PROD3702"/>
    <s v="Cooking oil"/>
    <x v="3"/>
    <x v="1"/>
    <x v="37"/>
    <x v="855"/>
    <n v="7"/>
    <n v="3872"/>
    <n v="10"/>
    <n v="24960.6"/>
    <n v="24394.29"/>
    <n v="566.30999999999995"/>
    <s v="Credit card"/>
    <s v="Delivered"/>
    <s v="Todd PLC"/>
    <s v="shannon43@wright.com"/>
    <n v="19"/>
    <s v="No"/>
    <n v="0"/>
  </r>
  <r>
    <s v="ORD1887"/>
    <x v="266"/>
    <d v="2025-08-15T00:00:00"/>
    <s v="CUST831"/>
    <x v="877"/>
    <x v="2"/>
    <s v="PROD2883"/>
    <s v="Calculator"/>
    <x v="0"/>
    <x v="0"/>
    <x v="42"/>
    <x v="856"/>
    <n v="6"/>
    <n v="407"/>
    <n v="20"/>
    <n v="2520.6"/>
    <n v="1954.49"/>
    <n v="566.11"/>
    <s v="UPI"/>
    <s v="Delivered"/>
    <s v="Watts-Jordan"/>
    <s v="ushaw@carter-nicholson.biz"/>
    <n v="34"/>
    <s v="No"/>
    <n v="0"/>
  </r>
  <r>
    <s v="ORD1888"/>
    <x v="437"/>
    <d v="2024-09-26T00:00:00"/>
    <s v="CUST582"/>
    <x v="878"/>
    <x v="2"/>
    <s v="PROD4795"/>
    <s v="Study Table"/>
    <x v="2"/>
    <x v="1"/>
    <x v="45"/>
    <x v="857"/>
    <n v="10"/>
    <n v="2424"/>
    <n v="5"/>
    <n v="23595"/>
    <n v="23028.77"/>
    <n v="566.23"/>
    <s v="UPI"/>
    <s v="Delivered"/>
    <s v="Brown PLC"/>
    <s v="randy82@hernandez-jackson.com"/>
    <n v="41"/>
    <s v="No"/>
    <n v="0"/>
  </r>
  <r>
    <s v="ORD1889"/>
    <x v="488"/>
    <d v="2024-09-18T00:00:00"/>
    <s v="CUST783"/>
    <x v="879"/>
    <x v="1"/>
    <s v="PROD3645"/>
    <s v="Headphones"/>
    <x v="1"/>
    <x v="3"/>
    <x v="44"/>
    <x v="858"/>
    <n v="6"/>
    <n v="1035"/>
    <n v="20"/>
    <n v="5535"/>
    <n v="4968.72"/>
    <n v="566.28"/>
    <s v="Net Banking"/>
    <s v="Cancelled"/>
    <s v="Watson-Kennedy"/>
    <s v="priscillamorgan@pham.net"/>
    <n v="23"/>
    <s v="No"/>
    <n v="0"/>
  </r>
  <r>
    <s v="ORD1890"/>
    <x v="262"/>
    <d v="2024-09-05T00:00:00"/>
    <s v="CUST415"/>
    <x v="880"/>
    <x v="2"/>
    <s v="PROD8810"/>
    <s v="Calculator"/>
    <x v="0"/>
    <x v="2"/>
    <x v="14"/>
    <x v="859"/>
    <n v="5"/>
    <n v="2608"/>
    <n v="20"/>
    <n v="10999"/>
    <n v="10432.700000000001"/>
    <n v="566.29999999999995"/>
    <s v="Net Banking"/>
    <s v="Returned"/>
    <s v="Quinn LLC"/>
    <s v="elizabethharrell@hughes.com"/>
    <n v="25"/>
    <s v="No"/>
    <n v="0"/>
  </r>
  <r>
    <s v="ORD1891"/>
    <x v="162"/>
    <d v="2025-05-29T00:00:00"/>
    <s v="CUST199"/>
    <x v="881"/>
    <x v="1"/>
    <s v="PROD7467"/>
    <s v="Calculator"/>
    <x v="0"/>
    <x v="1"/>
    <x v="39"/>
    <x v="860"/>
    <n v="7"/>
    <n v="3727"/>
    <n v="0"/>
    <n v="26656"/>
    <n v="26089.65"/>
    <n v="566.35"/>
    <s v="UPI"/>
    <s v="Cancelled"/>
    <s v="Pruitt, Mendoza and Hill"/>
    <s v="matthewfernandez@gill.com"/>
    <n v="11"/>
    <s v="No"/>
    <n v="0"/>
  </r>
  <r>
    <s v="ORD1892"/>
    <x v="36"/>
    <d v="2024-07-12T00:00:00"/>
    <s v="CUST643"/>
    <x v="882"/>
    <x v="0"/>
    <s v="PROD5216"/>
    <s v="Cooking oil"/>
    <x v="3"/>
    <x v="0"/>
    <x v="1"/>
    <x v="861"/>
    <n v="6"/>
    <n v="3113"/>
    <n v="15"/>
    <n v="16443.3"/>
    <n v="15877.05"/>
    <n v="566.25"/>
    <s v="UPI"/>
    <s v="Pending"/>
    <s v="Howard, Carter and Shah"/>
    <s v="amandamartinez@atkins.biz"/>
    <n v="21"/>
    <s v="No"/>
    <n v="0"/>
  </r>
  <r>
    <s v="ORD1893"/>
    <x v="157"/>
    <d v="2025-04-06T00:00:00"/>
    <s v="CUST499"/>
    <x v="883"/>
    <x v="1"/>
    <s v="PROD9059"/>
    <s v="Sugar"/>
    <x v="3"/>
    <x v="3"/>
    <x v="26"/>
    <x v="862"/>
    <n v="6"/>
    <n v="1262"/>
    <n v="20"/>
    <n v="6624.6"/>
    <n v="6058.44"/>
    <n v="566.16"/>
    <s v="UPI"/>
    <s v="Pending"/>
    <s v="Wilson-Edwards"/>
    <s v="larsonkelli@ortiz.com"/>
    <n v="40"/>
    <s v="No"/>
    <n v="0"/>
  </r>
  <r>
    <s v="ORD1894"/>
    <x v="506"/>
    <d v="2025-08-20T00:00:00"/>
    <s v="CUST750"/>
    <x v="884"/>
    <x v="0"/>
    <s v="PROD6668"/>
    <s v="Rice Bag"/>
    <x v="3"/>
    <x v="2"/>
    <x v="27"/>
    <x v="863"/>
    <n v="1"/>
    <n v="4994"/>
    <n v="15"/>
    <n v="4811.8999999999996"/>
    <n v="4245.6099999999997"/>
    <n v="566.29"/>
    <s v="Cash"/>
    <s v="Pending"/>
    <s v="Wagner-Robinson"/>
    <s v="colonjoshua@green.com"/>
    <n v="10"/>
    <s v="No"/>
    <n v="0"/>
  </r>
  <r>
    <s v="ORD1895"/>
    <x v="425"/>
    <d v="2024-09-24T00:00:00"/>
    <s v="CUST379"/>
    <x v="885"/>
    <x v="0"/>
    <s v="PROD7588"/>
    <s v="Study Table"/>
    <x v="2"/>
    <x v="1"/>
    <x v="35"/>
    <x v="864"/>
    <n v="7"/>
    <n v="4849"/>
    <n v="20"/>
    <n v="27721.4"/>
    <n v="27155.27"/>
    <n v="566.13"/>
    <s v="Cash"/>
    <s v="Delivered"/>
    <s v="Mccoy, Holmes and Rodgers"/>
    <s v="olewis@frank.com"/>
    <n v="40"/>
    <s v="No"/>
    <n v="0"/>
  </r>
  <r>
    <s v="ORD1896"/>
    <x v="507"/>
    <d v="2025-03-27T00:00:00"/>
    <s v="CUST323"/>
    <x v="886"/>
    <x v="0"/>
    <s v="PROD1734"/>
    <s v="Calculator"/>
    <x v="0"/>
    <x v="0"/>
    <x v="42"/>
    <x v="865"/>
    <n v="4"/>
    <n v="3011"/>
    <n v="20"/>
    <n v="10202.200000000001"/>
    <n v="9636.0499999999993"/>
    <n v="566.15"/>
    <s v="Credit card"/>
    <s v="Delivered"/>
    <s v="Roman and Sons"/>
    <s v="curtismelissa@cline.com"/>
    <n v="27"/>
    <s v="No"/>
    <n v="0"/>
  </r>
  <r>
    <s v="ORD1897"/>
    <x v="157"/>
    <d v="2025-04-06T00:00:00"/>
    <s v="CUST182"/>
    <x v="887"/>
    <x v="1"/>
    <s v="PROD1147"/>
    <s v="Sofa"/>
    <x v="2"/>
    <x v="0"/>
    <x v="27"/>
    <x v="822"/>
    <n v="4"/>
    <n v="4418"/>
    <n v="0"/>
    <n v="18239"/>
    <n v="17672.87"/>
    <n v="566.13"/>
    <s v="Net Banking"/>
    <s v="Pending"/>
    <s v="Martin-Rose"/>
    <s v="hannahdillon@hernandez.com"/>
    <n v="10"/>
    <s v="No"/>
    <n v="0"/>
  </r>
  <r>
    <s v="ORD1898"/>
    <x v="58"/>
    <d v="2024-08-12T00:00:00"/>
    <s v="CUST897"/>
    <x v="888"/>
    <x v="0"/>
    <s v="PROD6091"/>
    <s v="Dining Table"/>
    <x v="2"/>
    <x v="2"/>
    <x v="10"/>
    <x v="866"/>
    <n v="7"/>
    <n v="3994"/>
    <n v="5"/>
    <n v="27127.1"/>
    <n v="26560.95"/>
    <n v="566.15"/>
    <s v="UPI"/>
    <s v="Delivered"/>
    <s v="Meyer and Sons"/>
    <s v="bairdsusan@good-johnson.com"/>
    <n v="6"/>
    <s v="Yes"/>
    <n v="25"/>
  </r>
  <r>
    <s v="ORD1899"/>
    <x v="336"/>
    <d v="2024-09-04T00:00:00"/>
    <s v="CUST117"/>
    <x v="889"/>
    <x v="2"/>
    <s v="PROD8532"/>
    <s v="Juice Pack"/>
    <x v="3"/>
    <x v="2"/>
    <x v="3"/>
    <x v="867"/>
    <n v="4"/>
    <n v="500"/>
    <n v="15"/>
    <n v="2267"/>
    <n v="1700.6"/>
    <n v="566.4"/>
    <s v="Cash"/>
    <s v="Cancelled"/>
    <s v="Burnett Ltd"/>
    <s v="jesus46@jefferson.net"/>
    <n v="11"/>
    <s v="No"/>
    <n v="0"/>
  </r>
  <r>
    <s v="ORD1900"/>
    <x v="489"/>
    <d v="2025-04-10T00:00:00"/>
    <s v="CUST458"/>
    <x v="890"/>
    <x v="2"/>
    <s v="PROD6351"/>
    <s v="Sofa"/>
    <x v="2"/>
    <x v="2"/>
    <x v="15"/>
    <x v="868"/>
    <n v="4"/>
    <n v="4165"/>
    <n v="10"/>
    <n v="15561"/>
    <n v="14994.71"/>
    <n v="566.29"/>
    <s v="Credit card"/>
    <s v="Delivered"/>
    <s v="Torres and Sons"/>
    <s v="brianolson@johnson.com"/>
    <n v="14"/>
    <s v="No"/>
    <n v="0"/>
  </r>
  <r>
    <s v="ORD1901"/>
    <x v="508"/>
    <d v="2024-04-28T00:00:00"/>
    <s v="CUST385"/>
    <x v="891"/>
    <x v="2"/>
    <s v="PROD1481"/>
    <s v="Juice Pack"/>
    <x v="3"/>
    <x v="1"/>
    <x v="5"/>
    <x v="869"/>
    <n v="6"/>
    <n v="1239"/>
    <n v="0"/>
    <n v="8001"/>
    <n v="7434.75"/>
    <n v="566.25"/>
    <s v="Net Banking"/>
    <s v="Returned"/>
    <s v="Johnson, Schmitt and Harris"/>
    <s v="jonesamy@cortez.com"/>
    <n v="37"/>
    <s v="No"/>
    <n v="0"/>
  </r>
  <r>
    <s v="ORD1902"/>
    <x v="509"/>
    <d v="2025-01-10T00:00:00"/>
    <s v="CUST566"/>
    <x v="892"/>
    <x v="1"/>
    <s v="PROD8276"/>
    <s v="Snacks"/>
    <x v="3"/>
    <x v="0"/>
    <x v="41"/>
    <x v="870"/>
    <n v="7"/>
    <n v="3861"/>
    <n v="10"/>
    <n v="24891.3"/>
    <n v="24324.93"/>
    <n v="566.37"/>
    <s v="UPI"/>
    <s v="Returned"/>
    <s v="Morris PLC"/>
    <s v="uwilliams@schmidt.org"/>
    <n v="45"/>
    <s v="No"/>
    <n v="0"/>
  </r>
  <r>
    <s v="ORD1903"/>
    <x v="510"/>
    <d v="2025-10-30T00:00:00"/>
    <s v="CUST954"/>
    <x v="893"/>
    <x v="2"/>
    <s v="PROD1778"/>
    <s v="Dining Table"/>
    <x v="2"/>
    <x v="0"/>
    <x v="37"/>
    <x v="871"/>
    <n v="6"/>
    <n v="1801"/>
    <n v="15"/>
    <n v="9752.1"/>
    <n v="9185.94"/>
    <n v="566.16"/>
    <s v="Net Banking"/>
    <s v="Delivered"/>
    <s v="Huff-Lee"/>
    <s v="qreed@terry-montgomery.org"/>
    <n v="32"/>
    <s v="No"/>
    <n v="0"/>
  </r>
  <r>
    <s v="ORD1904"/>
    <x v="164"/>
    <d v="2024-12-16T00:00:00"/>
    <s v="CUST960"/>
    <x v="894"/>
    <x v="0"/>
    <s v="PROD4748"/>
    <s v="Calculator"/>
    <x v="0"/>
    <x v="3"/>
    <x v="11"/>
    <x v="872"/>
    <n v="2"/>
    <n v="1188"/>
    <n v="15"/>
    <n v="2586.6"/>
    <n v="2020.41"/>
    <n v="566.19000000000005"/>
    <s v="UPI"/>
    <s v="Delivered"/>
    <s v="Wheeler, Hayes and Tucker"/>
    <s v="kramirez@smith.com"/>
    <n v="16"/>
    <s v="No"/>
    <n v="0"/>
  </r>
  <r>
    <s v="ORD1905"/>
    <x v="403"/>
    <d v="2025-02-01T00:00:00"/>
    <s v="CUST522"/>
    <x v="895"/>
    <x v="2"/>
    <s v="PROD2723"/>
    <s v="Juice Pack"/>
    <x v="3"/>
    <x v="0"/>
    <x v="35"/>
    <x v="873"/>
    <n v="5"/>
    <n v="1334"/>
    <n v="5"/>
    <n v="6903.5"/>
    <n v="6337.35"/>
    <n v="566.15"/>
    <s v="Cash"/>
    <s v="Pending"/>
    <s v="Humphrey, Davis and Payne"/>
    <s v="thomasmaria@watson.com"/>
    <n v="7"/>
    <s v="Yes"/>
    <n v="44"/>
  </r>
  <r>
    <s v="ORD1906"/>
    <x v="425"/>
    <d v="2024-09-25T00:00:00"/>
    <s v="CUST396"/>
    <x v="896"/>
    <x v="0"/>
    <s v="PROD4713"/>
    <s v="File Folder"/>
    <x v="0"/>
    <x v="2"/>
    <x v="31"/>
    <x v="874"/>
    <n v="1"/>
    <n v="4637"/>
    <n v="5"/>
    <n v="4972.1499999999996"/>
    <n v="4405.78"/>
    <n v="566.37"/>
    <s v="Net Banking"/>
    <s v="Delivered"/>
    <s v="Lewis, Miller and Allen"/>
    <s v="williamsdiane@henson.com"/>
    <n v="19"/>
    <s v="No"/>
    <n v="0"/>
  </r>
  <r>
    <s v="ORD1907"/>
    <x v="511"/>
    <d v="2025-04-10T00:00:00"/>
    <s v="CUST682"/>
    <x v="897"/>
    <x v="1"/>
    <s v="PROD3284"/>
    <s v="Sugar"/>
    <x v="3"/>
    <x v="3"/>
    <x v="6"/>
    <x v="875"/>
    <n v="10"/>
    <n v="4921"/>
    <n v="15"/>
    <n v="42395.5"/>
    <n v="41829.230000000003"/>
    <n v="566.27"/>
    <s v="UPI"/>
    <s v="Returned"/>
    <s v="Jones-Whitehead"/>
    <s v="cheryl70@jenkins-miller.org"/>
    <n v="21"/>
    <s v="No"/>
    <n v="0"/>
  </r>
  <r>
    <s v="ORD1908"/>
    <x v="435"/>
    <d v="2024-03-31T00:00:00"/>
    <s v="CUST847"/>
    <x v="898"/>
    <x v="2"/>
    <s v="PROD6451"/>
    <s v="Headphones"/>
    <x v="1"/>
    <x v="3"/>
    <x v="39"/>
    <x v="876"/>
    <n v="8"/>
    <n v="1817"/>
    <n v="5"/>
    <n v="14376.2"/>
    <n v="13810.01"/>
    <n v="566.19000000000005"/>
    <s v="Credit card"/>
    <s v="Cancelled"/>
    <s v="Hall-Stevenson"/>
    <s v="charlesfriedman@wiley.com"/>
    <n v="39"/>
    <s v="No"/>
    <n v="0"/>
  </r>
  <r>
    <s v="ORD1909"/>
    <x v="225"/>
    <d v="2025-06-19T00:00:00"/>
    <s v="CUST263"/>
    <x v="899"/>
    <x v="1"/>
    <s v="PROD8722"/>
    <s v="Office Chair"/>
    <x v="2"/>
    <x v="2"/>
    <x v="46"/>
    <x v="877"/>
    <n v="3"/>
    <n v="3987"/>
    <n v="15"/>
    <n v="10733.85"/>
    <n v="10167.620000000001"/>
    <n v="566.23"/>
    <s v="Cash"/>
    <s v="Delivered"/>
    <s v="Johnson-Morrow"/>
    <s v="greenekenneth@flores.com"/>
    <n v="10"/>
    <s v="No"/>
    <n v="0"/>
  </r>
  <r>
    <s v="ORD1910"/>
    <x v="512"/>
    <d v="2025-05-13T00:00:00"/>
    <s v="CUST142"/>
    <x v="900"/>
    <x v="0"/>
    <s v="PROD9654"/>
    <s v="Snacks"/>
    <x v="3"/>
    <x v="0"/>
    <x v="5"/>
    <x v="878"/>
    <n v="3"/>
    <n v="3535"/>
    <n v="10"/>
    <n v="10111.5"/>
    <n v="9545.1299999999992"/>
    <n v="566.37"/>
    <s v="Credit card"/>
    <s v="Cancelled"/>
    <s v="Henderson LLC"/>
    <s v="scastillo@hudson-warren.com"/>
    <n v="17"/>
    <s v="No"/>
    <n v="0"/>
  </r>
  <r>
    <s v="ORD1911"/>
    <x v="306"/>
    <d v="2024-12-21T00:00:00"/>
    <s v="CUST818"/>
    <x v="901"/>
    <x v="0"/>
    <s v="PROD1007"/>
    <s v="Stapler"/>
    <x v="0"/>
    <x v="2"/>
    <x v="22"/>
    <x v="879"/>
    <n v="7"/>
    <n v="520"/>
    <n v="0"/>
    <n v="4207"/>
    <n v="3640.65"/>
    <n v="566.35"/>
    <s v="Credit card"/>
    <s v="Cancelled"/>
    <s v="Page-Wheeler"/>
    <s v="matthewberger@hudson-vasquez.com"/>
    <n v="6"/>
    <s v="Yes"/>
    <n v="49"/>
  </r>
  <r>
    <s v="ORD1912"/>
    <x v="508"/>
    <d v="2024-04-27T00:00:00"/>
    <s v="CUST207"/>
    <x v="902"/>
    <x v="1"/>
    <s v="PROD5661"/>
    <s v="Dining Table"/>
    <x v="2"/>
    <x v="0"/>
    <x v="49"/>
    <x v="880"/>
    <n v="2"/>
    <n v="870"/>
    <n v="5"/>
    <n v="2220"/>
    <n v="1653.87"/>
    <n v="566.13"/>
    <s v="UPI"/>
    <s v="Cancelled"/>
    <s v="Kidd, Johnson and Clark"/>
    <s v="igonzalez@chambers.biz"/>
    <n v="11"/>
    <s v="No"/>
    <n v="0"/>
  </r>
  <r>
    <s v="ORD1913"/>
    <x v="150"/>
    <d v="2024-12-15T00:00:00"/>
    <s v="CUST873"/>
    <x v="903"/>
    <x v="1"/>
    <s v="PROD5364"/>
    <s v="Study Table"/>
    <x v="2"/>
    <x v="3"/>
    <x v="33"/>
    <x v="881"/>
    <n v="10"/>
    <n v="1108"/>
    <n v="0"/>
    <n v="11647"/>
    <n v="11080.73"/>
    <n v="566.27"/>
    <s v="Cash"/>
    <s v="Returned"/>
    <s v="Johnson, Wilson and Deleon"/>
    <s v="brookeburke@cohen.com"/>
    <n v="47"/>
    <s v="No"/>
    <n v="0"/>
  </r>
  <r>
    <s v="ORD1914"/>
    <x v="357"/>
    <d v="2024-08-22T00:00:00"/>
    <s v="CUST289"/>
    <x v="904"/>
    <x v="1"/>
    <s v="PROD6606"/>
    <s v="Laptop"/>
    <x v="1"/>
    <x v="2"/>
    <x v="48"/>
    <x v="882"/>
    <n v="4"/>
    <n v="3689"/>
    <n v="20"/>
    <n v="12371.8"/>
    <n v="11805.63"/>
    <n v="566.16999999999996"/>
    <s v="Net Banking"/>
    <s v="Cancelled"/>
    <s v="Jimenez, Gregory and Mcclure"/>
    <s v="frazierkelly@macdonald.biz"/>
    <n v="49"/>
    <s v="No"/>
    <n v="0"/>
  </r>
  <r>
    <s v="ORD1915"/>
    <x v="468"/>
    <d v="2025-08-02T00:00:00"/>
    <s v="CUST964"/>
    <x v="905"/>
    <x v="1"/>
    <s v="PROD1823"/>
    <s v="Office Chair"/>
    <x v="2"/>
    <x v="3"/>
    <x v="29"/>
    <x v="883"/>
    <n v="6"/>
    <n v="4315"/>
    <n v="15"/>
    <n v="22573.5"/>
    <n v="22007.15"/>
    <n v="566.35"/>
    <s v="UPI"/>
    <s v="Pending"/>
    <s v="Ward LLC"/>
    <s v="christina21@richardson.com"/>
    <n v="6"/>
    <s v="Yes"/>
    <n v="47"/>
  </r>
  <r>
    <s v="ORD1916"/>
    <x v="332"/>
    <d v="2024-07-13T00:00:00"/>
    <s v="CUST575"/>
    <x v="906"/>
    <x v="0"/>
    <s v="PROD1349"/>
    <s v="Stapler"/>
    <x v="0"/>
    <x v="3"/>
    <x v="9"/>
    <x v="884"/>
    <n v="9"/>
    <n v="551"/>
    <n v="20"/>
    <n v="4534.2"/>
    <n v="3967.93"/>
    <n v="566.27"/>
    <s v="Cash"/>
    <s v="Pending"/>
    <s v="Thomas, Hurley and Johnson"/>
    <s v="laurarobertson@ray.net"/>
    <n v="48"/>
    <s v="No"/>
    <n v="0"/>
  </r>
  <r>
    <s v="ORD1917"/>
    <x v="88"/>
    <d v="2025-04-04T00:00:00"/>
    <s v="CUST875"/>
    <x v="907"/>
    <x v="2"/>
    <s v="PROD3844"/>
    <s v="Sofa"/>
    <x v="2"/>
    <x v="1"/>
    <x v="37"/>
    <x v="885"/>
    <n v="2"/>
    <n v="4820"/>
    <n v="15"/>
    <n v="8761"/>
    <n v="8194.7999999999993"/>
    <n v="566.20000000000005"/>
    <s v="Net Banking"/>
    <s v="Cancelled"/>
    <s v="Douglas Group"/>
    <s v="johnsonholly@thomas-boyd.com"/>
    <n v="32"/>
    <s v="No"/>
    <n v="0"/>
  </r>
  <r>
    <s v="ORD1918"/>
    <x v="513"/>
    <d v="2023-12-10T00:00:00"/>
    <s v="CUST571"/>
    <x v="908"/>
    <x v="0"/>
    <s v="PROD9724"/>
    <s v="Laptop"/>
    <x v="1"/>
    <x v="0"/>
    <x v="45"/>
    <x v="886"/>
    <n v="2"/>
    <n v="2675"/>
    <n v="15"/>
    <n v="5114.5"/>
    <n v="4548.26"/>
    <n v="566.24"/>
    <s v="Cash"/>
    <s v="Delivered"/>
    <s v="Cummings Group"/>
    <s v="dsullivan@miller.org"/>
    <n v="15"/>
    <s v="No"/>
    <n v="0"/>
  </r>
  <r>
    <s v="ORD1919"/>
    <x v="113"/>
    <d v="2025-10-17T00:00:00"/>
    <s v="CUST868"/>
    <x v="909"/>
    <x v="0"/>
    <s v="PROD1842"/>
    <s v="Mouse"/>
    <x v="1"/>
    <x v="2"/>
    <x v="37"/>
    <x v="887"/>
    <n v="2"/>
    <n v="229"/>
    <n v="20"/>
    <n v="933.4"/>
    <n v="367.21"/>
    <n v="566.19000000000005"/>
    <s v="Cash"/>
    <s v="Cancelled"/>
    <s v="Martin, Nichols and Dunlap"/>
    <s v="pjackson@herman.biz"/>
    <n v="37"/>
    <s v="No"/>
    <n v="0"/>
  </r>
  <r>
    <s v="ORD1920"/>
    <x v="55"/>
    <d v="2023-12-18T00:00:00"/>
    <s v="CUST544"/>
    <x v="910"/>
    <x v="1"/>
    <s v="PROD3969"/>
    <s v="Office Chair"/>
    <x v="2"/>
    <x v="1"/>
    <x v="2"/>
    <x v="888"/>
    <n v="4"/>
    <n v="3234"/>
    <n v="10"/>
    <n v="12209.4"/>
    <n v="11643.07"/>
    <n v="566.33000000000004"/>
    <s v="Cash"/>
    <s v="Pending"/>
    <s v="Wilson PLC"/>
    <s v="lsimon@miller.com"/>
    <n v="22"/>
    <s v="No"/>
    <n v="0"/>
  </r>
  <r>
    <s v="ORD1921"/>
    <x v="514"/>
    <d v="2024-03-05T00:00:00"/>
    <s v="CUST392"/>
    <x v="911"/>
    <x v="2"/>
    <s v="PROD2400"/>
    <s v="Snacks"/>
    <x v="3"/>
    <x v="3"/>
    <x v="5"/>
    <x v="889"/>
    <n v="10"/>
    <n v="1095"/>
    <n v="10"/>
    <n v="10422"/>
    <n v="9855.83"/>
    <n v="566.16999999999996"/>
    <s v="UPI"/>
    <s v="Cancelled"/>
    <s v="Drake, Allen and Francis"/>
    <s v="jamesbooker@garcia.com"/>
    <n v="32"/>
    <s v="No"/>
    <n v="0"/>
  </r>
  <r>
    <s v="ORD1922"/>
    <x v="128"/>
    <d v="2024-04-12T00:00:00"/>
    <s v="CUST902"/>
    <x v="912"/>
    <x v="2"/>
    <s v="PROD6733"/>
    <s v="Sofa"/>
    <x v="2"/>
    <x v="0"/>
    <x v="44"/>
    <x v="890"/>
    <n v="8"/>
    <n v="4622"/>
    <n v="5"/>
    <n v="35694.199999999997"/>
    <n v="35127.93"/>
    <n v="566.27"/>
    <s v="Cash"/>
    <s v="Returned"/>
    <s v="Wright Inc"/>
    <s v="angie39@bell-torres.com"/>
    <n v="4"/>
    <s v="Yes"/>
    <n v="35"/>
  </r>
  <r>
    <s v="ORD1923"/>
    <x v="515"/>
    <d v="2025-04-29T00:00:00"/>
    <s v="CUST740"/>
    <x v="913"/>
    <x v="1"/>
    <s v="PROD3308"/>
    <s v="Sugar"/>
    <x v="3"/>
    <x v="1"/>
    <x v="42"/>
    <x v="891"/>
    <n v="4"/>
    <n v="4169"/>
    <n v="15"/>
    <n v="14741.6"/>
    <n v="14175.4"/>
    <n v="566.20000000000005"/>
    <s v="UPI"/>
    <s v="Returned"/>
    <s v="Norris-Phillips"/>
    <s v="kyle23@thomas-jordan.info"/>
    <n v="22"/>
    <s v="No"/>
    <n v="0"/>
  </r>
  <r>
    <s v="ORD1924"/>
    <x v="516"/>
    <d v="2025-02-28T00:00:00"/>
    <s v="CUST516"/>
    <x v="914"/>
    <x v="1"/>
    <s v="PROD1241"/>
    <s v="Juice Pack"/>
    <x v="3"/>
    <x v="3"/>
    <x v="19"/>
    <x v="892"/>
    <n v="3"/>
    <n v="990"/>
    <n v="5"/>
    <n v="3388.5"/>
    <n v="2822.34"/>
    <n v="566.16"/>
    <s v="UPI"/>
    <s v="Pending"/>
    <s v="Perry-Martinez"/>
    <s v="jonessabrina@gill.com"/>
    <n v="26"/>
    <s v="No"/>
    <n v="0"/>
  </r>
  <r>
    <s v="ORD1925"/>
    <x v="146"/>
    <d v="2024-12-23T00:00:00"/>
    <s v="CUST210"/>
    <x v="915"/>
    <x v="2"/>
    <s v="PROD4025"/>
    <s v="Sugar"/>
    <x v="3"/>
    <x v="3"/>
    <x v="9"/>
    <x v="893"/>
    <n v="6"/>
    <n v="834"/>
    <n v="0"/>
    <n v="5571"/>
    <n v="5004.63"/>
    <n v="566.37"/>
    <s v="Net Banking"/>
    <s v="Delivered"/>
    <s v="Chavez Group"/>
    <s v="rebekahtaylor@osborne-campbell.net"/>
    <n v="28"/>
    <s v="No"/>
    <n v="0"/>
  </r>
  <r>
    <s v="ORD1926"/>
    <x v="517"/>
    <d v="2024-11-22T00:00:00"/>
    <s v="CUST436"/>
    <x v="916"/>
    <x v="1"/>
    <s v="PROD2981"/>
    <s v="Office Chair"/>
    <x v="2"/>
    <x v="0"/>
    <x v="31"/>
    <x v="894"/>
    <n v="3"/>
    <n v="4283"/>
    <n v="20"/>
    <n v="10846.2"/>
    <n v="10279.85"/>
    <n v="566.35"/>
    <s v="Cash"/>
    <s v="Cancelled"/>
    <s v="Harper, Houston and Davis"/>
    <s v="andreapeterson@herrera-garrett.net"/>
    <n v="17"/>
    <s v="No"/>
    <n v="0"/>
  </r>
  <r>
    <s v="ORD1927"/>
    <x v="240"/>
    <d v="2024-08-01T00:00:00"/>
    <s v="CUST153"/>
    <x v="917"/>
    <x v="0"/>
    <s v="PROD9522"/>
    <s v="Pen"/>
    <x v="0"/>
    <x v="2"/>
    <x v="33"/>
    <x v="895"/>
    <n v="7"/>
    <n v="4829"/>
    <n v="20"/>
    <n v="27609.4"/>
    <n v="27043.119999999999"/>
    <n v="566.28"/>
    <s v="UPI"/>
    <s v="Returned"/>
    <s v="Anderson-Martin"/>
    <s v="perkinslisa@pace-jones.biz"/>
    <n v="16"/>
    <s v="No"/>
    <n v="0"/>
  </r>
  <r>
    <s v="ORD1928"/>
    <x v="223"/>
    <d v="2025-04-25T00:00:00"/>
    <s v="CUST416"/>
    <x v="918"/>
    <x v="2"/>
    <s v="PROD4749"/>
    <s v="Stapler"/>
    <x v="0"/>
    <x v="2"/>
    <x v="3"/>
    <x v="896"/>
    <n v="8"/>
    <n v="4529"/>
    <n v="5"/>
    <n v="34987.4"/>
    <n v="34421.18"/>
    <n v="566.22"/>
    <s v="Net Banking"/>
    <s v="Delivered"/>
    <s v="Espinoza PLC"/>
    <s v="imoyer@white.com"/>
    <n v="25"/>
    <s v="No"/>
    <n v="0"/>
  </r>
  <r>
    <s v="ORD1929"/>
    <x v="518"/>
    <d v="2025-03-23T00:00:00"/>
    <s v="CUST581"/>
    <x v="919"/>
    <x v="2"/>
    <s v="PROD9320"/>
    <s v="Rice Bag"/>
    <x v="3"/>
    <x v="1"/>
    <x v="7"/>
    <x v="897"/>
    <n v="5"/>
    <n v="4707"/>
    <n v="20"/>
    <n v="19395"/>
    <n v="18828.66"/>
    <n v="566.34"/>
    <s v="Credit card"/>
    <s v="Returned"/>
    <s v="Woodard PLC"/>
    <s v="zsmith@woodward-hunt.com"/>
    <n v="29"/>
    <s v="No"/>
    <n v="0"/>
  </r>
  <r>
    <s v="ORD1930"/>
    <x v="519"/>
    <d v="2025-08-05T00:00:00"/>
    <s v="CUST196"/>
    <x v="920"/>
    <x v="2"/>
    <s v="PROD3007"/>
    <s v="Office Chair"/>
    <x v="2"/>
    <x v="0"/>
    <x v="8"/>
    <x v="898"/>
    <n v="7"/>
    <n v="2231"/>
    <n v="20"/>
    <n v="13060.6"/>
    <n v="12494.38"/>
    <n v="566.22"/>
    <s v="Cash"/>
    <s v="Pending"/>
    <s v="Chambers-Christensen"/>
    <s v="brownjames@walker.com"/>
    <n v="2"/>
    <s v="Yes"/>
    <n v="39"/>
  </r>
  <r>
    <s v="ORD1931"/>
    <x v="520"/>
    <d v="2024-02-16T00:00:00"/>
    <s v="CUST127"/>
    <x v="921"/>
    <x v="1"/>
    <s v="PROD1986"/>
    <s v="Sugar"/>
    <x v="3"/>
    <x v="0"/>
    <x v="6"/>
    <x v="899"/>
    <n v="10"/>
    <n v="1183"/>
    <n v="20"/>
    <n v="10031"/>
    <n v="9464.6299999999992"/>
    <n v="566.37"/>
    <s v="Net Banking"/>
    <s v="Pending"/>
    <s v="Howell-Castillo"/>
    <s v="schristensen@green-blanchard.net"/>
    <n v="19"/>
    <s v="No"/>
    <n v="0"/>
  </r>
  <r>
    <s v="ORD1932"/>
    <x v="78"/>
    <d v="2024-01-07T00:00:00"/>
    <s v="CUST440"/>
    <x v="922"/>
    <x v="1"/>
    <s v="PROD2699"/>
    <s v="Rice Bag"/>
    <x v="3"/>
    <x v="3"/>
    <x v="49"/>
    <x v="900"/>
    <n v="8"/>
    <n v="656"/>
    <n v="0"/>
    <n v="5815"/>
    <n v="5248.68"/>
    <n v="566.32000000000005"/>
    <s v="Cash"/>
    <s v="Delivered"/>
    <s v="Calderon, Alexander and Cooper"/>
    <s v="oscar73@murphy-hunt.com"/>
    <n v="32"/>
    <s v="No"/>
    <n v="0"/>
  </r>
  <r>
    <s v="ORD1933"/>
    <x v="74"/>
    <d v="2025-07-02T00:00:00"/>
    <s v="CUST906"/>
    <x v="923"/>
    <x v="0"/>
    <s v="PROD5113"/>
    <s v="Snacks"/>
    <x v="3"/>
    <x v="2"/>
    <x v="12"/>
    <x v="901"/>
    <n v="8"/>
    <n v="1044"/>
    <n v="10"/>
    <n v="8083.8"/>
    <n v="7517.55"/>
    <n v="566.25"/>
    <s v="Net Banking"/>
    <s v="Cancelled"/>
    <s v="Lee, Christian and James"/>
    <s v="kennedyjoshua@beck.com"/>
    <n v="50"/>
    <s v="No"/>
    <n v="0"/>
  </r>
  <r>
    <s v="ORD1934"/>
    <x v="421"/>
    <d v="2025-05-03T00:00:00"/>
    <s v="CUST678"/>
    <x v="924"/>
    <x v="1"/>
    <s v="PROD4113"/>
    <s v="Cooking oil"/>
    <x v="3"/>
    <x v="1"/>
    <x v="0"/>
    <x v="902"/>
    <n v="2"/>
    <n v="472"/>
    <n v="10"/>
    <n v="1416.6"/>
    <n v="850.45"/>
    <n v="566.15"/>
    <s v="Credit card"/>
    <s v="Pending"/>
    <s v="Evans, Campbell and Howard"/>
    <s v="matthewjackson@peterson.org"/>
    <n v="38"/>
    <s v="No"/>
    <n v="0"/>
  </r>
  <r>
    <s v="ORD1935"/>
    <x v="472"/>
    <d v="2025-03-16T00:00:00"/>
    <s v="CUST503"/>
    <x v="925"/>
    <x v="0"/>
    <s v="PROD3558"/>
    <s v="Snacks"/>
    <x v="3"/>
    <x v="1"/>
    <x v="36"/>
    <x v="903"/>
    <n v="7"/>
    <n v="2533"/>
    <n v="20"/>
    <n v="14751.8"/>
    <n v="14185.65"/>
    <n v="566.15"/>
    <s v="UPI"/>
    <s v="Delivered"/>
    <s v="Evans-Whitehead"/>
    <s v="jonathon80@santana-berry.com"/>
    <n v="21"/>
    <s v="No"/>
    <n v="0"/>
  </r>
  <r>
    <s v="ORD1936"/>
    <x v="267"/>
    <d v="2024-09-18T00:00:00"/>
    <s v="CUST955"/>
    <x v="926"/>
    <x v="1"/>
    <s v="PROD3139"/>
    <s v="Cooking oil"/>
    <x v="3"/>
    <x v="1"/>
    <x v="2"/>
    <x v="904"/>
    <n v="2"/>
    <n v="3929"/>
    <n v="10"/>
    <n v="7639.2"/>
    <n v="7072.96"/>
    <n v="566.24"/>
    <s v="Net Banking"/>
    <s v="Cancelled"/>
    <s v="Peterson-Walsh"/>
    <s v="edward20@mendez.com"/>
    <n v="48"/>
    <s v="No"/>
    <n v="0"/>
  </r>
  <r>
    <s v="ORD1937"/>
    <x v="409"/>
    <d v="2025-10-16T00:00:00"/>
    <s v="CUST208"/>
    <x v="927"/>
    <x v="2"/>
    <s v="PROD8802"/>
    <s v="Sofa"/>
    <x v="2"/>
    <x v="0"/>
    <x v="15"/>
    <x v="905"/>
    <n v="5"/>
    <n v="429"/>
    <n v="5"/>
    <n v="2604.75"/>
    <n v="2038.6"/>
    <n v="566.15"/>
    <s v="Credit card"/>
    <s v="Delivered"/>
    <s v="Rice PLC"/>
    <s v="teresarowland@stewart.biz"/>
    <n v="33"/>
    <s v="No"/>
    <n v="0"/>
  </r>
  <r>
    <s v="ORD1938"/>
    <x v="443"/>
    <d v="2025-09-05T00:00:00"/>
    <s v="CUST723"/>
    <x v="928"/>
    <x v="2"/>
    <s v="PROD8307"/>
    <s v="Notebook"/>
    <x v="0"/>
    <x v="0"/>
    <x v="29"/>
    <x v="906"/>
    <n v="10"/>
    <n v="2504"/>
    <n v="10"/>
    <n v="23103"/>
    <n v="22536.720000000001"/>
    <n v="566.28"/>
    <s v="Net Banking"/>
    <s v="Delivered"/>
    <s v="Johnson-Collier"/>
    <s v="jodi96@thomas-mcbride.biz"/>
    <n v="33"/>
    <s v="No"/>
    <n v="0"/>
  </r>
  <r>
    <s v="ORD1939"/>
    <x v="316"/>
    <d v="2025-09-30T00:00:00"/>
    <s v="CUST849"/>
    <x v="36"/>
    <x v="0"/>
    <s v="PROD9847"/>
    <s v="File Folder"/>
    <x v="0"/>
    <x v="2"/>
    <x v="42"/>
    <x v="907"/>
    <n v="8"/>
    <n v="1665"/>
    <n v="15"/>
    <n v="11889"/>
    <n v="11322.63"/>
    <n v="566.37"/>
    <s v="UPI"/>
    <s v="Pending"/>
    <s v="Cervantes-Gallegos"/>
    <s v="danaallen@kirk.com"/>
    <n v="9"/>
    <s v="Yes"/>
    <n v="36"/>
  </r>
  <r>
    <s v="ORD1940"/>
    <x v="336"/>
    <d v="2024-09-02T00:00:00"/>
    <s v="CUST977"/>
    <x v="929"/>
    <x v="2"/>
    <s v="PROD4514"/>
    <s v="Stapler"/>
    <x v="0"/>
    <x v="2"/>
    <x v="23"/>
    <x v="908"/>
    <n v="2"/>
    <n v="2815"/>
    <n v="15"/>
    <n v="5352.5"/>
    <n v="4786.24"/>
    <n v="566.26"/>
    <s v="Cash"/>
    <s v="Pending"/>
    <s v="Perkins, Francis and Hernandez"/>
    <s v="sanchezmatthew@walker.com"/>
    <n v="18"/>
    <s v="No"/>
    <n v="0"/>
  </r>
  <r>
    <s v="ORD1941"/>
    <x v="520"/>
    <d v="2024-02-14T00:00:00"/>
    <s v="CUST819"/>
    <x v="930"/>
    <x v="0"/>
    <s v="PROD2759"/>
    <s v="Mouse"/>
    <x v="1"/>
    <x v="0"/>
    <x v="5"/>
    <x v="909"/>
    <n v="8"/>
    <n v="1502"/>
    <n v="0"/>
    <n v="12583"/>
    <n v="12016.87"/>
    <n v="566.13"/>
    <s v="UPI"/>
    <s v="Cancelled"/>
    <s v="Bradshaw, Bryant and Day"/>
    <s v="kmartin@hall.biz"/>
    <n v="28"/>
    <s v="No"/>
    <n v="0"/>
  </r>
  <r>
    <s v="ORD1942"/>
    <x v="424"/>
    <d v="2024-10-04T00:00:00"/>
    <s v="CUST987"/>
    <x v="931"/>
    <x v="2"/>
    <s v="PROD3935"/>
    <s v="Monitor"/>
    <x v="1"/>
    <x v="1"/>
    <x v="47"/>
    <x v="910"/>
    <n v="10"/>
    <n v="3743"/>
    <n v="15"/>
    <n v="32382.5"/>
    <n v="31816.34"/>
    <n v="566.16"/>
    <s v="Credit card"/>
    <s v="Returned"/>
    <s v="Morris LLC"/>
    <s v="twelch@thompson-hart.com"/>
    <n v="17"/>
    <s v="No"/>
    <n v="0"/>
  </r>
  <r>
    <s v="ORD1943"/>
    <x v="126"/>
    <d v="2024-06-07T00:00:00"/>
    <s v="CUST892"/>
    <x v="932"/>
    <x v="2"/>
    <s v="PROD3515"/>
    <s v="Dining Table"/>
    <x v="2"/>
    <x v="3"/>
    <x v="45"/>
    <x v="911"/>
    <n v="3"/>
    <n v="1867"/>
    <n v="0"/>
    <n v="6168"/>
    <n v="5601.69"/>
    <n v="566.30999999999995"/>
    <s v="Net Banking"/>
    <s v="Pending"/>
    <s v="Blake PLC"/>
    <s v="carly35@lee-olsen.biz"/>
    <n v="25"/>
    <s v="No"/>
    <n v="0"/>
  </r>
  <r>
    <s v="ORD1944"/>
    <x v="521"/>
    <d v="2023-11-17T00:00:00"/>
    <s v="CUST875"/>
    <x v="933"/>
    <x v="1"/>
    <s v="PROD9974"/>
    <s v="Bookshell"/>
    <x v="2"/>
    <x v="0"/>
    <x v="9"/>
    <x v="912"/>
    <n v="3"/>
    <n v="3104"/>
    <n v="10"/>
    <n v="8947.7999999999993"/>
    <n v="8381.5"/>
    <n v="566.29999999999995"/>
    <s v="Cash"/>
    <s v="Returned"/>
    <s v="Leach, Strickland and Carter"/>
    <s v="amyeaton@conrad.org"/>
    <n v="38"/>
    <s v="No"/>
    <n v="0"/>
  </r>
  <r>
    <s v="ORD1945"/>
    <x v="522"/>
    <d v="2024-03-16T00:00:00"/>
    <s v="CUST295"/>
    <x v="934"/>
    <x v="1"/>
    <s v="PROD6444"/>
    <s v="Study Table"/>
    <x v="2"/>
    <x v="3"/>
    <x v="21"/>
    <x v="673"/>
    <n v="2"/>
    <n v="2660"/>
    <n v="20"/>
    <n v="4823"/>
    <n v="4256.6899999999996"/>
    <n v="566.30999999999995"/>
    <s v="UPI"/>
    <s v="Delivered"/>
    <s v="Walls Inc"/>
    <s v="robertcarpenter@smith-smith.org"/>
    <n v="42"/>
    <s v="No"/>
    <n v="0"/>
  </r>
  <r>
    <s v="ORD1946"/>
    <x v="362"/>
    <d v="2025-09-06T00:00:00"/>
    <s v="CUST677"/>
    <x v="935"/>
    <x v="1"/>
    <s v="PROD1560"/>
    <s v="Headphones"/>
    <x v="1"/>
    <x v="0"/>
    <x v="16"/>
    <x v="913"/>
    <n v="1"/>
    <n v="4221"/>
    <n v="20"/>
    <n v="3943.8"/>
    <n v="3377.51"/>
    <n v="566.29"/>
    <s v="Credit card"/>
    <s v="Pending"/>
    <s v="Fox-Barr"/>
    <s v="jamiewright@cobb.com"/>
    <n v="45"/>
    <s v="No"/>
    <n v="0"/>
  </r>
  <r>
    <s v="ORD1947"/>
    <x v="523"/>
    <d v="2025-09-15T00:00:00"/>
    <s v="CUST826"/>
    <x v="936"/>
    <x v="2"/>
    <s v="PROD2330"/>
    <s v="Stapler"/>
    <x v="0"/>
    <x v="0"/>
    <x v="41"/>
    <x v="914"/>
    <n v="5"/>
    <n v="3185"/>
    <n v="5"/>
    <n v="15695.75"/>
    <n v="15129.63"/>
    <n v="566.12"/>
    <s v="UPI"/>
    <s v="Delivered"/>
    <s v="Mclaughlin Group"/>
    <s v="ngray@diaz.org"/>
    <n v="2"/>
    <s v="Yes"/>
    <n v="37"/>
  </r>
  <r>
    <s v="ORD1948"/>
    <x v="524"/>
    <d v="2025-02-06T00:00:00"/>
    <s v="CUST168"/>
    <x v="937"/>
    <x v="0"/>
    <s v="PROD9061"/>
    <s v="Pen"/>
    <x v="0"/>
    <x v="3"/>
    <x v="0"/>
    <x v="915"/>
    <n v="6"/>
    <n v="897"/>
    <n v="10"/>
    <n v="5410.8"/>
    <n v="4844.54"/>
    <n v="566.26"/>
    <s v="Net Banking"/>
    <s v="Returned"/>
    <s v="Carter, Wood and Moran"/>
    <s v="jennifer81@simpson.com"/>
    <n v="2"/>
    <s v="Yes"/>
    <n v="24"/>
  </r>
  <r>
    <s v="ORD1949"/>
    <x v="374"/>
    <d v="2025-07-09T00:00:00"/>
    <s v="CUST701"/>
    <x v="938"/>
    <x v="1"/>
    <s v="PROD9905"/>
    <s v="Snacks"/>
    <x v="3"/>
    <x v="3"/>
    <x v="28"/>
    <x v="916"/>
    <n v="6"/>
    <n v="2778"/>
    <n v="20"/>
    <n v="13901.4"/>
    <n v="13335.1"/>
    <n v="566.29999999999995"/>
    <s v="Net Banking"/>
    <s v="Pending"/>
    <s v="Hernandez LLC"/>
    <s v="delacruzelizabeth@mejia-byrd.biz"/>
    <n v="30"/>
    <s v="No"/>
    <n v="0"/>
  </r>
  <r>
    <s v="ORD1950"/>
    <x v="181"/>
    <d v="2025-03-20T00:00:00"/>
    <s v="CUST390"/>
    <x v="939"/>
    <x v="0"/>
    <s v="PROD9697"/>
    <s v="Cooking oil"/>
    <x v="3"/>
    <x v="1"/>
    <x v="32"/>
    <x v="917"/>
    <n v="9"/>
    <n v="4430"/>
    <n v="15"/>
    <n v="34456.5"/>
    <n v="33890.19"/>
    <n v="566.30999999999995"/>
    <s v="Net Banking"/>
    <s v="Delivered"/>
    <s v="Neal and Sons"/>
    <s v="lmartin@galvan-arias.com"/>
    <n v="37"/>
    <s v="No"/>
    <n v="0"/>
  </r>
  <r>
    <s v="ORD1951"/>
    <x v="177"/>
    <d v="2025-05-14T00:00:00"/>
    <s v="CUST810"/>
    <x v="940"/>
    <x v="0"/>
    <s v="PROD7925"/>
    <s v="Snacks"/>
    <x v="3"/>
    <x v="1"/>
    <x v="6"/>
    <x v="918"/>
    <n v="3"/>
    <n v="417"/>
    <n v="15"/>
    <n v="1630.35"/>
    <n v="1063.95"/>
    <n v="566.4"/>
    <s v="Net Banking"/>
    <s v="Pending"/>
    <s v="Daniel-Miller"/>
    <s v="danieldavis@curtis.com"/>
    <n v="3"/>
    <s v="Yes"/>
    <n v="49"/>
  </r>
  <r>
    <s v="ORD1952"/>
    <x v="50"/>
    <d v="2024-03-14T00:00:00"/>
    <s v="CUST818"/>
    <x v="941"/>
    <x v="0"/>
    <s v="PROD1845"/>
    <s v="Notebook"/>
    <x v="0"/>
    <x v="1"/>
    <x v="38"/>
    <x v="919"/>
    <n v="10"/>
    <n v="1859"/>
    <n v="20"/>
    <n v="15439"/>
    <n v="14872.65"/>
    <n v="566.35"/>
    <s v="UPI"/>
    <s v="Cancelled"/>
    <s v="Gilbert, Cunningham and Hobbs"/>
    <s v="joseph90@burgess-barker.com"/>
    <n v="9"/>
    <s v="Yes"/>
    <n v="36"/>
  </r>
  <r>
    <s v="ORD1953"/>
    <x v="525"/>
    <d v="2024-01-07T00:00:00"/>
    <s v="CUST152"/>
    <x v="942"/>
    <x v="0"/>
    <s v="PROD7302"/>
    <s v="Monitor"/>
    <x v="1"/>
    <x v="3"/>
    <x v="35"/>
    <x v="920"/>
    <n v="4"/>
    <n v="3960"/>
    <n v="10"/>
    <n v="14823"/>
    <n v="14256.76"/>
    <n v="566.24"/>
    <s v="Net Banking"/>
    <s v="Cancelled"/>
    <s v="Lopez Ltd"/>
    <s v="hayley28@harmon-smith.biz"/>
    <n v="23"/>
    <s v="No"/>
    <n v="0"/>
  </r>
  <r>
    <s v="ORD1954"/>
    <x v="312"/>
    <d v="2025-02-14T00:00:00"/>
    <s v="CUST300"/>
    <x v="943"/>
    <x v="1"/>
    <s v="PROD7078"/>
    <s v="Cooking oil"/>
    <x v="3"/>
    <x v="3"/>
    <x v="10"/>
    <x v="921"/>
    <n v="3"/>
    <n v="4631"/>
    <n v="5"/>
    <n v="13765.35"/>
    <n v="13199"/>
    <n v="566.35"/>
    <s v="UPI"/>
    <s v="Delivered"/>
    <s v="Campbell PLC"/>
    <s v="jenna88@robinson-nicholson.com"/>
    <n v="42"/>
    <s v="No"/>
    <n v="0"/>
  </r>
  <r>
    <s v="ORD1955"/>
    <x v="526"/>
    <d v="2024-09-12T00:00:00"/>
    <s v="CUST905"/>
    <x v="944"/>
    <x v="2"/>
    <s v="PROD4335"/>
    <s v="Notebook"/>
    <x v="0"/>
    <x v="3"/>
    <x v="45"/>
    <x v="922"/>
    <n v="1"/>
    <n v="4751"/>
    <n v="15"/>
    <n v="4605.3500000000004"/>
    <n v="4039.01"/>
    <n v="566.34"/>
    <s v="Cash"/>
    <s v="Delivered"/>
    <s v="Johnson-Weaver"/>
    <s v="carol87@wheeler-walton.com"/>
    <n v="37"/>
    <s v="No"/>
    <n v="0"/>
  </r>
  <r>
    <s v="ORD1956"/>
    <x v="527"/>
    <d v="2024-02-12T00:00:00"/>
    <s v="CUST267"/>
    <x v="945"/>
    <x v="1"/>
    <s v="PROD6709"/>
    <s v="Cooking oil"/>
    <x v="3"/>
    <x v="0"/>
    <x v="28"/>
    <x v="923"/>
    <n v="2"/>
    <n v="3849"/>
    <n v="5"/>
    <n v="7880.1"/>
    <n v="7313.89"/>
    <n v="566.21"/>
    <s v="Net Banking"/>
    <s v="Returned"/>
    <s v="Parker PLC"/>
    <s v="nancy14@robertson-williams.com"/>
    <n v="42"/>
    <s v="No"/>
    <n v="0"/>
  </r>
  <r>
    <s v="ORD1957"/>
    <x v="48"/>
    <d v="2024-04-06T00:00:00"/>
    <s v="CUST282"/>
    <x v="946"/>
    <x v="0"/>
    <s v="PROD5084"/>
    <s v="File Folder"/>
    <x v="0"/>
    <x v="0"/>
    <x v="19"/>
    <x v="924"/>
    <n v="1"/>
    <n v="4683"/>
    <n v="10"/>
    <n v="4781.7"/>
    <n v="4215.4399999999996"/>
    <n v="566.26"/>
    <s v="UPI"/>
    <s v="Returned"/>
    <s v="Cole-Pace"/>
    <s v="robertburns@daniel.net"/>
    <n v="4"/>
    <s v="Yes"/>
    <n v="45"/>
  </r>
  <r>
    <s v="ORD1958"/>
    <x v="528"/>
    <d v="2024-02-02T00:00:00"/>
    <s v="CUST915"/>
    <x v="947"/>
    <x v="2"/>
    <s v="PROD6480"/>
    <s v="Office Chair"/>
    <x v="2"/>
    <x v="3"/>
    <x v="37"/>
    <x v="925"/>
    <n v="3"/>
    <n v="2983"/>
    <n v="15"/>
    <n v="8173.65"/>
    <n v="7607.53"/>
    <n v="566.12"/>
    <s v="UPI"/>
    <s v="Returned"/>
    <s v="Martinez, Ewing and Steele"/>
    <s v="cindy18@foley.org"/>
    <n v="35"/>
    <s v="No"/>
    <n v="0"/>
  </r>
  <r>
    <s v="ORD1959"/>
    <x v="388"/>
    <d v="2025-02-08T00:00:00"/>
    <s v="CUST802"/>
    <x v="948"/>
    <x v="1"/>
    <s v="PROD1188"/>
    <s v="Study Table"/>
    <x v="2"/>
    <x v="2"/>
    <x v="20"/>
    <x v="926"/>
    <n v="7"/>
    <n v="2840"/>
    <n v="5"/>
    <n v="19453"/>
    <n v="18886.66"/>
    <n v="566.34"/>
    <s v="Credit card"/>
    <s v="Pending"/>
    <s v="Hernandez, Smith and Myers"/>
    <s v="marshallzachary@cook-gonzalez.info"/>
    <n v="40"/>
    <s v="No"/>
    <n v="0"/>
  </r>
  <r>
    <s v="ORD1960"/>
    <x v="529"/>
    <d v="2025-02-08T00:00:00"/>
    <s v="CUST891"/>
    <x v="949"/>
    <x v="0"/>
    <s v="PROD3960"/>
    <s v="Keyboard"/>
    <x v="1"/>
    <x v="1"/>
    <x v="42"/>
    <x v="927"/>
    <n v="10"/>
    <n v="1811"/>
    <n v="5"/>
    <n v="17771.5"/>
    <n v="17205.11"/>
    <n v="566.39"/>
    <s v="Net Banking"/>
    <s v="Pending"/>
    <s v="Leonard-Mack"/>
    <s v="vincent58@aguilar-caldwell.biz"/>
    <n v="32"/>
    <s v="No"/>
    <n v="0"/>
  </r>
  <r>
    <s v="ORD1961"/>
    <x v="9"/>
    <d v="2024-09-06T00:00:00"/>
    <s v="CUST254"/>
    <x v="950"/>
    <x v="1"/>
    <s v="PROD6776"/>
    <s v="Sugar"/>
    <x v="3"/>
    <x v="3"/>
    <x v="44"/>
    <x v="928"/>
    <n v="5"/>
    <n v="3646"/>
    <n v="20"/>
    <n v="15151"/>
    <n v="14584.68"/>
    <n v="566.32000000000005"/>
    <s v="Cash"/>
    <s v="Cancelled"/>
    <s v="Holmes, Smith and Weiss"/>
    <s v="aguirrechristopher@brown.com"/>
    <n v="38"/>
    <s v="No"/>
    <n v="0"/>
  </r>
  <r>
    <s v="ORD1962"/>
    <x v="129"/>
    <d v="2024-04-29T00:00:00"/>
    <s v="CUST730"/>
    <x v="951"/>
    <x v="0"/>
    <s v="PROD2939"/>
    <s v="Pen"/>
    <x v="0"/>
    <x v="3"/>
    <x v="16"/>
    <x v="929"/>
    <n v="2"/>
    <n v="3465"/>
    <n v="15"/>
    <n v="6457.5"/>
    <n v="5891.34"/>
    <n v="566.16"/>
    <s v="Net Banking"/>
    <s v="Delivered"/>
    <s v="Walker, Hill and Carter"/>
    <s v="fyoung@deleon.com"/>
    <n v="19"/>
    <s v="No"/>
    <n v="0"/>
  </r>
  <r>
    <s v="ORD1963"/>
    <x v="530"/>
    <d v="2024-02-19T00:00:00"/>
    <s v="CUST168"/>
    <x v="952"/>
    <x v="1"/>
    <s v="PROD5492"/>
    <s v="Sugar"/>
    <x v="3"/>
    <x v="3"/>
    <x v="38"/>
    <x v="930"/>
    <n v="2"/>
    <n v="3176"/>
    <n v="15"/>
    <n v="5966.2"/>
    <n v="5399.99"/>
    <n v="566.21"/>
    <s v="Credit card"/>
    <s v="Delivered"/>
    <s v="Hunt, Valenzuela and Lowe"/>
    <s v="mikayla14@palmer.biz"/>
    <n v="15"/>
    <s v="No"/>
    <n v="0"/>
  </r>
  <r>
    <s v="ORD1964"/>
    <x v="531"/>
    <d v="2025-05-24T00:00:00"/>
    <s v="CUST973"/>
    <x v="953"/>
    <x v="2"/>
    <s v="PROD8415"/>
    <s v="Sofa"/>
    <x v="2"/>
    <x v="1"/>
    <x v="44"/>
    <x v="931"/>
    <n v="10"/>
    <n v="4180"/>
    <n v="15"/>
    <n v="36097"/>
    <n v="35530.71"/>
    <n v="566.29"/>
    <s v="Net Banking"/>
    <s v="Pending"/>
    <s v="Bryan, Allen and Richardson"/>
    <s v="greenrichard@sexton.net"/>
    <n v="14"/>
    <s v="No"/>
    <n v="0"/>
  </r>
  <r>
    <s v="ORD1965"/>
    <x v="353"/>
    <d v="2025-02-24T00:00:00"/>
    <s v="CUST229"/>
    <x v="954"/>
    <x v="0"/>
    <s v="PROD2739"/>
    <s v="Office Chair"/>
    <x v="2"/>
    <x v="1"/>
    <x v="6"/>
    <x v="932"/>
    <n v="1"/>
    <n v="3613"/>
    <n v="5"/>
    <n v="3999.35"/>
    <n v="3433.17"/>
    <n v="566.17999999999995"/>
    <s v="Net Banking"/>
    <s v="Cancelled"/>
    <s v="Lopez Inc"/>
    <s v="ericperez@weaver.net"/>
    <n v="21"/>
    <s v="No"/>
    <n v="0"/>
  </r>
  <r>
    <s v="ORD1966"/>
    <x v="532"/>
    <d v="2025-11-07T00:00:00"/>
    <s v="CUST915"/>
    <x v="955"/>
    <x v="1"/>
    <s v="PROD9934"/>
    <s v="File Folder"/>
    <x v="0"/>
    <x v="3"/>
    <x v="23"/>
    <x v="360"/>
    <n v="7"/>
    <n v="1997"/>
    <n v="15"/>
    <n v="12449.15"/>
    <n v="11882.83"/>
    <n v="566.32000000000005"/>
    <s v="UPI"/>
    <s v="Cancelled"/>
    <s v="Kennedy Inc"/>
    <s v="cindy07@greene.info"/>
    <n v="18"/>
    <s v="No"/>
    <n v="0"/>
  </r>
  <r>
    <s v="ORD1967"/>
    <x v="311"/>
    <d v="2024-04-05T00:00:00"/>
    <s v="CUST710"/>
    <x v="956"/>
    <x v="2"/>
    <s v="PROD8911"/>
    <s v="File Folder"/>
    <x v="0"/>
    <x v="3"/>
    <x v="45"/>
    <x v="933"/>
    <n v="2"/>
    <n v="1372"/>
    <n v="0"/>
    <n v="3311"/>
    <n v="2744.78"/>
    <n v="566.22"/>
    <s v="Net Banking"/>
    <s v="Pending"/>
    <s v="Moran, Rhodes and Reynolds"/>
    <s v="kevinmedina@boyd-carrillo.com"/>
    <n v="47"/>
    <s v="No"/>
    <n v="0"/>
  </r>
  <r>
    <s v="ORD1968"/>
    <x v="354"/>
    <d v="2023-12-04T00:00:00"/>
    <s v="CUST364"/>
    <x v="957"/>
    <x v="2"/>
    <s v="PROD5972"/>
    <s v="Snacks"/>
    <x v="3"/>
    <x v="2"/>
    <x v="48"/>
    <x v="934"/>
    <n v="2"/>
    <n v="3131"/>
    <n v="20"/>
    <n v="5576.6"/>
    <n v="5010.43"/>
    <n v="566.16999999999996"/>
    <s v="Credit card"/>
    <s v="Pending"/>
    <s v="Wood PLC"/>
    <s v="tyler75@williams-smith.biz"/>
    <n v="0"/>
    <s v="Yes"/>
    <n v="34"/>
  </r>
  <r>
    <s v="ORD1969"/>
    <x v="454"/>
    <d v="2024-12-02T00:00:00"/>
    <s v="CUST299"/>
    <x v="958"/>
    <x v="1"/>
    <s v="PROD5530"/>
    <s v="Sofa"/>
    <x v="2"/>
    <x v="0"/>
    <x v="24"/>
    <x v="935"/>
    <n v="2"/>
    <n v="1852"/>
    <n v="10"/>
    <n v="3900.6"/>
    <n v="3334.27"/>
    <n v="566.33000000000004"/>
    <s v="Cash"/>
    <s v="Returned"/>
    <s v="Hinton-Williams"/>
    <s v="hernandezgary@howard.com"/>
    <n v="42"/>
    <s v="No"/>
    <n v="0"/>
  </r>
  <r>
    <s v="ORD1970"/>
    <x v="5"/>
    <d v="2024-03-26T00:00:00"/>
    <s v="CUST926"/>
    <x v="959"/>
    <x v="0"/>
    <s v="PROD6683"/>
    <s v="Juice Pack"/>
    <x v="3"/>
    <x v="1"/>
    <x v="26"/>
    <x v="936"/>
    <n v="8"/>
    <n v="3274"/>
    <n v="10"/>
    <n v="24139.8"/>
    <n v="23573.67"/>
    <n v="566.13"/>
    <s v="Credit card"/>
    <s v="Delivered"/>
    <s v="Price, Rodriguez and Russell"/>
    <s v="whiteheather@pitts-lee.com"/>
    <n v="21"/>
    <s v="No"/>
    <n v="0"/>
  </r>
  <r>
    <s v="ORD1971"/>
    <x v="175"/>
    <d v="2024-11-06T00:00:00"/>
    <s v="CUST466"/>
    <x v="960"/>
    <x v="0"/>
    <s v="PROD2994"/>
    <s v="Pen"/>
    <x v="0"/>
    <x v="1"/>
    <x v="17"/>
    <x v="937"/>
    <n v="6"/>
    <n v="4368"/>
    <n v="0"/>
    <n v="26775"/>
    <n v="26208.7"/>
    <n v="566.29999999999995"/>
    <s v="Credit card"/>
    <s v="Cancelled"/>
    <s v="Castro, Jackson and Leonard"/>
    <s v="pamelaalvarez@mcmahon-sweeney.com"/>
    <n v="24"/>
    <s v="No"/>
    <n v="0"/>
  </r>
  <r>
    <s v="ORD1972"/>
    <x v="533"/>
    <d v="2025-05-12T00:00:00"/>
    <s v="CUST199"/>
    <x v="961"/>
    <x v="0"/>
    <s v="PROD4177"/>
    <s v="Sugar"/>
    <x v="3"/>
    <x v="1"/>
    <x v="12"/>
    <x v="938"/>
    <n v="7"/>
    <n v="3119"/>
    <n v="10"/>
    <n v="20216.7"/>
    <n v="19650.349999999999"/>
    <n v="566.35"/>
    <s v="UPI"/>
    <s v="Cancelled"/>
    <s v="Ford Group"/>
    <s v="ashley34@robinson.com"/>
    <n v="14"/>
    <s v="No"/>
    <n v="0"/>
  </r>
  <r>
    <s v="ORD1973"/>
    <x v="408"/>
    <d v="2025-10-28T00:00:00"/>
    <s v="CUST173"/>
    <x v="962"/>
    <x v="1"/>
    <s v="PROD4843"/>
    <s v="Snacks"/>
    <x v="3"/>
    <x v="2"/>
    <x v="25"/>
    <x v="939"/>
    <n v="8"/>
    <n v="2561"/>
    <n v="5"/>
    <n v="20030.599999999999"/>
    <n v="19464.439999999999"/>
    <n v="566.16"/>
    <s v="UPI"/>
    <s v="Cancelled"/>
    <s v="Williams LLC"/>
    <s v="jonespamela@berry.com"/>
    <n v="41"/>
    <s v="No"/>
    <n v="0"/>
  </r>
  <r>
    <s v="ORD1974"/>
    <x v="265"/>
    <d v="2025-04-27T00:00:00"/>
    <s v="CUST917"/>
    <x v="963"/>
    <x v="2"/>
    <s v="PROD2868"/>
    <s v="Mouse"/>
    <x v="1"/>
    <x v="1"/>
    <x v="41"/>
    <x v="940"/>
    <n v="1"/>
    <n v="4342"/>
    <n v="5"/>
    <n v="4691.8999999999996"/>
    <n v="4125.6899999999996"/>
    <n v="566.21"/>
    <s v="UPI"/>
    <s v="Cancelled"/>
    <s v="Smith, White and Robinson"/>
    <s v="ericshaw@powers-mendez.com"/>
    <n v="48"/>
    <s v="No"/>
    <n v="0"/>
  </r>
  <r>
    <s v="ORD1975"/>
    <x v="534"/>
    <d v="2024-11-10T00:00:00"/>
    <s v="CUST988"/>
    <x v="964"/>
    <x v="2"/>
    <s v="PROD4478"/>
    <s v="Calculator"/>
    <x v="0"/>
    <x v="2"/>
    <x v="34"/>
    <x v="941"/>
    <n v="6"/>
    <n v="1963"/>
    <n v="20"/>
    <n v="9989.4"/>
    <n v="9423.2000000000007"/>
    <n v="566.20000000000005"/>
    <s v="Cash"/>
    <s v="Returned"/>
    <s v="Nicholson Group"/>
    <s v="manuelbennett@henderson-black.com"/>
    <n v="10"/>
    <s v="No"/>
    <n v="0"/>
  </r>
  <r>
    <s v="ORD1976"/>
    <x v="216"/>
    <d v="2024-07-28T00:00:00"/>
    <s v="CUST484"/>
    <x v="965"/>
    <x v="2"/>
    <s v="PROD5047"/>
    <s v="Pen"/>
    <x v="0"/>
    <x v="0"/>
    <x v="48"/>
    <x v="942"/>
    <n v="1"/>
    <n v="2476"/>
    <n v="15"/>
    <n v="2671.6"/>
    <n v="2105.25"/>
    <n v="566.35"/>
    <s v="UPI"/>
    <s v="Delivered"/>
    <s v="Brewer and Sons"/>
    <s v="matthewrivera@turner.net"/>
    <n v="44"/>
    <s v="No"/>
    <n v="0"/>
  </r>
  <r>
    <s v="ORD1977"/>
    <x v="209"/>
    <d v="2024-06-23T00:00:00"/>
    <s v="CUST809"/>
    <x v="966"/>
    <x v="2"/>
    <s v="PROD8259"/>
    <s v="Laptop"/>
    <x v="1"/>
    <x v="3"/>
    <x v="24"/>
    <x v="943"/>
    <n v="2"/>
    <n v="2760"/>
    <n v="20"/>
    <n v="4983"/>
    <n v="4416.75"/>
    <n v="566.25"/>
    <s v="UPI"/>
    <s v="Returned"/>
    <s v="Roth and Sons"/>
    <s v="john38@riley.com"/>
    <n v="46"/>
    <s v="No"/>
    <n v="0"/>
  </r>
  <r>
    <s v="ORD1978"/>
    <x v="454"/>
    <d v="2024-12-01T00:00:00"/>
    <s v="CUST602"/>
    <x v="967"/>
    <x v="0"/>
    <s v="PROD2556"/>
    <s v="Juice Pack"/>
    <x v="3"/>
    <x v="3"/>
    <x v="4"/>
    <x v="944"/>
    <n v="3"/>
    <n v="2894"/>
    <n v="10"/>
    <n v="8380.7999999999993"/>
    <n v="7814.65"/>
    <n v="566.15"/>
    <s v="Cash"/>
    <s v="Delivered"/>
    <s v="Harris-Hunt"/>
    <s v="matthew25@gay-burke.info"/>
    <n v="14"/>
    <s v="No"/>
    <n v="0"/>
  </r>
  <r>
    <s v="ORD1979"/>
    <x v="535"/>
    <d v="2025-06-18T00:00:00"/>
    <s v="CUST274"/>
    <x v="968"/>
    <x v="0"/>
    <s v="PROD4278"/>
    <s v="Pen"/>
    <x v="0"/>
    <x v="1"/>
    <x v="46"/>
    <x v="945"/>
    <n v="4"/>
    <n v="4703"/>
    <n v="10"/>
    <n v="17497.8"/>
    <n v="16931.599999999999"/>
    <n v="566.20000000000005"/>
    <s v="Net Banking"/>
    <s v="Returned"/>
    <s v="Arellano, Crawford and Herrera"/>
    <s v="jeffery03@taylor-keith.com"/>
    <n v="29"/>
    <s v="No"/>
    <n v="0"/>
  </r>
  <r>
    <s v="ORD1980"/>
    <x v="254"/>
    <d v="2024-05-17T00:00:00"/>
    <s v="CUST859"/>
    <x v="969"/>
    <x v="1"/>
    <s v="PROD7829"/>
    <s v="Office Chair"/>
    <x v="2"/>
    <x v="1"/>
    <x v="39"/>
    <x v="946"/>
    <n v="1"/>
    <n v="824"/>
    <n v="20"/>
    <n v="1226.2"/>
    <n v="659.94"/>
    <n v="566.26"/>
    <s v="Credit card"/>
    <s v="Delivered"/>
    <s v="Wilson, Valentine and Martinez"/>
    <s v="gtrevino@mcdonald-martinez.com"/>
    <n v="2"/>
    <s v="Yes"/>
    <n v="28"/>
  </r>
  <r>
    <s v="ORD1981"/>
    <x v="146"/>
    <d v="2024-12-22T00:00:00"/>
    <s v="CUST781"/>
    <x v="970"/>
    <x v="2"/>
    <s v="PROD8122"/>
    <s v="Laptop"/>
    <x v="1"/>
    <x v="3"/>
    <x v="5"/>
    <x v="947"/>
    <n v="10"/>
    <n v="3329"/>
    <n v="0"/>
    <n v="33857"/>
    <n v="33290.79"/>
    <n v="566.21"/>
    <s v="UPI"/>
    <s v="Pending"/>
    <s v="Bowman Inc"/>
    <s v="jerome33@robertson-morrison.com"/>
    <n v="49"/>
    <s v="No"/>
    <n v="0"/>
  </r>
  <r>
    <s v="ORD1982"/>
    <x v="351"/>
    <d v="2024-09-26T00:00:00"/>
    <s v="CUST218"/>
    <x v="971"/>
    <x v="2"/>
    <s v="PROD8242"/>
    <s v="File Folder"/>
    <x v="0"/>
    <x v="1"/>
    <x v="28"/>
    <x v="948"/>
    <n v="5"/>
    <n v="4936"/>
    <n v="20"/>
    <n v="20311"/>
    <n v="19744.78"/>
    <n v="566.22"/>
    <s v="Cash"/>
    <s v="Pending"/>
    <s v="Mccarthy, Hawkins and Ramirez"/>
    <s v="vsullivan@smith-cole.info"/>
    <n v="18"/>
    <s v="No"/>
    <n v="0"/>
  </r>
  <r>
    <s v="ORD1983"/>
    <x v="536"/>
    <d v="2025-05-26T00:00:00"/>
    <s v="CUST494"/>
    <x v="972"/>
    <x v="2"/>
    <s v="PROD3588"/>
    <s v="Calculator"/>
    <x v="0"/>
    <x v="3"/>
    <x v="2"/>
    <x v="949"/>
    <n v="2"/>
    <n v="601"/>
    <n v="10"/>
    <n v="1648.8"/>
    <n v="1082.51"/>
    <n v="566.29"/>
    <s v="Net Banking"/>
    <s v="Returned"/>
    <s v="Thornton, Miles and Reed"/>
    <s v="mmorales@green.com"/>
    <n v="17"/>
    <s v="No"/>
    <n v="0"/>
  </r>
  <r>
    <s v="ORD1984"/>
    <x v="21"/>
    <d v="2024-03-13T00:00:00"/>
    <s v="CUST439"/>
    <x v="973"/>
    <x v="0"/>
    <s v="PROD4551"/>
    <s v="Monitor"/>
    <x v="1"/>
    <x v="0"/>
    <x v="11"/>
    <x v="950"/>
    <n v="1"/>
    <n v="3828"/>
    <n v="10"/>
    <n v="4012.2"/>
    <n v="3445.81"/>
    <n v="566.39"/>
    <s v="Credit card"/>
    <s v="Pending"/>
    <s v="Gonzalez-Rodriguez"/>
    <s v="brittany90@gonzalez.com"/>
    <n v="29"/>
    <s v="No"/>
    <n v="0"/>
  </r>
  <r>
    <s v="ORD1985"/>
    <x v="221"/>
    <d v="2024-06-24T00:00:00"/>
    <s v="CUST159"/>
    <x v="974"/>
    <x v="2"/>
    <s v="PROD8662"/>
    <s v="Rice Bag"/>
    <x v="3"/>
    <x v="2"/>
    <x v="31"/>
    <x v="951"/>
    <n v="5"/>
    <n v="4621"/>
    <n v="0"/>
    <n v="23672"/>
    <n v="23105.65"/>
    <n v="566.35"/>
    <s v="Cash"/>
    <s v="Returned"/>
    <s v="Burton PLC"/>
    <s v="michaeljefferson@oneill.info"/>
    <n v="7"/>
    <s v="Yes"/>
    <n v="28"/>
  </r>
  <r>
    <s v="ORD1986"/>
    <x v="469"/>
    <d v="2023-11-10T00:00:00"/>
    <s v="CUST994"/>
    <x v="975"/>
    <x v="1"/>
    <s v="PROD7390"/>
    <s v="Monitor"/>
    <x v="1"/>
    <x v="1"/>
    <x v="33"/>
    <x v="952"/>
    <n v="3"/>
    <n v="1538"/>
    <n v="5"/>
    <n v="4950.3"/>
    <n v="4383.9799999999996"/>
    <n v="566.32000000000005"/>
    <s v="Credit card"/>
    <s v="Returned"/>
    <s v="Jordan, Clements and Powell"/>
    <s v="maldonadochad@oconnor.com"/>
    <n v="30"/>
    <s v="No"/>
    <n v="0"/>
  </r>
  <r>
    <s v="ORD1987"/>
    <x v="537"/>
    <d v="2024-03-14T00:00:00"/>
    <s v="CUST108"/>
    <x v="976"/>
    <x v="1"/>
    <s v="PROD6798"/>
    <s v="Stapler"/>
    <x v="0"/>
    <x v="0"/>
    <x v="23"/>
    <x v="953"/>
    <n v="4"/>
    <n v="4823"/>
    <n v="5"/>
    <n v="18894.400000000001"/>
    <n v="18328.240000000002"/>
    <n v="566.16"/>
    <s v="UPI"/>
    <s v="Delivered"/>
    <s v="Miller, Campbell and Mendoza"/>
    <s v="hroberts@dixon.com"/>
    <n v="36"/>
    <s v="No"/>
    <n v="0"/>
  </r>
  <r>
    <s v="ORD1988"/>
    <x v="285"/>
    <d v="2025-04-19T00:00:00"/>
    <s v="CUST932"/>
    <x v="977"/>
    <x v="2"/>
    <s v="PROD5082"/>
    <s v="Snacks"/>
    <x v="3"/>
    <x v="2"/>
    <x v="30"/>
    <x v="954"/>
    <n v="7"/>
    <n v="3289"/>
    <n v="10"/>
    <n v="21287.7"/>
    <n v="20721.46"/>
    <n v="566.24"/>
    <s v="UPI"/>
    <s v="Returned"/>
    <s v="Hall Group"/>
    <s v="susanfry@rogers.com"/>
    <n v="43"/>
    <s v="No"/>
    <n v="0"/>
  </r>
  <r>
    <s v="ORD1989"/>
    <x v="14"/>
    <d v="2024-09-09T00:00:00"/>
    <s v="CUST723"/>
    <x v="978"/>
    <x v="0"/>
    <s v="PROD4714"/>
    <s v="Study Table"/>
    <x v="2"/>
    <x v="1"/>
    <x v="42"/>
    <x v="955"/>
    <n v="6"/>
    <n v="505"/>
    <n v="20"/>
    <n v="2991"/>
    <n v="2424.65"/>
    <n v="566.35"/>
    <s v="Credit card"/>
    <s v="Pending"/>
    <s v="Johnson, Bowers and Salazar"/>
    <s v="ralph40@waller.org"/>
    <n v="13"/>
    <s v="No"/>
    <n v="0"/>
  </r>
  <r>
    <s v="ORD1990"/>
    <x v="3"/>
    <d v="2024-07-30T00:00:00"/>
    <s v="CUST915"/>
    <x v="979"/>
    <x v="2"/>
    <s v="PROD4753"/>
    <s v="Mouse"/>
    <x v="1"/>
    <x v="0"/>
    <x v="25"/>
    <x v="956"/>
    <n v="8"/>
    <n v="3621"/>
    <n v="5"/>
    <n v="28086.6"/>
    <n v="27520.39"/>
    <n v="566.21"/>
    <s v="Net Banking"/>
    <s v="Cancelled"/>
    <s v="Flowers Ltd"/>
    <s v="gjacobs@jensen-baldwin.info"/>
    <n v="5"/>
    <s v="Yes"/>
    <n v="49"/>
  </r>
  <r>
    <s v="ORD1991"/>
    <x v="364"/>
    <d v="2025-02-26T00:00:00"/>
    <s v="CUST363"/>
    <x v="980"/>
    <x v="0"/>
    <s v="PROD5856"/>
    <s v="Notebook"/>
    <x v="0"/>
    <x v="0"/>
    <x v="6"/>
    <x v="957"/>
    <n v="7"/>
    <n v="2556"/>
    <n v="15"/>
    <n v="15775.2"/>
    <n v="15208.89"/>
    <n v="566.30999999999995"/>
    <s v="Net Banking"/>
    <s v="Cancelled"/>
    <s v="Schultz, Hudson and Johnson"/>
    <s v="turnernoah@peterson-murphy.com"/>
    <n v="46"/>
    <s v="No"/>
    <n v="0"/>
  </r>
  <r>
    <s v="ORD1992"/>
    <x v="490"/>
    <d v="2024-10-26T00:00:00"/>
    <s v="CUST474"/>
    <x v="981"/>
    <x v="1"/>
    <s v="PROD3206"/>
    <s v="Sofa"/>
    <x v="2"/>
    <x v="2"/>
    <x v="25"/>
    <x v="958"/>
    <n v="8"/>
    <n v="887"/>
    <n v="0"/>
    <n v="7663"/>
    <n v="7096.64"/>
    <n v="566.36"/>
    <s v="Credit card"/>
    <s v="Pending"/>
    <s v="Goodman-Mann"/>
    <s v="johnsonsandra@gomez.info"/>
    <n v="31"/>
    <s v="No"/>
    <n v="0"/>
  </r>
  <r>
    <s v="ORD1993"/>
    <x v="312"/>
    <d v="2025-02-11T00:00:00"/>
    <s v="CUST425"/>
    <x v="982"/>
    <x v="1"/>
    <s v="PROD4012"/>
    <s v="Cooking oil"/>
    <x v="3"/>
    <x v="1"/>
    <x v="16"/>
    <x v="959"/>
    <n v="1"/>
    <n v="837"/>
    <n v="20"/>
    <n v="1236.5999999999999"/>
    <n v="670.25"/>
    <n v="566.35"/>
    <s v="Net Banking"/>
    <s v="Returned"/>
    <s v="Meyer, Scott and Buchanan"/>
    <s v="alicia67@hamilton-silva.biz"/>
    <n v="42"/>
    <s v="No"/>
    <n v="0"/>
  </r>
  <r>
    <s v="ORD1994"/>
    <x v="517"/>
    <d v="2024-11-21T00:00:00"/>
    <s v="CUST146"/>
    <x v="983"/>
    <x v="2"/>
    <s v="PROD2307"/>
    <s v="Snacks"/>
    <x v="3"/>
    <x v="0"/>
    <x v="18"/>
    <x v="960"/>
    <n v="8"/>
    <n v="4607"/>
    <n v="0"/>
    <n v="37423"/>
    <n v="36856.65"/>
    <n v="566.35"/>
    <s v="UPI"/>
    <s v="Delivered"/>
    <s v="Stone-Griffin"/>
    <s v="roy31@taylor.com"/>
    <n v="19"/>
    <s v="No"/>
    <n v="0"/>
  </r>
  <r>
    <s v="ORD1995"/>
    <x v="538"/>
    <d v="2023-11-28T00:00:00"/>
    <s v="CUST453"/>
    <x v="984"/>
    <x v="0"/>
    <s v="PROD2493"/>
    <s v="Sugar"/>
    <x v="3"/>
    <x v="0"/>
    <x v="31"/>
    <x v="961"/>
    <n v="8"/>
    <n v="3523"/>
    <n v="0"/>
    <n v="28751"/>
    <n v="28184.62"/>
    <n v="566.38"/>
    <s v="Credit card"/>
    <s v="Returned"/>
    <s v="Carlson and Sons"/>
    <s v="krobinson@alvarez.com"/>
    <n v="19"/>
    <s v="No"/>
    <n v="0"/>
  </r>
  <r>
    <s v="ORD1996"/>
    <x v="276"/>
    <d v="2025-02-22T00:00:00"/>
    <s v="CUST709"/>
    <x v="985"/>
    <x v="0"/>
    <s v="PROD4602"/>
    <s v="Cooking oil"/>
    <x v="3"/>
    <x v="0"/>
    <x v="41"/>
    <x v="962"/>
    <n v="1"/>
    <n v="280"/>
    <n v="5"/>
    <n v="833"/>
    <n v="266.72000000000003"/>
    <n v="566.28"/>
    <s v="UPI"/>
    <s v="Returned"/>
    <s v="Anderson LLC"/>
    <s v="richardhall@jackson-richardson.com"/>
    <n v="32"/>
    <s v="No"/>
    <n v="0"/>
  </r>
  <r>
    <s v="ORD1997"/>
    <x v="410"/>
    <d v="2024-09-12T00:00:00"/>
    <s v="CUST902"/>
    <x v="986"/>
    <x v="0"/>
    <s v="PROD4407"/>
    <s v="Snacks"/>
    <x v="3"/>
    <x v="0"/>
    <x v="18"/>
    <x v="1"/>
    <n v="2"/>
    <n v="3217"/>
    <n v="5"/>
    <n v="6679.3"/>
    <n v="6113.06"/>
    <n v="566.24"/>
    <s v="Net Banking"/>
    <s v="Delivered"/>
    <s v="Walker-Arias"/>
    <s v="john92@york-christensen.com"/>
    <n v="35"/>
    <s v="No"/>
    <n v="0"/>
  </r>
  <r>
    <s v="ORD1998"/>
    <x v="232"/>
    <d v="2024-05-01T00:00:00"/>
    <s v="CUST890"/>
    <x v="987"/>
    <x v="2"/>
    <s v="PROD7727"/>
    <s v="Office Chair"/>
    <x v="2"/>
    <x v="1"/>
    <x v="12"/>
    <x v="963"/>
    <n v="1"/>
    <n v="4247"/>
    <n v="5"/>
    <n v="4601.6499999999996"/>
    <n v="4035.35"/>
    <n v="566.29999999999995"/>
    <s v="Cash"/>
    <s v="Pending"/>
    <s v="Green, Lopez and Phillips"/>
    <s v="pittsjustin@contreras.net"/>
    <n v="11"/>
    <s v="No"/>
    <n v="0"/>
  </r>
  <r>
    <s v="ORD1999"/>
    <x v="539"/>
    <d v="2025-07-24T00:00:00"/>
    <s v="CUST430"/>
    <x v="988"/>
    <x v="0"/>
    <s v="PROD9449"/>
    <s v="Juice Pack"/>
    <x v="3"/>
    <x v="1"/>
    <x v="39"/>
    <x v="964"/>
    <n v="8"/>
    <n v="2884"/>
    <n v="15"/>
    <n v="20178.2"/>
    <n v="19611.95"/>
    <n v="566.25"/>
    <s v="Credit card"/>
    <s v="Returned"/>
    <s v="Yang-Carter"/>
    <s v="tiffany11@peterson.org"/>
    <n v="19"/>
    <s v="No"/>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D6A293-0AD9-4F64-8A80-3CD438A6CF0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14:C19" firstHeaderRow="1" firstDataRow="1" firstDataCol="1"/>
  <pivotFields count="28">
    <pivotField showAll="0"/>
    <pivotField numFmtId="14" showAll="0">
      <items count="541">
        <item x="108"/>
        <item x="213"/>
        <item x="89"/>
        <item x="469"/>
        <item x="521"/>
        <item x="147"/>
        <item x="319"/>
        <item x="64"/>
        <item x="133"/>
        <item x="190"/>
        <item x="418"/>
        <item x="395"/>
        <item x="27"/>
        <item x="538"/>
        <item x="354"/>
        <item x="405"/>
        <item x="366"/>
        <item x="106"/>
        <item x="90"/>
        <item x="37"/>
        <item x="111"/>
        <item x="236"/>
        <item x="397"/>
        <item x="513"/>
        <item x="289"/>
        <item x="367"/>
        <item x="426"/>
        <item x="35"/>
        <item x="55"/>
        <item x="141"/>
        <item x="393"/>
        <item x="210"/>
        <item x="368"/>
        <item x="46"/>
        <item x="349"/>
        <item x="416"/>
        <item x="248"/>
        <item x="252"/>
        <item x="283"/>
        <item x="15"/>
        <item x="525"/>
        <item x="479"/>
        <item x="78"/>
        <item x="495"/>
        <item x="414"/>
        <item x="217"/>
        <item x="84"/>
        <item x="486"/>
        <item x="300"/>
        <item x="235"/>
        <item x="65"/>
        <item x="304"/>
        <item x="72"/>
        <item x="208"/>
        <item x="310"/>
        <item x="528"/>
        <item x="380"/>
        <item x="400"/>
        <item x="494"/>
        <item x="127"/>
        <item x="446"/>
        <item x="502"/>
        <item x="352"/>
        <item x="131"/>
        <item x="527"/>
        <item x="520"/>
        <item x="322"/>
        <item x="451"/>
        <item x="530"/>
        <item x="158"/>
        <item x="427"/>
        <item x="31"/>
        <item x="480"/>
        <item x="12"/>
        <item x="242"/>
        <item x="465"/>
        <item x="497"/>
        <item x="176"/>
        <item x="338"/>
        <item x="347"/>
        <item x="263"/>
        <item x="44"/>
        <item x="514"/>
        <item x="384"/>
        <item x="197"/>
        <item x="189"/>
        <item x="151"/>
        <item x="522"/>
        <item x="50"/>
        <item x="21"/>
        <item x="537"/>
        <item x="19"/>
        <item x="386"/>
        <item x="130"/>
        <item x="394"/>
        <item x="363"/>
        <item x="61"/>
        <item x="237"/>
        <item x="24"/>
        <item x="339"/>
        <item x="5"/>
        <item x="466"/>
        <item x="341"/>
        <item x="251"/>
        <item x="398"/>
        <item x="435"/>
        <item x="429"/>
        <item x="288"/>
        <item x="48"/>
        <item x="311"/>
        <item x="128"/>
        <item x="247"/>
        <item x="253"/>
        <item x="298"/>
        <item x="383"/>
        <item x="501"/>
        <item x="119"/>
        <item x="292"/>
        <item x="438"/>
        <item x="433"/>
        <item x="94"/>
        <item x="73"/>
        <item x="334"/>
        <item x="103"/>
        <item x="297"/>
        <item x="142"/>
        <item x="110"/>
        <item x="508"/>
        <item x="129"/>
        <item x="191"/>
        <item x="415"/>
        <item x="97"/>
        <item x="328"/>
        <item x="232"/>
        <item x="92"/>
        <item x="180"/>
        <item x="379"/>
        <item x="456"/>
        <item x="269"/>
        <item x="315"/>
        <item x="459"/>
        <item x="294"/>
        <item x="254"/>
        <item x="471"/>
        <item x="258"/>
        <item x="205"/>
        <item x="249"/>
        <item x="449"/>
        <item x="54"/>
        <item x="260"/>
        <item x="401"/>
        <item x="183"/>
        <item x="493"/>
        <item x="272"/>
        <item x="323"/>
        <item x="360"/>
        <item x="255"/>
        <item x="126"/>
        <item x="171"/>
        <item x="188"/>
        <item x="10"/>
        <item x="168"/>
        <item x="135"/>
        <item x="32"/>
        <item x="67"/>
        <item x="287"/>
        <item x="439"/>
        <item x="57"/>
        <item x="499"/>
        <item x="221"/>
        <item x="245"/>
        <item x="209"/>
        <item x="93"/>
        <item x="348"/>
        <item x="462"/>
        <item x="343"/>
        <item x="155"/>
        <item x="290"/>
        <item x="452"/>
        <item x="327"/>
        <item x="23"/>
        <item x="154"/>
        <item x="42"/>
        <item x="172"/>
        <item x="460"/>
        <item x="145"/>
        <item x="407"/>
        <item x="36"/>
        <item x="332"/>
        <item x="356"/>
        <item x="25"/>
        <item x="152"/>
        <item x="33"/>
        <item x="385"/>
        <item x="280"/>
        <item x="234"/>
        <item x="422"/>
        <item x="498"/>
        <item x="270"/>
        <item x="3"/>
        <item x="216"/>
        <item x="482"/>
        <item x="165"/>
        <item x="26"/>
        <item x="240"/>
        <item x="330"/>
        <item x="125"/>
        <item x="442"/>
        <item x="282"/>
        <item x="299"/>
        <item x="207"/>
        <item x="335"/>
        <item x="58"/>
        <item x="440"/>
        <item x="76"/>
        <item x="193"/>
        <item x="390"/>
        <item x="228"/>
        <item x="357"/>
        <item x="329"/>
        <item x="476"/>
        <item x="95"/>
        <item x="20"/>
        <item x="199"/>
        <item x="396"/>
        <item x="372"/>
        <item x="336"/>
        <item x="9"/>
        <item x="59"/>
        <item x="75"/>
        <item x="262"/>
        <item x="14"/>
        <item x="309"/>
        <item x="107"/>
        <item x="526"/>
        <item x="410"/>
        <item x="71"/>
        <item x="488"/>
        <item x="114"/>
        <item x="81"/>
        <item x="267"/>
        <item x="196"/>
        <item x="437"/>
        <item x="425"/>
        <item x="104"/>
        <item x="214"/>
        <item x="351"/>
        <item x="317"/>
        <item x="293"/>
        <item x="424"/>
        <item x="201"/>
        <item x="100"/>
        <item x="423"/>
        <item x="301"/>
        <item x="419"/>
        <item x="313"/>
        <item x="273"/>
        <item x="261"/>
        <item x="314"/>
        <item x="345"/>
        <item x="318"/>
        <item x="60"/>
        <item x="333"/>
        <item x="56"/>
        <item x="132"/>
        <item x="4"/>
        <item x="445"/>
        <item x="490"/>
        <item x="137"/>
        <item x="387"/>
        <item x="18"/>
        <item x="264"/>
        <item x="45"/>
        <item x="392"/>
        <item x="175"/>
        <item x="420"/>
        <item x="79"/>
        <item x="463"/>
        <item x="534"/>
        <item x="431"/>
        <item x="461"/>
        <item x="43"/>
        <item x="40"/>
        <item x="77"/>
        <item x="517"/>
        <item x="167"/>
        <item x="11"/>
        <item x="6"/>
        <item x="212"/>
        <item x="453"/>
        <item x="143"/>
        <item x="182"/>
        <item x="454"/>
        <item x="241"/>
        <item x="279"/>
        <item x="150"/>
        <item x="361"/>
        <item x="164"/>
        <item x="268"/>
        <item x="492"/>
        <item x="195"/>
        <item x="306"/>
        <item x="444"/>
        <item x="0"/>
        <item x="146"/>
        <item x="82"/>
        <item x="342"/>
        <item x="447"/>
        <item x="200"/>
        <item x="87"/>
        <item x="38"/>
        <item x="503"/>
        <item x="243"/>
        <item x="124"/>
        <item x="148"/>
        <item x="474"/>
        <item x="382"/>
        <item x="187"/>
        <item x="340"/>
        <item x="509"/>
        <item x="487"/>
        <item x="376"/>
        <item x="326"/>
        <item x="231"/>
        <item x="371"/>
        <item x="325"/>
        <item x="358"/>
        <item x="417"/>
        <item x="115"/>
        <item x="496"/>
        <item x="28"/>
        <item x="219"/>
        <item x="344"/>
        <item x="412"/>
        <item x="473"/>
        <item x="403"/>
        <item x="529"/>
        <item x="257"/>
        <item x="524"/>
        <item x="85"/>
        <item x="388"/>
        <item x="312"/>
        <item x="122"/>
        <item x="320"/>
        <item x="355"/>
        <item x="238"/>
        <item x="483"/>
        <item x="276"/>
        <item x="246"/>
        <item x="173"/>
        <item x="364"/>
        <item x="353"/>
        <item x="136"/>
        <item x="53"/>
        <item x="259"/>
        <item x="516"/>
        <item x="365"/>
        <item x="278"/>
        <item x="161"/>
        <item x="470"/>
        <item x="34"/>
        <item x="134"/>
        <item x="303"/>
        <item x="68"/>
        <item x="121"/>
        <item x="481"/>
        <item x="455"/>
        <item x="472"/>
        <item x="389"/>
        <item x="140"/>
        <item x="181"/>
        <item x="518"/>
        <item x="434"/>
        <item x="144"/>
        <item x="277"/>
        <item x="500"/>
        <item x="507"/>
        <item x="52"/>
        <item x="174"/>
        <item x="7"/>
        <item x="88"/>
        <item x="163"/>
        <item x="49"/>
        <item x="138"/>
        <item x="160"/>
        <item x="489"/>
        <item x="29"/>
        <item x="157"/>
        <item x="381"/>
        <item x="511"/>
        <item x="256"/>
        <item x="373"/>
        <item x="285"/>
        <item x="239"/>
        <item x="86"/>
        <item x="450"/>
        <item x="271"/>
        <item x="184"/>
        <item x="477"/>
        <item x="223"/>
        <item x="284"/>
        <item x="515"/>
        <item x="265"/>
        <item x="404"/>
        <item x="421"/>
        <item x="117"/>
        <item x="178"/>
        <item x="391"/>
        <item x="203"/>
        <item x="406"/>
        <item x="275"/>
        <item x="399"/>
        <item x="177"/>
        <item x="533"/>
        <item x="305"/>
        <item x="512"/>
        <item x="350"/>
        <item x="308"/>
        <item x="475"/>
        <item x="531"/>
        <item x="222"/>
        <item x="464"/>
        <item x="430"/>
        <item x="41"/>
        <item x="536"/>
        <item x="286"/>
        <item x="99"/>
        <item x="162"/>
        <item x="202"/>
        <item x="244"/>
        <item x="484"/>
        <item x="226"/>
        <item x="204"/>
        <item x="159"/>
        <item x="22"/>
        <item x="218"/>
        <item x="47"/>
        <item x="458"/>
        <item x="224"/>
        <item x="225"/>
        <item x="535"/>
        <item x="337"/>
        <item x="230"/>
        <item x="505"/>
        <item x="13"/>
        <item x="296"/>
        <item x="69"/>
        <item x="402"/>
        <item x="485"/>
        <item x="74"/>
        <item x="101"/>
        <item x="369"/>
        <item x="302"/>
        <item x="51"/>
        <item x="118"/>
        <item x="374"/>
        <item x="123"/>
        <item x="186"/>
        <item x="321"/>
        <item x="370"/>
        <item x="62"/>
        <item x="436"/>
        <item x="156"/>
        <item x="467"/>
        <item x="91"/>
        <item x="105"/>
        <item x="1"/>
        <item x="109"/>
        <item x="539"/>
        <item x="468"/>
        <item x="441"/>
        <item x="519"/>
        <item x="80"/>
        <item x="192"/>
        <item x="63"/>
        <item x="98"/>
        <item x="185"/>
        <item x="346"/>
        <item x="30"/>
        <item x="112"/>
        <item x="411"/>
        <item x="266"/>
        <item x="506"/>
        <item x="375"/>
        <item x="413"/>
        <item x="170"/>
        <item x="70"/>
        <item x="198"/>
        <item x="504"/>
        <item x="250"/>
        <item x="331"/>
        <item x="194"/>
        <item x="457"/>
        <item x="274"/>
        <item x="377"/>
        <item x="443"/>
        <item x="307"/>
        <item x="362"/>
        <item x="206"/>
        <item x="229"/>
        <item x="448"/>
        <item x="523"/>
        <item x="215"/>
        <item x="220"/>
        <item x="211"/>
        <item x="324"/>
        <item x="149"/>
        <item x="116"/>
        <item x="153"/>
        <item x="316"/>
        <item x="491"/>
        <item x="179"/>
        <item x="83"/>
        <item x="166"/>
        <item x="478"/>
        <item x="295"/>
        <item x="227"/>
        <item x="432"/>
        <item x="428"/>
        <item x="113"/>
        <item x="359"/>
        <item x="8"/>
        <item x="281"/>
        <item x="39"/>
        <item x="409"/>
        <item x="378"/>
        <item x="291"/>
        <item x="233"/>
        <item x="139"/>
        <item x="96"/>
        <item x="2"/>
        <item x="102"/>
        <item x="66"/>
        <item x="408"/>
        <item x="510"/>
        <item x="16"/>
        <item x="120"/>
        <item x="17"/>
        <item x="532"/>
        <item x="169"/>
        <item t="default"/>
      </items>
    </pivotField>
    <pivotField numFmtId="14" showAll="0"/>
    <pivotField showAll="0"/>
    <pivotField showAll="0"/>
    <pivotField showAll="0">
      <items count="4">
        <item x="2"/>
        <item x="1"/>
        <item x="0"/>
        <item t="default"/>
      </items>
    </pivotField>
    <pivotField showAll="0"/>
    <pivotField showAll="0"/>
    <pivotField showAll="0"/>
    <pivotField axis="axisRow" showAll="0" sortType="ascending">
      <items count="5">
        <item x="3"/>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9"/>
  </rowFields>
  <rowItems count="5">
    <i>
      <x v="2"/>
    </i>
    <i>
      <x v="3"/>
    </i>
    <i>
      <x/>
    </i>
    <i>
      <x v="1"/>
    </i>
    <i t="grand">
      <x/>
    </i>
  </rowItems>
  <colItems count="1">
    <i/>
  </colItems>
  <dataFields count="1">
    <dataField name="Sum of Sales Amount" fld="15" baseField="0" baseItem="0"/>
  </dataFields>
  <formats count="1">
    <format dxfId="133">
      <pivotArea collapsedLevelsAreSubtotals="1" fieldPosition="0">
        <references count="1">
          <reference field="9"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75A4E0-E96B-49E1-9844-9FB0550F536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6:F11" firstHeaderRow="1" firstDataRow="1" firstDataCol="1"/>
  <pivotFields count="28">
    <pivotField showAll="0"/>
    <pivotField numFmtId="14" showAll="0">
      <items count="541">
        <item x="108"/>
        <item x="213"/>
        <item x="89"/>
        <item x="469"/>
        <item x="521"/>
        <item x="147"/>
        <item x="319"/>
        <item x="64"/>
        <item x="133"/>
        <item x="190"/>
        <item x="418"/>
        <item x="395"/>
        <item x="27"/>
        <item x="538"/>
        <item x="354"/>
        <item x="405"/>
        <item x="366"/>
        <item x="106"/>
        <item x="90"/>
        <item x="37"/>
        <item x="111"/>
        <item x="236"/>
        <item x="397"/>
        <item x="513"/>
        <item x="289"/>
        <item x="367"/>
        <item x="426"/>
        <item x="35"/>
        <item x="55"/>
        <item x="141"/>
        <item x="393"/>
        <item x="210"/>
        <item x="368"/>
        <item x="46"/>
        <item x="349"/>
        <item x="416"/>
        <item x="248"/>
        <item x="252"/>
        <item x="283"/>
        <item x="15"/>
        <item x="525"/>
        <item x="479"/>
        <item x="78"/>
        <item x="495"/>
        <item x="414"/>
        <item x="217"/>
        <item x="84"/>
        <item x="486"/>
        <item x="300"/>
        <item x="235"/>
        <item x="65"/>
        <item x="304"/>
        <item x="72"/>
        <item x="208"/>
        <item x="310"/>
        <item x="528"/>
        <item x="380"/>
        <item x="400"/>
        <item x="494"/>
        <item x="127"/>
        <item x="446"/>
        <item x="502"/>
        <item x="352"/>
        <item x="131"/>
        <item x="527"/>
        <item x="520"/>
        <item x="322"/>
        <item x="451"/>
        <item x="530"/>
        <item x="158"/>
        <item x="427"/>
        <item x="31"/>
        <item x="480"/>
        <item x="12"/>
        <item x="242"/>
        <item x="465"/>
        <item x="497"/>
        <item x="176"/>
        <item x="338"/>
        <item x="347"/>
        <item x="263"/>
        <item x="44"/>
        <item x="514"/>
        <item x="384"/>
        <item x="197"/>
        <item x="189"/>
        <item x="151"/>
        <item x="522"/>
        <item x="50"/>
        <item x="21"/>
        <item x="537"/>
        <item x="19"/>
        <item x="386"/>
        <item x="130"/>
        <item x="394"/>
        <item x="363"/>
        <item x="61"/>
        <item x="237"/>
        <item x="24"/>
        <item x="339"/>
        <item x="5"/>
        <item x="466"/>
        <item x="341"/>
        <item x="251"/>
        <item x="398"/>
        <item x="435"/>
        <item x="429"/>
        <item x="288"/>
        <item x="48"/>
        <item x="311"/>
        <item x="128"/>
        <item x="247"/>
        <item x="253"/>
        <item x="298"/>
        <item x="383"/>
        <item x="501"/>
        <item x="119"/>
        <item x="292"/>
        <item x="438"/>
        <item x="433"/>
        <item x="94"/>
        <item x="73"/>
        <item x="334"/>
        <item x="103"/>
        <item x="297"/>
        <item x="142"/>
        <item x="110"/>
        <item x="508"/>
        <item x="129"/>
        <item x="191"/>
        <item x="415"/>
        <item x="97"/>
        <item x="328"/>
        <item x="232"/>
        <item x="92"/>
        <item x="180"/>
        <item x="379"/>
        <item x="456"/>
        <item x="269"/>
        <item x="315"/>
        <item x="459"/>
        <item x="294"/>
        <item x="254"/>
        <item x="471"/>
        <item x="258"/>
        <item x="205"/>
        <item x="249"/>
        <item x="449"/>
        <item x="54"/>
        <item x="260"/>
        <item x="401"/>
        <item x="183"/>
        <item x="493"/>
        <item x="272"/>
        <item x="323"/>
        <item x="360"/>
        <item x="255"/>
        <item x="126"/>
        <item x="171"/>
        <item x="188"/>
        <item x="10"/>
        <item x="168"/>
        <item x="135"/>
        <item x="32"/>
        <item x="67"/>
        <item x="287"/>
        <item x="439"/>
        <item x="57"/>
        <item x="499"/>
        <item x="221"/>
        <item x="245"/>
        <item x="209"/>
        <item x="93"/>
        <item x="348"/>
        <item x="462"/>
        <item x="343"/>
        <item x="155"/>
        <item x="290"/>
        <item x="452"/>
        <item x="327"/>
        <item x="23"/>
        <item x="154"/>
        <item x="42"/>
        <item x="172"/>
        <item x="460"/>
        <item x="145"/>
        <item x="407"/>
        <item x="36"/>
        <item x="332"/>
        <item x="356"/>
        <item x="25"/>
        <item x="152"/>
        <item x="33"/>
        <item x="385"/>
        <item x="280"/>
        <item x="234"/>
        <item x="422"/>
        <item x="498"/>
        <item x="270"/>
        <item x="3"/>
        <item x="216"/>
        <item x="482"/>
        <item x="165"/>
        <item x="26"/>
        <item x="240"/>
        <item x="330"/>
        <item x="125"/>
        <item x="442"/>
        <item x="282"/>
        <item x="299"/>
        <item x="207"/>
        <item x="335"/>
        <item x="58"/>
        <item x="440"/>
        <item x="76"/>
        <item x="193"/>
        <item x="390"/>
        <item x="228"/>
        <item x="357"/>
        <item x="329"/>
        <item x="476"/>
        <item x="95"/>
        <item x="20"/>
        <item x="199"/>
        <item x="396"/>
        <item x="372"/>
        <item x="336"/>
        <item x="9"/>
        <item x="59"/>
        <item x="75"/>
        <item x="262"/>
        <item x="14"/>
        <item x="309"/>
        <item x="107"/>
        <item x="526"/>
        <item x="410"/>
        <item x="71"/>
        <item x="488"/>
        <item x="114"/>
        <item x="81"/>
        <item x="267"/>
        <item x="196"/>
        <item x="437"/>
        <item x="425"/>
        <item x="104"/>
        <item x="214"/>
        <item x="351"/>
        <item x="317"/>
        <item x="293"/>
        <item x="424"/>
        <item x="201"/>
        <item x="100"/>
        <item x="423"/>
        <item x="301"/>
        <item x="419"/>
        <item x="313"/>
        <item x="273"/>
        <item x="261"/>
        <item x="314"/>
        <item x="345"/>
        <item x="318"/>
        <item x="60"/>
        <item x="333"/>
        <item x="56"/>
        <item x="132"/>
        <item x="4"/>
        <item x="445"/>
        <item x="490"/>
        <item x="137"/>
        <item x="387"/>
        <item x="18"/>
        <item x="264"/>
        <item x="45"/>
        <item x="392"/>
        <item x="175"/>
        <item x="420"/>
        <item x="79"/>
        <item x="463"/>
        <item x="534"/>
        <item x="431"/>
        <item x="461"/>
        <item x="43"/>
        <item x="40"/>
        <item x="77"/>
        <item x="517"/>
        <item x="167"/>
        <item x="11"/>
        <item x="6"/>
        <item x="212"/>
        <item x="453"/>
        <item x="143"/>
        <item x="182"/>
        <item x="454"/>
        <item x="241"/>
        <item x="279"/>
        <item x="150"/>
        <item x="361"/>
        <item x="164"/>
        <item x="268"/>
        <item x="492"/>
        <item x="195"/>
        <item x="306"/>
        <item x="444"/>
        <item x="0"/>
        <item x="146"/>
        <item x="82"/>
        <item x="342"/>
        <item x="447"/>
        <item x="200"/>
        <item x="87"/>
        <item x="38"/>
        <item x="503"/>
        <item x="243"/>
        <item x="124"/>
        <item x="148"/>
        <item x="474"/>
        <item x="382"/>
        <item x="187"/>
        <item x="340"/>
        <item x="509"/>
        <item x="487"/>
        <item x="376"/>
        <item x="326"/>
        <item x="231"/>
        <item x="371"/>
        <item x="325"/>
        <item x="358"/>
        <item x="417"/>
        <item x="115"/>
        <item x="496"/>
        <item x="28"/>
        <item x="219"/>
        <item x="344"/>
        <item x="412"/>
        <item x="473"/>
        <item x="403"/>
        <item x="529"/>
        <item x="257"/>
        <item x="524"/>
        <item x="85"/>
        <item x="388"/>
        <item x="312"/>
        <item x="122"/>
        <item x="320"/>
        <item x="355"/>
        <item x="238"/>
        <item x="483"/>
        <item x="276"/>
        <item x="246"/>
        <item x="173"/>
        <item x="364"/>
        <item x="353"/>
        <item x="136"/>
        <item x="53"/>
        <item x="259"/>
        <item x="516"/>
        <item x="365"/>
        <item x="278"/>
        <item x="161"/>
        <item x="470"/>
        <item x="34"/>
        <item x="134"/>
        <item x="303"/>
        <item x="68"/>
        <item x="121"/>
        <item x="481"/>
        <item x="455"/>
        <item x="472"/>
        <item x="389"/>
        <item x="140"/>
        <item x="181"/>
        <item x="518"/>
        <item x="434"/>
        <item x="144"/>
        <item x="277"/>
        <item x="500"/>
        <item x="507"/>
        <item x="52"/>
        <item x="174"/>
        <item x="7"/>
        <item x="88"/>
        <item x="163"/>
        <item x="49"/>
        <item x="138"/>
        <item x="160"/>
        <item x="489"/>
        <item x="29"/>
        <item x="157"/>
        <item x="381"/>
        <item x="511"/>
        <item x="256"/>
        <item x="373"/>
        <item x="285"/>
        <item x="239"/>
        <item x="86"/>
        <item x="450"/>
        <item x="271"/>
        <item x="184"/>
        <item x="477"/>
        <item x="223"/>
        <item x="284"/>
        <item x="515"/>
        <item x="265"/>
        <item x="404"/>
        <item x="421"/>
        <item x="117"/>
        <item x="178"/>
        <item x="391"/>
        <item x="203"/>
        <item x="406"/>
        <item x="275"/>
        <item x="399"/>
        <item x="177"/>
        <item x="533"/>
        <item x="305"/>
        <item x="512"/>
        <item x="350"/>
        <item x="308"/>
        <item x="475"/>
        <item x="531"/>
        <item x="222"/>
        <item x="464"/>
        <item x="430"/>
        <item x="41"/>
        <item x="536"/>
        <item x="286"/>
        <item x="99"/>
        <item x="162"/>
        <item x="202"/>
        <item x="244"/>
        <item x="484"/>
        <item x="226"/>
        <item x="204"/>
        <item x="159"/>
        <item x="22"/>
        <item x="218"/>
        <item x="47"/>
        <item x="458"/>
        <item x="224"/>
        <item x="225"/>
        <item x="535"/>
        <item x="337"/>
        <item x="230"/>
        <item x="505"/>
        <item x="13"/>
        <item x="296"/>
        <item x="69"/>
        <item x="402"/>
        <item x="485"/>
        <item x="74"/>
        <item x="101"/>
        <item x="369"/>
        <item x="302"/>
        <item x="51"/>
        <item x="118"/>
        <item x="374"/>
        <item x="123"/>
        <item x="186"/>
        <item x="321"/>
        <item x="370"/>
        <item x="62"/>
        <item x="436"/>
        <item x="156"/>
        <item x="467"/>
        <item x="91"/>
        <item x="105"/>
        <item x="1"/>
        <item x="109"/>
        <item x="539"/>
        <item x="468"/>
        <item x="441"/>
        <item x="519"/>
        <item x="80"/>
        <item x="192"/>
        <item x="63"/>
        <item x="98"/>
        <item x="185"/>
        <item x="346"/>
        <item x="30"/>
        <item x="112"/>
        <item x="411"/>
        <item x="266"/>
        <item x="506"/>
        <item x="375"/>
        <item x="413"/>
        <item x="170"/>
        <item x="70"/>
        <item x="198"/>
        <item x="504"/>
        <item x="250"/>
        <item x="331"/>
        <item x="194"/>
        <item x="457"/>
        <item x="274"/>
        <item x="377"/>
        <item x="443"/>
        <item x="307"/>
        <item x="362"/>
        <item x="206"/>
        <item x="229"/>
        <item x="448"/>
        <item x="523"/>
        <item x="215"/>
        <item x="220"/>
        <item x="211"/>
        <item x="324"/>
        <item x="149"/>
        <item x="116"/>
        <item x="153"/>
        <item x="316"/>
        <item x="491"/>
        <item x="179"/>
        <item x="83"/>
        <item x="166"/>
        <item x="478"/>
        <item x="295"/>
        <item x="227"/>
        <item x="432"/>
        <item x="428"/>
        <item x="113"/>
        <item x="359"/>
        <item x="8"/>
        <item x="281"/>
        <item x="39"/>
        <item x="409"/>
        <item x="378"/>
        <item x="291"/>
        <item x="233"/>
        <item x="139"/>
        <item x="96"/>
        <item x="2"/>
        <item x="102"/>
        <item x="66"/>
        <item x="408"/>
        <item x="510"/>
        <item x="16"/>
        <item x="120"/>
        <item x="17"/>
        <item x="532"/>
        <item x="169"/>
        <item t="default"/>
      </items>
    </pivotField>
    <pivotField numFmtId="14" showAll="0"/>
    <pivotField showAll="0"/>
    <pivotField showAll="0"/>
    <pivotField showAll="0">
      <items count="4">
        <item x="2"/>
        <item x="1"/>
        <item x="0"/>
        <item t="default"/>
      </items>
    </pivotField>
    <pivotField showAll="0"/>
    <pivotField showAll="0"/>
    <pivotField axis="axisRow" showAll="0" sortType="ascending">
      <items count="5">
        <item x="1"/>
        <item x="2"/>
        <item x="3"/>
        <item x="0"/>
        <item t="default"/>
      </items>
      <autoSortScope>
        <pivotArea dataOnly="0" outline="0" fieldPosition="0">
          <references count="1">
            <reference field="4294967294" count="1" selected="0">
              <x v="0"/>
            </reference>
          </references>
        </pivotArea>
      </autoSortScope>
    </pivotField>
    <pivotField showAll="0">
      <items count="5">
        <item x="3"/>
        <item x="0"/>
        <item x="1"/>
        <item x="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5">
    <i>
      <x v="2"/>
    </i>
    <i>
      <x v="3"/>
    </i>
    <i>
      <x v="1"/>
    </i>
    <i>
      <x/>
    </i>
    <i t="grand">
      <x/>
    </i>
  </rowItems>
  <colItems count="1">
    <i/>
  </colItems>
  <dataFields count="1">
    <dataField name="Sum of Profit" fld="17" baseField="0" baseItem="0"/>
  </dataFields>
  <formats count="1">
    <format dxfId="134">
      <pivotArea collapsedLevelsAreSubtotals="1" fieldPosition="0">
        <references count="1">
          <reference field="8" count="0"/>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49D68A-A8B5-48B0-AD5A-51B3B360E96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4:F40" firstHeaderRow="1" firstDataRow="1" firstDataCol="1"/>
  <pivotFields count="28">
    <pivotField showAll="0"/>
    <pivotField numFmtId="14" showAll="0">
      <items count="541">
        <item x="108"/>
        <item x="213"/>
        <item x="89"/>
        <item x="469"/>
        <item x="521"/>
        <item x="147"/>
        <item x="319"/>
        <item x="64"/>
        <item x="133"/>
        <item x="190"/>
        <item x="418"/>
        <item x="395"/>
        <item x="27"/>
        <item x="538"/>
        <item x="354"/>
        <item x="405"/>
        <item x="366"/>
        <item x="106"/>
        <item x="90"/>
        <item x="37"/>
        <item x="111"/>
        <item x="236"/>
        <item x="397"/>
        <item x="513"/>
        <item x="289"/>
        <item x="367"/>
        <item x="426"/>
        <item x="35"/>
        <item x="55"/>
        <item x="141"/>
        <item x="393"/>
        <item x="210"/>
        <item x="368"/>
        <item x="46"/>
        <item x="349"/>
        <item x="416"/>
        <item x="248"/>
        <item x="252"/>
        <item x="283"/>
        <item x="15"/>
        <item x="525"/>
        <item x="479"/>
        <item x="78"/>
        <item x="495"/>
        <item x="414"/>
        <item x="217"/>
        <item x="84"/>
        <item x="486"/>
        <item x="300"/>
        <item x="235"/>
        <item x="65"/>
        <item x="304"/>
        <item x="72"/>
        <item x="208"/>
        <item x="310"/>
        <item x="528"/>
        <item x="380"/>
        <item x="400"/>
        <item x="494"/>
        <item x="127"/>
        <item x="446"/>
        <item x="502"/>
        <item x="352"/>
        <item x="131"/>
        <item x="527"/>
        <item x="520"/>
        <item x="322"/>
        <item x="451"/>
        <item x="530"/>
        <item x="158"/>
        <item x="427"/>
        <item x="31"/>
        <item x="480"/>
        <item x="12"/>
        <item x="242"/>
        <item x="465"/>
        <item x="497"/>
        <item x="176"/>
        <item x="338"/>
        <item x="347"/>
        <item x="263"/>
        <item x="44"/>
        <item x="514"/>
        <item x="384"/>
        <item x="197"/>
        <item x="189"/>
        <item x="151"/>
        <item x="522"/>
        <item x="50"/>
        <item x="21"/>
        <item x="537"/>
        <item x="19"/>
        <item x="386"/>
        <item x="130"/>
        <item x="394"/>
        <item x="363"/>
        <item x="61"/>
        <item x="237"/>
        <item x="24"/>
        <item x="339"/>
        <item x="5"/>
        <item x="466"/>
        <item x="341"/>
        <item x="251"/>
        <item x="398"/>
        <item x="435"/>
        <item x="429"/>
        <item x="288"/>
        <item x="48"/>
        <item x="311"/>
        <item x="128"/>
        <item x="247"/>
        <item x="253"/>
        <item x="298"/>
        <item x="383"/>
        <item x="501"/>
        <item x="119"/>
        <item x="292"/>
        <item x="438"/>
        <item x="433"/>
        <item x="94"/>
        <item x="73"/>
        <item x="334"/>
        <item x="103"/>
        <item x="297"/>
        <item x="142"/>
        <item x="110"/>
        <item x="508"/>
        <item x="129"/>
        <item x="191"/>
        <item x="415"/>
        <item x="97"/>
        <item x="328"/>
        <item x="232"/>
        <item x="92"/>
        <item x="180"/>
        <item x="379"/>
        <item x="456"/>
        <item x="269"/>
        <item x="315"/>
        <item x="459"/>
        <item x="294"/>
        <item x="254"/>
        <item x="471"/>
        <item x="258"/>
        <item x="205"/>
        <item x="249"/>
        <item x="449"/>
        <item x="54"/>
        <item x="260"/>
        <item x="401"/>
        <item x="183"/>
        <item x="493"/>
        <item x="272"/>
        <item x="323"/>
        <item x="360"/>
        <item x="255"/>
        <item x="126"/>
        <item x="171"/>
        <item x="188"/>
        <item x="10"/>
        <item x="168"/>
        <item x="135"/>
        <item x="32"/>
        <item x="67"/>
        <item x="287"/>
        <item x="439"/>
        <item x="57"/>
        <item x="499"/>
        <item x="221"/>
        <item x="245"/>
        <item x="209"/>
        <item x="93"/>
        <item x="348"/>
        <item x="462"/>
        <item x="343"/>
        <item x="155"/>
        <item x="290"/>
        <item x="452"/>
        <item x="327"/>
        <item x="23"/>
        <item x="154"/>
        <item x="42"/>
        <item x="172"/>
        <item x="460"/>
        <item x="145"/>
        <item x="407"/>
        <item x="36"/>
        <item x="332"/>
        <item x="356"/>
        <item x="25"/>
        <item x="152"/>
        <item x="33"/>
        <item x="385"/>
        <item x="280"/>
        <item x="234"/>
        <item x="422"/>
        <item x="498"/>
        <item x="270"/>
        <item x="3"/>
        <item x="216"/>
        <item x="482"/>
        <item x="165"/>
        <item x="26"/>
        <item x="240"/>
        <item x="330"/>
        <item x="125"/>
        <item x="442"/>
        <item x="282"/>
        <item x="299"/>
        <item x="207"/>
        <item x="335"/>
        <item x="58"/>
        <item x="440"/>
        <item x="76"/>
        <item x="193"/>
        <item x="390"/>
        <item x="228"/>
        <item x="357"/>
        <item x="329"/>
        <item x="476"/>
        <item x="95"/>
        <item x="20"/>
        <item x="199"/>
        <item x="396"/>
        <item x="372"/>
        <item x="336"/>
        <item x="9"/>
        <item x="59"/>
        <item x="75"/>
        <item x="262"/>
        <item x="14"/>
        <item x="309"/>
        <item x="107"/>
        <item x="526"/>
        <item x="410"/>
        <item x="71"/>
        <item x="488"/>
        <item x="114"/>
        <item x="81"/>
        <item x="267"/>
        <item x="196"/>
        <item x="437"/>
        <item x="425"/>
        <item x="104"/>
        <item x="214"/>
        <item x="351"/>
        <item x="317"/>
        <item x="293"/>
        <item x="424"/>
        <item x="201"/>
        <item x="100"/>
        <item x="423"/>
        <item x="301"/>
        <item x="419"/>
        <item x="313"/>
        <item x="273"/>
        <item x="261"/>
        <item x="314"/>
        <item x="345"/>
        <item x="318"/>
        <item x="60"/>
        <item x="333"/>
        <item x="56"/>
        <item x="132"/>
        <item x="4"/>
        <item x="445"/>
        <item x="490"/>
        <item x="137"/>
        <item x="387"/>
        <item x="18"/>
        <item x="264"/>
        <item x="45"/>
        <item x="392"/>
        <item x="175"/>
        <item x="420"/>
        <item x="79"/>
        <item x="463"/>
        <item x="534"/>
        <item x="431"/>
        <item x="461"/>
        <item x="43"/>
        <item x="40"/>
        <item x="77"/>
        <item x="517"/>
        <item x="167"/>
        <item x="11"/>
        <item x="6"/>
        <item x="212"/>
        <item x="453"/>
        <item x="143"/>
        <item x="182"/>
        <item x="454"/>
        <item x="241"/>
        <item x="279"/>
        <item x="150"/>
        <item x="361"/>
        <item x="164"/>
        <item x="268"/>
        <item x="492"/>
        <item x="195"/>
        <item x="306"/>
        <item x="444"/>
        <item x="0"/>
        <item x="146"/>
        <item x="82"/>
        <item x="342"/>
        <item x="447"/>
        <item x="200"/>
        <item x="87"/>
        <item x="38"/>
        <item x="503"/>
        <item x="243"/>
        <item x="124"/>
        <item x="148"/>
        <item x="474"/>
        <item x="382"/>
        <item x="187"/>
        <item x="340"/>
        <item x="509"/>
        <item x="487"/>
        <item x="376"/>
        <item x="326"/>
        <item x="231"/>
        <item x="371"/>
        <item x="325"/>
        <item x="358"/>
        <item x="417"/>
        <item x="115"/>
        <item x="496"/>
        <item x="28"/>
        <item x="219"/>
        <item x="344"/>
        <item x="412"/>
        <item x="473"/>
        <item x="403"/>
        <item x="529"/>
        <item x="257"/>
        <item x="524"/>
        <item x="85"/>
        <item x="388"/>
        <item x="312"/>
        <item x="122"/>
        <item x="320"/>
        <item x="355"/>
        <item x="238"/>
        <item x="483"/>
        <item x="276"/>
        <item x="246"/>
        <item x="173"/>
        <item x="364"/>
        <item x="353"/>
        <item x="136"/>
        <item x="53"/>
        <item x="259"/>
        <item x="516"/>
        <item x="365"/>
        <item x="278"/>
        <item x="161"/>
        <item x="470"/>
        <item x="34"/>
        <item x="134"/>
        <item x="303"/>
        <item x="68"/>
        <item x="121"/>
        <item x="481"/>
        <item x="455"/>
        <item x="472"/>
        <item x="389"/>
        <item x="140"/>
        <item x="181"/>
        <item x="518"/>
        <item x="434"/>
        <item x="144"/>
        <item x="277"/>
        <item x="500"/>
        <item x="507"/>
        <item x="52"/>
        <item x="174"/>
        <item x="7"/>
        <item x="88"/>
        <item x="163"/>
        <item x="49"/>
        <item x="138"/>
        <item x="160"/>
        <item x="489"/>
        <item x="29"/>
        <item x="157"/>
        <item x="381"/>
        <item x="511"/>
        <item x="256"/>
        <item x="373"/>
        <item x="285"/>
        <item x="239"/>
        <item x="86"/>
        <item x="450"/>
        <item x="271"/>
        <item x="184"/>
        <item x="477"/>
        <item x="223"/>
        <item x="284"/>
        <item x="515"/>
        <item x="265"/>
        <item x="404"/>
        <item x="421"/>
        <item x="117"/>
        <item x="178"/>
        <item x="391"/>
        <item x="203"/>
        <item x="406"/>
        <item x="275"/>
        <item x="399"/>
        <item x="177"/>
        <item x="533"/>
        <item x="305"/>
        <item x="512"/>
        <item x="350"/>
        <item x="308"/>
        <item x="475"/>
        <item x="531"/>
        <item x="222"/>
        <item x="464"/>
        <item x="430"/>
        <item x="41"/>
        <item x="536"/>
        <item x="286"/>
        <item x="99"/>
        <item x="162"/>
        <item x="202"/>
        <item x="244"/>
        <item x="484"/>
        <item x="226"/>
        <item x="204"/>
        <item x="159"/>
        <item x="22"/>
        <item x="218"/>
        <item x="47"/>
        <item x="458"/>
        <item x="224"/>
        <item x="225"/>
        <item x="535"/>
        <item x="337"/>
        <item x="230"/>
        <item x="505"/>
        <item x="13"/>
        <item x="296"/>
        <item x="69"/>
        <item x="402"/>
        <item x="485"/>
        <item x="74"/>
        <item x="101"/>
        <item x="369"/>
        <item x="302"/>
        <item x="51"/>
        <item x="118"/>
        <item x="374"/>
        <item x="123"/>
        <item x="186"/>
        <item x="321"/>
        <item x="370"/>
        <item x="62"/>
        <item x="436"/>
        <item x="156"/>
        <item x="467"/>
        <item x="91"/>
        <item x="105"/>
        <item x="1"/>
        <item x="109"/>
        <item x="539"/>
        <item x="468"/>
        <item x="441"/>
        <item x="519"/>
        <item x="80"/>
        <item x="192"/>
        <item x="63"/>
        <item x="98"/>
        <item x="185"/>
        <item x="346"/>
        <item x="30"/>
        <item x="112"/>
        <item x="411"/>
        <item x="266"/>
        <item x="506"/>
        <item x="375"/>
        <item x="413"/>
        <item x="170"/>
        <item x="70"/>
        <item x="198"/>
        <item x="504"/>
        <item x="250"/>
        <item x="331"/>
        <item x="194"/>
        <item x="457"/>
        <item x="274"/>
        <item x="377"/>
        <item x="443"/>
        <item x="307"/>
        <item x="362"/>
        <item x="206"/>
        <item x="229"/>
        <item x="448"/>
        <item x="523"/>
        <item x="215"/>
        <item x="220"/>
        <item x="211"/>
        <item x="324"/>
        <item x="149"/>
        <item x="116"/>
        <item x="153"/>
        <item x="316"/>
        <item x="491"/>
        <item x="179"/>
        <item x="83"/>
        <item x="166"/>
        <item x="478"/>
        <item x="295"/>
        <item x="227"/>
        <item x="432"/>
        <item x="428"/>
        <item x="113"/>
        <item x="359"/>
        <item x="8"/>
        <item x="281"/>
        <item x="39"/>
        <item x="409"/>
        <item x="378"/>
        <item x="291"/>
        <item x="233"/>
        <item x="139"/>
        <item x="96"/>
        <item x="2"/>
        <item x="102"/>
        <item x="66"/>
        <item x="408"/>
        <item x="510"/>
        <item x="16"/>
        <item x="120"/>
        <item x="17"/>
        <item x="532"/>
        <item x="169"/>
        <item t="default"/>
      </items>
    </pivotField>
    <pivotField numFmtId="14" showAll="0"/>
    <pivotField showAll="0"/>
    <pivotField axis="axisRow" showAll="0" measureFilter="1" sortType="ascending">
      <items count="990">
        <item x="301"/>
        <item x="960"/>
        <item x="776"/>
        <item x="645"/>
        <item x="870"/>
        <item x="791"/>
        <item x="621"/>
        <item x="832"/>
        <item x="541"/>
        <item x="160"/>
        <item x="516"/>
        <item x="159"/>
        <item x="320"/>
        <item x="362"/>
        <item x="260"/>
        <item x="902"/>
        <item x="330"/>
        <item x="556"/>
        <item x="565"/>
        <item x="601"/>
        <item x="849"/>
        <item x="862"/>
        <item x="945"/>
        <item x="560"/>
        <item x="898"/>
        <item x="1"/>
        <item x="893"/>
        <item x="657"/>
        <item x="703"/>
        <item x="64"/>
        <item x="934"/>
        <item x="957"/>
        <item x="929"/>
        <item x="507"/>
        <item x="665"/>
        <item x="802"/>
        <item x="867"/>
        <item x="411"/>
        <item x="754"/>
        <item x="535"/>
        <item x="168"/>
        <item x="781"/>
        <item x="157"/>
        <item x="61"/>
        <item x="298"/>
        <item x="489"/>
        <item x="177"/>
        <item x="682"/>
        <item x="68"/>
        <item x="396"/>
        <item x="394"/>
        <item x="97"/>
        <item x="798"/>
        <item x="139"/>
        <item x="261"/>
        <item x="506"/>
        <item x="749"/>
        <item x="47"/>
        <item x="141"/>
        <item x="563"/>
        <item x="356"/>
        <item x="915"/>
        <item x="316"/>
        <item x="375"/>
        <item x="850"/>
        <item x="95"/>
        <item x="713"/>
        <item x="40"/>
        <item x="632"/>
        <item x="354"/>
        <item x="806"/>
        <item x="557"/>
        <item x="418"/>
        <item x="765"/>
        <item x="785"/>
        <item x="213"/>
        <item x="189"/>
        <item x="828"/>
        <item x="766"/>
        <item x="88"/>
        <item x="121"/>
        <item x="201"/>
        <item x="113"/>
        <item x="714"/>
        <item x="903"/>
        <item x="721"/>
        <item x="136"/>
        <item x="326"/>
        <item x="443"/>
        <item x="800"/>
        <item x="759"/>
        <item x="29"/>
        <item x="884"/>
        <item x="685"/>
        <item x="87"/>
        <item x="323"/>
        <item x="573"/>
        <item x="853"/>
        <item x="854"/>
        <item x="491"/>
        <item x="771"/>
        <item x="888"/>
        <item x="635"/>
        <item x="669"/>
        <item x="187"/>
        <item x="180"/>
        <item x="10"/>
        <item x="465"/>
        <item x="542"/>
        <item x="328"/>
        <item x="107"/>
        <item x="688"/>
        <item x="367"/>
        <item x="345"/>
        <item x="500"/>
        <item x="174"/>
        <item x="908"/>
        <item x="228"/>
        <item x="215"/>
        <item x="885"/>
        <item x="873"/>
        <item x="747"/>
        <item x="470"/>
        <item x="248"/>
        <item x="763"/>
        <item x="539"/>
        <item x="829"/>
        <item x="271"/>
        <item x="920"/>
        <item x="441"/>
        <item x="325"/>
        <item x="313"/>
        <item x="650"/>
        <item x="905"/>
        <item x="524"/>
        <item x="35"/>
        <item x="953"/>
        <item x="460"/>
        <item x="106"/>
        <item x="306"/>
        <item x="116"/>
        <item x="309"/>
        <item x="799"/>
        <item x="743"/>
        <item x="738"/>
        <item x="705"/>
        <item x="837"/>
        <item x="233"/>
        <item x="831"/>
        <item x="181"/>
        <item x="267"/>
        <item x="122"/>
        <item x="704"/>
        <item x="656"/>
        <item x="686"/>
        <item x="318"/>
        <item x="219"/>
        <item x="622"/>
        <item x="348"/>
        <item x="926"/>
        <item x="585"/>
        <item x="667"/>
        <item x="963"/>
        <item x="677"/>
        <item x="651"/>
        <item x="115"/>
        <item x="554"/>
        <item x="913"/>
        <item x="868"/>
        <item x="54"/>
        <item x="624"/>
        <item x="633"/>
        <item x="777"/>
        <item x="398"/>
        <item x="427"/>
        <item x="822"/>
        <item x="387"/>
        <item x="692"/>
        <item x="891"/>
        <item x="538"/>
        <item x="424"/>
        <item x="561"/>
        <item x="349"/>
        <item x="227"/>
        <item x="176"/>
        <item x="753"/>
        <item x="247"/>
        <item x="589"/>
        <item x="983"/>
        <item x="878"/>
        <item x="43"/>
        <item x="133"/>
        <item x="475"/>
        <item x="863"/>
        <item x="178"/>
        <item x="739"/>
        <item x="982"/>
        <item x="732"/>
        <item x="655"/>
        <item x="717"/>
        <item x="193"/>
        <item x="966"/>
        <item x="890"/>
        <item x="264"/>
        <item x="553"/>
        <item x="198"/>
        <item x="976"/>
        <item x="192"/>
        <item x="614"/>
        <item x="448"/>
        <item x="733"/>
        <item x="385"/>
        <item x="577"/>
        <item x="773"/>
        <item x="715"/>
        <item x="62"/>
        <item x="120"/>
        <item x="270"/>
        <item x="58"/>
        <item x="930"/>
        <item x="845"/>
        <item x="558"/>
        <item x="55"/>
        <item x="551"/>
        <item x="75"/>
        <item x="842"/>
        <item x="406"/>
        <item x="102"/>
        <item x="813"/>
        <item x="529"/>
        <item x="925"/>
        <item x="240"/>
        <item x="145"/>
        <item x="548"/>
        <item x="681"/>
        <item x="195"/>
        <item x="243"/>
        <item x="545"/>
        <item x="775"/>
        <item x="672"/>
        <item x="932"/>
        <item x="985"/>
        <item x="702"/>
        <item x="786"/>
        <item x="440"/>
        <item x="85"/>
        <item x="41"/>
        <item x="351"/>
        <item x="795"/>
        <item x="222"/>
        <item x="483"/>
        <item x="947"/>
        <item x="783"/>
        <item x="937"/>
        <item x="587"/>
        <item x="610"/>
        <item x="576"/>
        <item x="547"/>
        <item x="599"/>
        <item x="876"/>
        <item x="555"/>
        <item x="392"/>
        <item x="196"/>
        <item x="71"/>
        <item x="731"/>
        <item x="190"/>
        <item x="402"/>
        <item x="521"/>
        <item x="307"/>
        <item x="42"/>
        <item x="648"/>
        <item x="230"/>
        <item x="782"/>
        <item x="401"/>
        <item x="566"/>
        <item x="617"/>
        <item x="482"/>
        <item x="819"/>
        <item x="389"/>
        <item x="626"/>
        <item x="574"/>
        <item x="956"/>
        <item x="96"/>
        <item x="962"/>
        <item x="451"/>
        <item x="14"/>
        <item x="25"/>
        <item x="526"/>
        <item x="949"/>
        <item x="895"/>
        <item x="119"/>
        <item x="140"/>
        <item x="748"/>
        <item x="727"/>
        <item x="131"/>
        <item x="826"/>
        <item x="684"/>
        <item x="805"/>
        <item x="522"/>
        <item x="428"/>
        <item x="512"/>
        <item x="135"/>
        <item x="274"/>
        <item x="409"/>
        <item x="449"/>
        <item x="613"/>
        <item x="72"/>
        <item x="897"/>
        <item x="866"/>
        <item x="360"/>
        <item x="170"/>
        <item x="640"/>
        <item x="381"/>
        <item x="426"/>
        <item x="980"/>
        <item x="582"/>
        <item x="361"/>
        <item x="162"/>
        <item x="571"/>
        <item x="74"/>
        <item x="768"/>
        <item x="879"/>
        <item x="245"/>
        <item x="627"/>
        <item x="124"/>
        <item x="788"/>
        <item x="978"/>
        <item x="283"/>
        <item x="273"/>
        <item x="355"/>
        <item x="790"/>
        <item x="206"/>
        <item x="638"/>
        <item x="515"/>
        <item x="479"/>
        <item x="212"/>
        <item x="901"/>
        <item x="19"/>
        <item x="975"/>
        <item x="497"/>
        <item x="297"/>
        <item x="78"/>
        <item x="543"/>
        <item x="970"/>
        <item x="914"/>
        <item x="259"/>
        <item x="952"/>
        <item x="466"/>
        <item x="417"/>
        <item x="446"/>
        <item x="513"/>
        <item x="4"/>
        <item x="886"/>
        <item x="940"/>
        <item x="933"/>
        <item x="480"/>
        <item x="958"/>
        <item x="779"/>
        <item x="955"/>
        <item x="363"/>
        <item x="818"/>
        <item x="202"/>
        <item x="39"/>
        <item x="619"/>
        <item x="100"/>
        <item x="472"/>
        <item x="253"/>
        <item x="586"/>
        <item x="403"/>
        <item x="294"/>
        <item x="764"/>
        <item x="338"/>
        <item x="701"/>
        <item x="80"/>
        <item x="883"/>
        <item x="391"/>
        <item x="463"/>
        <item x="935"/>
        <item x="804"/>
        <item x="242"/>
        <item x="184"/>
        <item x="880"/>
        <item x="625"/>
        <item x="150"/>
        <item x="855"/>
        <item x="841"/>
        <item x="477"/>
        <item x="335"/>
        <item x="772"/>
        <item x="143"/>
        <item x="724"/>
        <item x="839"/>
        <item x="395"/>
        <item x="847"/>
        <item x="894"/>
        <item x="628"/>
        <item x="169"/>
        <item x="615"/>
        <item x="249"/>
        <item x="807"/>
        <item x="152"/>
        <item x="848"/>
        <item x="235"/>
        <item x="872"/>
        <item x="530"/>
        <item x="981"/>
        <item x="185"/>
        <item x="911"/>
        <item x="502"/>
        <item x="156"/>
        <item x="974"/>
        <item x="598"/>
        <item x="8"/>
        <item x="693"/>
        <item x="461"/>
        <item x="339"/>
        <item x="517"/>
        <item x="735"/>
        <item x="711"/>
        <item x="109"/>
        <item x="865"/>
        <item x="718"/>
        <item x="823"/>
        <item x="965"/>
        <item x="719"/>
        <item x="808"/>
        <item x="404"/>
        <item x="455"/>
        <item x="280"/>
        <item x="476"/>
        <item x="641"/>
        <item x="931"/>
        <item x="66"/>
        <item x="138"/>
        <item x="216"/>
        <item x="762"/>
        <item x="811"/>
        <item x="125"/>
        <item x="343"/>
        <item x="707"/>
        <item x="758"/>
        <item x="18"/>
        <item x="13"/>
        <item x="740"/>
        <item x="689"/>
        <item x="99"/>
        <item x="276"/>
        <item x="214"/>
        <item x="347"/>
        <item x="881"/>
        <item x="114"/>
        <item x="851"/>
        <item x="531"/>
        <item x="350"/>
        <item x="616"/>
        <item x="341"/>
        <item x="492"/>
        <item x="636"/>
        <item x="310"/>
        <item x="546"/>
        <item x="602"/>
        <item x="939"/>
        <item x="910"/>
        <item x="691"/>
        <item x="289"/>
        <item x="484"/>
        <item x="954"/>
        <item x="977"/>
        <item x="936"/>
        <item x="390"/>
        <item x="7"/>
        <item x="668"/>
        <item x="137"/>
        <item x="65"/>
        <item x="658"/>
        <item x="421"/>
        <item x="912"/>
        <item x="680"/>
        <item x="846"/>
        <item x="789"/>
        <item x="946"/>
        <item x="653"/>
        <item x="357"/>
        <item x="416"/>
        <item x="729"/>
        <item x="458"/>
        <item x="454"/>
        <item x="817"/>
        <item x="959"/>
        <item x="60"/>
        <item x="332"/>
        <item x="329"/>
        <item x="412"/>
        <item x="34"/>
        <item x="611"/>
        <item x="744"/>
        <item x="299"/>
        <item x="592"/>
        <item x="792"/>
        <item x="285"/>
        <item x="379"/>
        <item x="197"/>
        <item x="251"/>
        <item x="91"/>
        <item x="256"/>
        <item x="295"/>
        <item x="207"/>
        <item x="232"/>
        <item x="597"/>
        <item x="265"/>
        <item x="674"/>
        <item x="210"/>
        <item x="723"/>
        <item x="447"/>
        <item x="134"/>
        <item x="108"/>
        <item x="305"/>
        <item x="364"/>
        <item x="661"/>
        <item x="435"/>
        <item x="874"/>
        <item x="444"/>
        <item x="844"/>
        <item x="578"/>
        <item x="942"/>
        <item x="82"/>
        <item x="629"/>
        <item x="420"/>
        <item x="787"/>
        <item x="188"/>
        <item x="191"/>
        <item x="93"/>
        <item x="941"/>
        <item x="287"/>
        <item x="148"/>
        <item x="331"/>
        <item x="683"/>
        <item x="304"/>
        <item x="37"/>
        <item x="642"/>
        <item x="388"/>
        <item x="797"/>
        <item x="503"/>
        <item x="803"/>
        <item x="359"/>
        <item x="534"/>
        <item x="834"/>
        <item x="17"/>
        <item x="436"/>
        <item x="569"/>
        <item x="860"/>
        <item x="664"/>
        <item x="916"/>
        <item x="928"/>
        <item x="606"/>
        <item x="241"/>
        <item x="117"/>
        <item x="462"/>
        <item x="972"/>
        <item x="90"/>
        <item x="263"/>
        <item x="730"/>
        <item x="70"/>
        <item x="51"/>
        <item x="373"/>
        <item x="425"/>
        <item x="231"/>
        <item x="337"/>
        <item x="217"/>
        <item x="278"/>
        <item x="523"/>
        <item x="414"/>
        <item x="549"/>
        <item x="218"/>
        <item x="814"/>
        <item x="644"/>
        <item x="147"/>
        <item x="887"/>
        <item x="620"/>
        <item x="679"/>
        <item x="205"/>
        <item x="889"/>
        <item x="678"/>
        <item x="50"/>
        <item x="857"/>
        <item x="755"/>
        <item x="493"/>
        <item x="445"/>
        <item x="737"/>
        <item x="552"/>
        <item x="840"/>
        <item x="49"/>
        <item x="770"/>
        <item x="525"/>
        <item x="900"/>
        <item x="28"/>
        <item x="607"/>
        <item x="255"/>
        <item x="639"/>
        <item x="226"/>
        <item x="21"/>
        <item x="76"/>
        <item x="439"/>
        <item x="519"/>
        <item x="745"/>
        <item x="430"/>
        <item x="728"/>
        <item x="371"/>
        <item x="238"/>
        <item x="6"/>
        <item x="904"/>
        <item x="132"/>
        <item x="924"/>
        <item x="442"/>
        <item x="158"/>
        <item x="434"/>
        <item x="383"/>
        <item x="94"/>
        <item x="30"/>
        <item x="44"/>
        <item x="774"/>
        <item x="984"/>
        <item x="368"/>
        <item x="268"/>
        <item x="918"/>
        <item x="31"/>
        <item x="415"/>
        <item x="288"/>
        <item x="281"/>
        <item x="634"/>
        <item x="344"/>
        <item x="871"/>
        <item x="584"/>
        <item x="559"/>
        <item x="646"/>
        <item x="67"/>
        <item x="24"/>
        <item x="710"/>
        <item x="486"/>
        <item x="333"/>
        <item x="456"/>
        <item x="142"/>
        <item x="623"/>
        <item x="892"/>
        <item x="45"/>
        <item x="236"/>
        <item x="699"/>
        <item x="204"/>
        <item x="183"/>
        <item x="670"/>
        <item x="827"/>
        <item x="223"/>
        <item x="877"/>
        <item x="603"/>
        <item x="852"/>
        <item x="369"/>
        <item x="673"/>
        <item x="182"/>
        <item x="365"/>
        <item x="57"/>
        <item x="257"/>
        <item x="973"/>
        <item x="950"/>
        <item x="36"/>
        <item x="92"/>
        <item x="429"/>
        <item x="358"/>
        <item x="494"/>
        <item x="471"/>
        <item x="48"/>
        <item x="221"/>
        <item x="487"/>
        <item x="882"/>
        <item x="69"/>
        <item x="750"/>
        <item x="478"/>
        <item x="334"/>
        <item x="457"/>
        <item x="508"/>
        <item x="153"/>
        <item x="528"/>
        <item x="821"/>
        <item x="314"/>
        <item x="154"/>
        <item x="291"/>
        <item x="722"/>
        <item x="575"/>
        <item x="129"/>
        <item x="234"/>
        <item x="296"/>
        <item x="864"/>
        <item x="352"/>
        <item x="468"/>
        <item x="38"/>
        <item x="225"/>
        <item x="33"/>
        <item x="696"/>
        <item x="459"/>
        <item x="266"/>
        <item x="858"/>
        <item x="581"/>
        <item x="378"/>
        <item x="501"/>
        <item x="647"/>
        <item x="312"/>
        <item x="838"/>
        <item x="101"/>
        <item x="595"/>
        <item x="630"/>
        <item x="537"/>
        <item x="694"/>
        <item x="562"/>
        <item x="397"/>
        <item x="769"/>
        <item x="146"/>
        <item x="336"/>
        <item x="27"/>
        <item x="706"/>
        <item x="794"/>
        <item x="943"/>
        <item x="376"/>
        <item x="964"/>
        <item x="986"/>
        <item x="315"/>
        <item x="269"/>
        <item x="741"/>
        <item x="155"/>
        <item x="290"/>
        <item x="609"/>
        <item x="734"/>
        <item x="56"/>
        <item x="481"/>
        <item x="746"/>
        <item x="399"/>
        <item x="944"/>
        <item x="579"/>
        <item x="825"/>
        <item x="979"/>
        <item x="286"/>
        <item x="393"/>
        <item x="244"/>
        <item x="322"/>
        <item x="151"/>
        <item x="370"/>
        <item x="921"/>
        <item x="250"/>
        <item x="971"/>
        <item x="698"/>
        <item x="239"/>
        <item x="856"/>
        <item x="725"/>
        <item x="600"/>
        <item x="742"/>
        <item x="118"/>
        <item x="922"/>
        <item x="46"/>
        <item x="104"/>
        <item x="413"/>
        <item x="605"/>
        <item x="544"/>
        <item x="490"/>
        <item x="128"/>
        <item x="79"/>
        <item x="824"/>
        <item x="660"/>
        <item x="321"/>
        <item x="961"/>
        <item x="3"/>
        <item x="938"/>
        <item x="208"/>
        <item x="317"/>
        <item x="760"/>
        <item x="899"/>
        <item x="662"/>
        <item x="282"/>
        <item x="948"/>
        <item x="432"/>
        <item x="372"/>
        <item x="419"/>
        <item x="909"/>
        <item x="509"/>
        <item x="835"/>
        <item x="342"/>
        <item x="859"/>
        <item x="112"/>
        <item x="675"/>
        <item x="220"/>
        <item x="423"/>
        <item x="324"/>
        <item x="53"/>
        <item x="812"/>
        <item x="84"/>
        <item x="637"/>
        <item x="165"/>
        <item x="726"/>
        <item x="400"/>
        <item x="130"/>
        <item x="604"/>
        <item x="919"/>
        <item x="643"/>
        <item x="796"/>
        <item x="59"/>
        <item x="485"/>
        <item x="453"/>
        <item x="951"/>
        <item x="784"/>
        <item x="103"/>
        <item x="327"/>
        <item x="708"/>
        <item x="907"/>
        <item x="591"/>
        <item x="751"/>
        <item x="631"/>
        <item x="167"/>
        <item x="171"/>
        <item x="303"/>
        <item x="452"/>
        <item x="767"/>
        <item x="757"/>
        <item x="496"/>
        <item x="761"/>
        <item x="450"/>
        <item x="161"/>
        <item x="583"/>
        <item x="366"/>
        <item x="284"/>
        <item x="709"/>
        <item x="473"/>
        <item x="246"/>
        <item x="279"/>
        <item x="695"/>
        <item x="200"/>
        <item x="384"/>
        <item x="836"/>
        <item x="488"/>
        <item x="105"/>
        <item x="11"/>
        <item x="126"/>
        <item x="408"/>
        <item x="23"/>
        <item x="229"/>
        <item x="110"/>
        <item x="666"/>
        <item x="308"/>
        <item x="518"/>
        <item x="272"/>
        <item x="81"/>
        <item x="536"/>
        <item x="618"/>
        <item x="127"/>
        <item x="793"/>
        <item x="987"/>
        <item x="186"/>
        <item x="407"/>
        <item x="164"/>
        <item x="967"/>
        <item x="319"/>
        <item x="237"/>
        <item x="433"/>
        <item x="570"/>
        <item x="527"/>
        <item x="833"/>
        <item x="386"/>
        <item x="464"/>
        <item x="843"/>
        <item x="923"/>
        <item x="816"/>
        <item x="654"/>
        <item x="277"/>
        <item x="374"/>
        <item x="540"/>
        <item x="52"/>
        <item x="209"/>
        <item x="2"/>
        <item x="504"/>
        <item x="514"/>
        <item x="572"/>
        <item x="254"/>
        <item x="32"/>
        <item x="224"/>
        <item x="520"/>
        <item x="382"/>
        <item x="810"/>
        <item x="15"/>
        <item x="869"/>
        <item x="292"/>
        <item x="163"/>
        <item x="302"/>
        <item x="380"/>
        <item x="431"/>
        <item x="663"/>
        <item x="593"/>
        <item x="437"/>
        <item x="505"/>
        <item x="736"/>
        <item x="917"/>
        <item x="716"/>
        <item x="340"/>
        <item x="896"/>
        <item x="820"/>
        <item x="580"/>
        <item x="179"/>
        <item x="687"/>
        <item x="353"/>
        <item x="608"/>
        <item x="861"/>
        <item x="410"/>
        <item x="73"/>
        <item x="22"/>
        <item x="438"/>
        <item x="968"/>
        <item x="172"/>
        <item x="830"/>
        <item x="875"/>
        <item x="86"/>
        <item x="801"/>
        <item x="700"/>
        <item x="652"/>
        <item x="780"/>
        <item x="510"/>
        <item x="756"/>
        <item x="111"/>
        <item x="203"/>
        <item x="469"/>
        <item x="612"/>
        <item x="311"/>
        <item x="300"/>
        <item x="211"/>
        <item x="499"/>
        <item x="550"/>
        <item x="77"/>
        <item x="752"/>
        <item x="511"/>
        <item x="98"/>
        <item x="671"/>
        <item x="262"/>
        <item x="649"/>
        <item x="12"/>
        <item x="690"/>
        <item x="533"/>
        <item x="495"/>
        <item x="969"/>
        <item x="467"/>
        <item x="144"/>
        <item x="83"/>
        <item x="9"/>
        <item x="199"/>
        <item x="63"/>
        <item x="275"/>
        <item x="659"/>
        <item x="815"/>
        <item x="89"/>
        <item x="568"/>
        <item x="194"/>
        <item x="697"/>
        <item x="927"/>
        <item x="377"/>
        <item x="564"/>
        <item x="988"/>
        <item x="5"/>
        <item x="346"/>
        <item x="293"/>
        <item x="809"/>
        <item x="567"/>
        <item x="712"/>
        <item x="258"/>
        <item x="590"/>
        <item x="166"/>
        <item x="532"/>
        <item x="676"/>
        <item x="405"/>
        <item x="588"/>
        <item x="16"/>
        <item x="596"/>
        <item x="26"/>
        <item x="778"/>
        <item x="474"/>
        <item x="594"/>
        <item x="123"/>
        <item x="20"/>
        <item x="175"/>
        <item x="149"/>
        <item x="422"/>
        <item x="173"/>
        <item x="252"/>
        <item x="498"/>
        <item x="720"/>
        <item x="0"/>
        <item x="906"/>
        <item t="default"/>
      </items>
    </pivotField>
    <pivotField showAll="0">
      <items count="4">
        <item x="2"/>
        <item x="1"/>
        <item x="0"/>
        <item t="default"/>
      </items>
    </pivotField>
    <pivotField showAll="0"/>
    <pivotField showAll="0"/>
    <pivotField showAll="0">
      <items count="5">
        <item x="1"/>
        <item x="2"/>
        <item x="3"/>
        <item x="0"/>
        <item t="default"/>
      </items>
    </pivotField>
    <pivotField showAll="0">
      <items count="5">
        <item x="3"/>
        <item x="0"/>
        <item x="1"/>
        <item x="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6">
    <i>
      <x v="42"/>
    </i>
    <i>
      <x v="151"/>
    </i>
    <i>
      <x v="226"/>
    </i>
    <i>
      <x v="453"/>
    </i>
    <i>
      <x v="682"/>
    </i>
    <i t="grand">
      <x/>
    </i>
  </rowItems>
  <colItems count="1">
    <i/>
  </colItems>
  <dataFields count="1">
    <dataField name="Sum of Profit" fld="17" baseField="0" baseItem="0"/>
  </dataField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50B75B-C996-4250-B330-7753A00C349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17:I30" firstHeaderRow="1" firstDataRow="1" firstDataCol="1"/>
  <pivotFields count="28">
    <pivotField showAll="0"/>
    <pivotField numFmtId="14" showAll="0">
      <items count="541">
        <item x="108"/>
        <item x="213"/>
        <item x="89"/>
        <item x="469"/>
        <item x="521"/>
        <item x="147"/>
        <item x="319"/>
        <item x="64"/>
        <item x="133"/>
        <item x="190"/>
        <item x="418"/>
        <item x="395"/>
        <item x="27"/>
        <item x="538"/>
        <item x="354"/>
        <item x="405"/>
        <item x="366"/>
        <item x="106"/>
        <item x="90"/>
        <item x="37"/>
        <item x="111"/>
        <item x="236"/>
        <item x="397"/>
        <item x="513"/>
        <item x="289"/>
        <item x="367"/>
        <item x="426"/>
        <item x="35"/>
        <item x="55"/>
        <item x="141"/>
        <item x="393"/>
        <item x="210"/>
        <item x="368"/>
        <item x="46"/>
        <item x="349"/>
        <item x="416"/>
        <item x="248"/>
        <item x="252"/>
        <item x="283"/>
        <item x="15"/>
        <item x="525"/>
        <item x="479"/>
        <item x="78"/>
        <item x="495"/>
        <item x="414"/>
        <item x="217"/>
        <item x="84"/>
        <item x="486"/>
        <item x="300"/>
        <item x="235"/>
        <item x="65"/>
        <item x="304"/>
        <item x="72"/>
        <item x="208"/>
        <item x="310"/>
        <item x="528"/>
        <item x="380"/>
        <item x="400"/>
        <item x="494"/>
        <item x="127"/>
        <item x="446"/>
        <item x="502"/>
        <item x="352"/>
        <item x="131"/>
        <item x="527"/>
        <item x="520"/>
        <item x="322"/>
        <item x="451"/>
        <item x="530"/>
        <item x="158"/>
        <item x="427"/>
        <item x="31"/>
        <item x="480"/>
        <item x="12"/>
        <item x="242"/>
        <item x="465"/>
        <item x="497"/>
        <item x="176"/>
        <item x="338"/>
        <item x="347"/>
        <item x="263"/>
        <item x="44"/>
        <item x="514"/>
        <item x="384"/>
        <item x="197"/>
        <item x="189"/>
        <item x="151"/>
        <item x="522"/>
        <item x="50"/>
        <item x="21"/>
        <item x="537"/>
        <item x="19"/>
        <item x="386"/>
        <item x="130"/>
        <item x="394"/>
        <item x="363"/>
        <item x="61"/>
        <item x="237"/>
        <item x="24"/>
        <item x="339"/>
        <item x="5"/>
        <item x="466"/>
        <item x="341"/>
        <item x="251"/>
        <item x="398"/>
        <item x="435"/>
        <item x="429"/>
        <item x="288"/>
        <item x="48"/>
        <item x="311"/>
        <item x="128"/>
        <item x="247"/>
        <item x="253"/>
        <item x="298"/>
        <item x="383"/>
        <item x="501"/>
        <item x="119"/>
        <item x="292"/>
        <item x="438"/>
        <item x="433"/>
        <item x="94"/>
        <item x="73"/>
        <item x="334"/>
        <item x="103"/>
        <item x="297"/>
        <item x="142"/>
        <item x="110"/>
        <item x="508"/>
        <item x="129"/>
        <item x="191"/>
        <item x="415"/>
        <item x="97"/>
        <item x="328"/>
        <item x="232"/>
        <item x="92"/>
        <item x="180"/>
        <item x="379"/>
        <item x="456"/>
        <item x="269"/>
        <item x="315"/>
        <item x="459"/>
        <item x="294"/>
        <item x="254"/>
        <item x="471"/>
        <item x="258"/>
        <item x="205"/>
        <item x="249"/>
        <item x="449"/>
        <item x="54"/>
        <item x="260"/>
        <item x="401"/>
        <item x="183"/>
        <item x="493"/>
        <item x="272"/>
        <item x="323"/>
        <item x="360"/>
        <item x="255"/>
        <item x="126"/>
        <item x="171"/>
        <item x="188"/>
        <item x="10"/>
        <item x="168"/>
        <item x="135"/>
        <item x="32"/>
        <item x="67"/>
        <item x="287"/>
        <item x="439"/>
        <item x="57"/>
        <item x="499"/>
        <item x="221"/>
        <item x="245"/>
        <item x="209"/>
        <item x="93"/>
        <item x="348"/>
        <item x="462"/>
        <item x="343"/>
        <item x="155"/>
        <item x="290"/>
        <item x="452"/>
        <item x="327"/>
        <item x="23"/>
        <item x="154"/>
        <item x="42"/>
        <item x="172"/>
        <item x="460"/>
        <item x="145"/>
        <item x="407"/>
        <item x="36"/>
        <item x="332"/>
        <item x="356"/>
        <item x="25"/>
        <item x="152"/>
        <item x="33"/>
        <item x="385"/>
        <item x="280"/>
        <item x="234"/>
        <item x="422"/>
        <item x="498"/>
        <item x="270"/>
        <item x="3"/>
        <item x="216"/>
        <item x="482"/>
        <item x="165"/>
        <item x="26"/>
        <item x="240"/>
        <item x="330"/>
        <item x="125"/>
        <item x="442"/>
        <item x="282"/>
        <item x="299"/>
        <item x="207"/>
        <item x="335"/>
        <item x="58"/>
        <item x="440"/>
        <item x="76"/>
        <item x="193"/>
        <item x="390"/>
        <item x="228"/>
        <item x="357"/>
        <item x="329"/>
        <item x="476"/>
        <item x="95"/>
        <item x="20"/>
        <item x="199"/>
        <item x="396"/>
        <item x="372"/>
        <item x="336"/>
        <item x="9"/>
        <item x="59"/>
        <item x="75"/>
        <item x="262"/>
        <item x="14"/>
        <item x="309"/>
        <item x="107"/>
        <item x="526"/>
        <item x="410"/>
        <item x="71"/>
        <item x="488"/>
        <item x="114"/>
        <item x="81"/>
        <item x="267"/>
        <item x="196"/>
        <item x="437"/>
        <item x="425"/>
        <item x="104"/>
        <item x="214"/>
        <item x="351"/>
        <item x="317"/>
        <item x="293"/>
        <item x="424"/>
        <item x="201"/>
        <item x="100"/>
        <item x="423"/>
        <item x="301"/>
        <item x="419"/>
        <item x="313"/>
        <item x="273"/>
        <item x="261"/>
        <item x="314"/>
        <item x="345"/>
        <item x="318"/>
        <item x="60"/>
        <item x="333"/>
        <item x="56"/>
        <item x="132"/>
        <item x="4"/>
        <item x="445"/>
        <item x="490"/>
        <item x="137"/>
        <item x="387"/>
        <item x="18"/>
        <item x="264"/>
        <item x="45"/>
        <item x="392"/>
        <item x="175"/>
        <item x="420"/>
        <item x="79"/>
        <item x="463"/>
        <item x="534"/>
        <item x="431"/>
        <item x="461"/>
        <item x="43"/>
        <item x="40"/>
        <item x="77"/>
        <item x="517"/>
        <item x="167"/>
        <item x="11"/>
        <item x="6"/>
        <item x="212"/>
        <item x="453"/>
        <item x="143"/>
        <item x="182"/>
        <item x="454"/>
        <item x="241"/>
        <item x="279"/>
        <item x="150"/>
        <item x="361"/>
        <item x="164"/>
        <item x="268"/>
        <item x="492"/>
        <item x="195"/>
        <item x="306"/>
        <item x="444"/>
        <item x="0"/>
        <item x="146"/>
        <item x="82"/>
        <item x="342"/>
        <item x="447"/>
        <item x="200"/>
        <item x="87"/>
        <item x="38"/>
        <item x="503"/>
        <item x="243"/>
        <item x="124"/>
        <item x="148"/>
        <item x="474"/>
        <item x="382"/>
        <item x="187"/>
        <item x="340"/>
        <item x="509"/>
        <item x="487"/>
        <item x="376"/>
        <item x="326"/>
        <item x="231"/>
        <item x="371"/>
        <item x="325"/>
        <item x="358"/>
        <item x="417"/>
        <item x="115"/>
        <item x="496"/>
        <item x="28"/>
        <item x="219"/>
        <item x="344"/>
        <item x="412"/>
        <item x="473"/>
        <item x="403"/>
        <item x="529"/>
        <item x="257"/>
        <item x="524"/>
        <item x="85"/>
        <item x="388"/>
        <item x="312"/>
        <item x="122"/>
        <item x="320"/>
        <item x="355"/>
        <item x="238"/>
        <item x="483"/>
        <item x="276"/>
        <item x="246"/>
        <item x="173"/>
        <item x="364"/>
        <item x="353"/>
        <item x="136"/>
        <item x="53"/>
        <item x="259"/>
        <item x="516"/>
        <item x="365"/>
        <item x="278"/>
        <item x="161"/>
        <item x="470"/>
        <item x="34"/>
        <item x="134"/>
        <item x="303"/>
        <item x="68"/>
        <item x="121"/>
        <item x="481"/>
        <item x="455"/>
        <item x="472"/>
        <item x="389"/>
        <item x="140"/>
        <item x="181"/>
        <item x="518"/>
        <item x="434"/>
        <item x="144"/>
        <item x="277"/>
        <item x="500"/>
        <item x="507"/>
        <item x="52"/>
        <item x="174"/>
        <item x="7"/>
        <item x="88"/>
        <item x="163"/>
        <item x="49"/>
        <item x="138"/>
        <item x="160"/>
        <item x="489"/>
        <item x="29"/>
        <item x="157"/>
        <item x="381"/>
        <item x="511"/>
        <item x="256"/>
        <item x="373"/>
        <item x="285"/>
        <item x="239"/>
        <item x="86"/>
        <item x="450"/>
        <item x="271"/>
        <item x="184"/>
        <item x="477"/>
        <item x="223"/>
        <item x="284"/>
        <item x="515"/>
        <item x="265"/>
        <item x="404"/>
        <item x="421"/>
        <item x="117"/>
        <item x="178"/>
        <item x="391"/>
        <item x="203"/>
        <item x="406"/>
        <item x="275"/>
        <item x="399"/>
        <item x="177"/>
        <item x="533"/>
        <item x="305"/>
        <item x="512"/>
        <item x="350"/>
        <item x="308"/>
        <item x="475"/>
        <item x="531"/>
        <item x="222"/>
        <item x="464"/>
        <item x="430"/>
        <item x="41"/>
        <item x="536"/>
        <item x="286"/>
        <item x="99"/>
        <item x="162"/>
        <item x="202"/>
        <item x="244"/>
        <item x="484"/>
        <item x="226"/>
        <item x="204"/>
        <item x="159"/>
        <item x="22"/>
        <item x="218"/>
        <item x="47"/>
        <item x="458"/>
        <item x="224"/>
        <item x="225"/>
        <item x="535"/>
        <item x="337"/>
        <item x="230"/>
        <item x="505"/>
        <item x="13"/>
        <item x="296"/>
        <item x="69"/>
        <item x="402"/>
        <item x="485"/>
        <item x="74"/>
        <item x="101"/>
        <item x="369"/>
        <item x="302"/>
        <item x="51"/>
        <item x="118"/>
        <item x="374"/>
        <item x="123"/>
        <item x="186"/>
        <item x="321"/>
        <item x="370"/>
        <item x="62"/>
        <item x="436"/>
        <item x="156"/>
        <item x="467"/>
        <item x="91"/>
        <item x="105"/>
        <item x="1"/>
        <item x="109"/>
        <item x="539"/>
        <item x="468"/>
        <item x="441"/>
        <item x="519"/>
        <item x="80"/>
        <item x="192"/>
        <item x="63"/>
        <item x="98"/>
        <item x="185"/>
        <item x="346"/>
        <item x="30"/>
        <item x="112"/>
        <item x="411"/>
        <item x="266"/>
        <item x="506"/>
        <item x="375"/>
        <item x="413"/>
        <item x="170"/>
        <item x="70"/>
        <item x="198"/>
        <item x="504"/>
        <item x="250"/>
        <item x="331"/>
        <item x="194"/>
        <item x="457"/>
        <item x="274"/>
        <item x="377"/>
        <item x="443"/>
        <item x="307"/>
        <item x="362"/>
        <item x="206"/>
        <item x="229"/>
        <item x="448"/>
        <item x="523"/>
        <item x="215"/>
        <item x="220"/>
        <item x="211"/>
        <item x="324"/>
        <item x="149"/>
        <item x="116"/>
        <item x="153"/>
        <item x="316"/>
        <item x="491"/>
        <item x="179"/>
        <item x="83"/>
        <item x="166"/>
        <item x="478"/>
        <item x="295"/>
        <item x="227"/>
        <item x="432"/>
        <item x="428"/>
        <item x="113"/>
        <item x="359"/>
        <item x="8"/>
        <item x="281"/>
        <item x="39"/>
        <item x="409"/>
        <item x="378"/>
        <item x="291"/>
        <item x="233"/>
        <item x="139"/>
        <item x="96"/>
        <item x="2"/>
        <item x="102"/>
        <item x="66"/>
        <item x="408"/>
        <item x="510"/>
        <item x="16"/>
        <item x="120"/>
        <item x="17"/>
        <item x="532"/>
        <item x="169"/>
        <item t="default"/>
      </items>
    </pivotField>
    <pivotField numFmtId="14" showAll="0"/>
    <pivotField showAll="0"/>
    <pivotField showAll="0"/>
    <pivotField showAll="0">
      <items count="4">
        <item x="2"/>
        <item x="1"/>
        <item x="0"/>
        <item t="default"/>
      </items>
    </pivotField>
    <pivotField showAll="0"/>
    <pivotField showAll="0"/>
    <pivotField showAll="0">
      <items count="5">
        <item x="1"/>
        <item x="2"/>
        <item x="3"/>
        <item x="0"/>
        <item t="default"/>
      </items>
    </pivotField>
    <pivotField showAll="0">
      <items count="5">
        <item x="3"/>
        <item x="0"/>
        <item x="1"/>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5"/>
  </rowFields>
  <rowItems count="13">
    <i>
      <x v="1"/>
    </i>
    <i>
      <x v="2"/>
    </i>
    <i>
      <x v="3"/>
    </i>
    <i>
      <x v="4"/>
    </i>
    <i>
      <x v="5"/>
    </i>
    <i>
      <x v="6"/>
    </i>
    <i>
      <x v="7"/>
    </i>
    <i>
      <x v="8"/>
    </i>
    <i>
      <x v="9"/>
    </i>
    <i>
      <x v="10"/>
    </i>
    <i>
      <x v="11"/>
    </i>
    <i>
      <x v="12"/>
    </i>
    <i t="grand">
      <x/>
    </i>
  </rowItems>
  <colItems count="1">
    <i/>
  </colItems>
  <dataFields count="1">
    <dataField name="Sum of Sales Amount" fld="15" baseField="0" baseItem="0"/>
  </dataFields>
  <formats count="1">
    <format dxfId="135">
      <pivotArea collapsedLevelsAreSubtotals="1" fieldPosition="0">
        <references count="1">
          <reference field="25" count="12">
            <x v="1"/>
            <x v="2"/>
            <x v="3"/>
            <x v="4"/>
            <x v="5"/>
            <x v="6"/>
            <x v="7"/>
            <x v="8"/>
            <x v="9"/>
            <x v="10"/>
            <x v="11"/>
            <x v="12"/>
          </reference>
        </references>
      </pivotArea>
    </format>
  </format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25"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68CDCF-97CE-49B2-948C-D1BEB944605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3:H14" firstHeaderRow="1" firstDataRow="1" firstDataCol="0"/>
  <pivotFields count="28">
    <pivotField showAll="0"/>
    <pivotField numFmtId="14" showAll="0">
      <items count="541">
        <item x="108"/>
        <item x="213"/>
        <item x="89"/>
        <item x="469"/>
        <item x="521"/>
        <item x="147"/>
        <item x="319"/>
        <item x="64"/>
        <item x="133"/>
        <item x="190"/>
        <item x="418"/>
        <item x="395"/>
        <item x="27"/>
        <item x="538"/>
        <item x="354"/>
        <item x="405"/>
        <item x="366"/>
        <item x="106"/>
        <item x="90"/>
        <item x="37"/>
        <item x="111"/>
        <item x="236"/>
        <item x="397"/>
        <item x="513"/>
        <item x="289"/>
        <item x="367"/>
        <item x="426"/>
        <item x="35"/>
        <item x="55"/>
        <item x="141"/>
        <item x="393"/>
        <item x="210"/>
        <item x="368"/>
        <item x="46"/>
        <item x="349"/>
        <item x="416"/>
        <item x="248"/>
        <item x="252"/>
        <item x="283"/>
        <item x="15"/>
        <item x="525"/>
        <item x="479"/>
        <item x="78"/>
        <item x="495"/>
        <item x="414"/>
        <item x="217"/>
        <item x="84"/>
        <item x="486"/>
        <item x="300"/>
        <item x="235"/>
        <item x="65"/>
        <item x="304"/>
        <item x="72"/>
        <item x="208"/>
        <item x="310"/>
        <item x="528"/>
        <item x="380"/>
        <item x="400"/>
        <item x="494"/>
        <item x="127"/>
        <item x="446"/>
        <item x="502"/>
        <item x="352"/>
        <item x="131"/>
        <item x="527"/>
        <item x="520"/>
        <item x="322"/>
        <item x="451"/>
        <item x="530"/>
        <item x="158"/>
        <item x="427"/>
        <item x="31"/>
        <item x="480"/>
        <item x="12"/>
        <item x="242"/>
        <item x="465"/>
        <item x="497"/>
        <item x="176"/>
        <item x="338"/>
        <item x="347"/>
        <item x="263"/>
        <item x="44"/>
        <item x="514"/>
        <item x="384"/>
        <item x="197"/>
        <item x="189"/>
        <item x="151"/>
        <item x="522"/>
        <item x="50"/>
        <item x="21"/>
        <item x="537"/>
        <item x="19"/>
        <item x="386"/>
        <item x="130"/>
        <item x="394"/>
        <item x="363"/>
        <item x="61"/>
        <item x="237"/>
        <item x="24"/>
        <item x="339"/>
        <item x="5"/>
        <item x="466"/>
        <item x="341"/>
        <item x="251"/>
        <item x="398"/>
        <item x="435"/>
        <item x="429"/>
        <item x="288"/>
        <item x="48"/>
        <item x="311"/>
        <item x="128"/>
        <item x="247"/>
        <item x="253"/>
        <item x="298"/>
        <item x="383"/>
        <item x="501"/>
        <item x="119"/>
        <item x="292"/>
        <item x="438"/>
        <item x="433"/>
        <item x="94"/>
        <item x="73"/>
        <item x="334"/>
        <item x="103"/>
        <item x="297"/>
        <item x="142"/>
        <item x="110"/>
        <item x="508"/>
        <item x="129"/>
        <item x="191"/>
        <item x="415"/>
        <item x="97"/>
        <item x="328"/>
        <item x="232"/>
        <item x="92"/>
        <item x="180"/>
        <item x="379"/>
        <item x="456"/>
        <item x="269"/>
        <item x="315"/>
        <item x="459"/>
        <item x="294"/>
        <item x="254"/>
        <item x="471"/>
        <item x="258"/>
        <item x="205"/>
        <item x="249"/>
        <item x="449"/>
        <item x="54"/>
        <item x="260"/>
        <item x="401"/>
        <item x="183"/>
        <item x="493"/>
        <item x="272"/>
        <item x="323"/>
        <item x="360"/>
        <item x="255"/>
        <item x="126"/>
        <item x="171"/>
        <item x="188"/>
        <item x="10"/>
        <item x="168"/>
        <item x="135"/>
        <item x="32"/>
        <item x="67"/>
        <item x="287"/>
        <item x="439"/>
        <item x="57"/>
        <item x="499"/>
        <item x="221"/>
        <item x="245"/>
        <item x="209"/>
        <item x="93"/>
        <item x="348"/>
        <item x="462"/>
        <item x="343"/>
        <item x="155"/>
        <item x="290"/>
        <item x="452"/>
        <item x="327"/>
        <item x="23"/>
        <item x="154"/>
        <item x="42"/>
        <item x="172"/>
        <item x="460"/>
        <item x="145"/>
        <item x="407"/>
        <item x="36"/>
        <item x="332"/>
        <item x="356"/>
        <item x="25"/>
        <item x="152"/>
        <item x="33"/>
        <item x="385"/>
        <item x="280"/>
        <item x="234"/>
        <item x="422"/>
        <item x="498"/>
        <item x="270"/>
        <item x="3"/>
        <item x="216"/>
        <item x="482"/>
        <item x="165"/>
        <item x="26"/>
        <item x="240"/>
        <item x="330"/>
        <item x="125"/>
        <item x="442"/>
        <item x="282"/>
        <item x="299"/>
        <item x="207"/>
        <item x="335"/>
        <item x="58"/>
        <item x="440"/>
        <item x="76"/>
        <item x="193"/>
        <item x="390"/>
        <item x="228"/>
        <item x="357"/>
        <item x="329"/>
        <item x="476"/>
        <item x="95"/>
        <item x="20"/>
        <item x="199"/>
        <item x="396"/>
        <item x="372"/>
        <item x="336"/>
        <item x="9"/>
        <item x="59"/>
        <item x="75"/>
        <item x="262"/>
        <item x="14"/>
        <item x="309"/>
        <item x="107"/>
        <item x="526"/>
        <item x="410"/>
        <item x="71"/>
        <item x="488"/>
        <item x="114"/>
        <item x="81"/>
        <item x="267"/>
        <item x="196"/>
        <item x="437"/>
        <item x="425"/>
        <item x="104"/>
        <item x="214"/>
        <item x="351"/>
        <item x="317"/>
        <item x="293"/>
        <item x="424"/>
        <item x="201"/>
        <item x="100"/>
        <item x="423"/>
        <item x="301"/>
        <item x="419"/>
        <item x="313"/>
        <item x="273"/>
        <item x="261"/>
        <item x="314"/>
        <item x="345"/>
        <item x="318"/>
        <item x="60"/>
        <item x="333"/>
        <item x="56"/>
        <item x="132"/>
        <item x="4"/>
        <item x="445"/>
        <item x="490"/>
        <item x="137"/>
        <item x="387"/>
        <item x="18"/>
        <item x="264"/>
        <item x="45"/>
        <item x="392"/>
        <item x="175"/>
        <item x="420"/>
        <item x="79"/>
        <item x="463"/>
        <item x="534"/>
        <item x="431"/>
        <item x="461"/>
        <item x="43"/>
        <item x="40"/>
        <item x="77"/>
        <item x="517"/>
        <item x="167"/>
        <item x="11"/>
        <item x="6"/>
        <item x="212"/>
        <item x="453"/>
        <item x="143"/>
        <item x="182"/>
        <item x="454"/>
        <item x="241"/>
        <item x="279"/>
        <item x="150"/>
        <item x="361"/>
        <item x="164"/>
        <item x="268"/>
        <item x="492"/>
        <item x="195"/>
        <item x="306"/>
        <item x="444"/>
        <item x="0"/>
        <item x="146"/>
        <item x="82"/>
        <item x="342"/>
        <item x="447"/>
        <item x="200"/>
        <item x="87"/>
        <item x="38"/>
        <item x="503"/>
        <item x="243"/>
        <item x="124"/>
        <item x="148"/>
        <item x="474"/>
        <item x="382"/>
        <item x="187"/>
        <item x="340"/>
        <item x="509"/>
        <item x="487"/>
        <item x="376"/>
        <item x="326"/>
        <item x="231"/>
        <item x="371"/>
        <item x="325"/>
        <item x="358"/>
        <item x="417"/>
        <item x="115"/>
        <item x="496"/>
        <item x="28"/>
        <item x="219"/>
        <item x="344"/>
        <item x="412"/>
        <item x="473"/>
        <item x="403"/>
        <item x="529"/>
        <item x="257"/>
        <item x="524"/>
        <item x="85"/>
        <item x="388"/>
        <item x="312"/>
        <item x="122"/>
        <item x="320"/>
        <item x="355"/>
        <item x="238"/>
        <item x="483"/>
        <item x="276"/>
        <item x="246"/>
        <item x="173"/>
        <item x="364"/>
        <item x="353"/>
        <item x="136"/>
        <item x="53"/>
        <item x="259"/>
        <item x="516"/>
        <item x="365"/>
        <item x="278"/>
        <item x="161"/>
        <item x="470"/>
        <item x="34"/>
        <item x="134"/>
        <item x="303"/>
        <item x="68"/>
        <item x="121"/>
        <item x="481"/>
        <item x="455"/>
        <item x="472"/>
        <item x="389"/>
        <item x="140"/>
        <item x="181"/>
        <item x="518"/>
        <item x="434"/>
        <item x="144"/>
        <item x="277"/>
        <item x="500"/>
        <item x="507"/>
        <item x="52"/>
        <item x="174"/>
        <item x="7"/>
        <item x="88"/>
        <item x="163"/>
        <item x="49"/>
        <item x="138"/>
        <item x="160"/>
        <item x="489"/>
        <item x="29"/>
        <item x="157"/>
        <item x="381"/>
        <item x="511"/>
        <item x="256"/>
        <item x="373"/>
        <item x="285"/>
        <item x="239"/>
        <item x="86"/>
        <item x="450"/>
        <item x="271"/>
        <item x="184"/>
        <item x="477"/>
        <item x="223"/>
        <item x="284"/>
        <item x="515"/>
        <item x="265"/>
        <item x="404"/>
        <item x="421"/>
        <item x="117"/>
        <item x="178"/>
        <item x="391"/>
        <item x="203"/>
        <item x="406"/>
        <item x="275"/>
        <item x="399"/>
        <item x="177"/>
        <item x="533"/>
        <item x="305"/>
        <item x="512"/>
        <item x="350"/>
        <item x="308"/>
        <item x="475"/>
        <item x="531"/>
        <item x="222"/>
        <item x="464"/>
        <item x="430"/>
        <item x="41"/>
        <item x="536"/>
        <item x="286"/>
        <item x="99"/>
        <item x="162"/>
        <item x="202"/>
        <item x="244"/>
        <item x="484"/>
        <item x="226"/>
        <item x="204"/>
        <item x="159"/>
        <item x="22"/>
        <item x="218"/>
        <item x="47"/>
        <item x="458"/>
        <item x="224"/>
        <item x="225"/>
        <item x="535"/>
        <item x="337"/>
        <item x="230"/>
        <item x="505"/>
        <item x="13"/>
        <item x="296"/>
        <item x="69"/>
        <item x="402"/>
        <item x="485"/>
        <item x="74"/>
        <item x="101"/>
        <item x="369"/>
        <item x="302"/>
        <item x="51"/>
        <item x="118"/>
        <item x="374"/>
        <item x="123"/>
        <item x="186"/>
        <item x="321"/>
        <item x="370"/>
        <item x="62"/>
        <item x="436"/>
        <item x="156"/>
        <item x="467"/>
        <item x="91"/>
        <item x="105"/>
        <item x="1"/>
        <item x="109"/>
        <item x="539"/>
        <item x="468"/>
        <item x="441"/>
        <item x="519"/>
        <item x="80"/>
        <item x="192"/>
        <item x="63"/>
        <item x="98"/>
        <item x="185"/>
        <item x="346"/>
        <item x="30"/>
        <item x="112"/>
        <item x="411"/>
        <item x="266"/>
        <item x="506"/>
        <item x="375"/>
        <item x="413"/>
        <item x="170"/>
        <item x="70"/>
        <item x="198"/>
        <item x="504"/>
        <item x="250"/>
        <item x="331"/>
        <item x="194"/>
        <item x="457"/>
        <item x="274"/>
        <item x="377"/>
        <item x="443"/>
        <item x="307"/>
        <item x="362"/>
        <item x="206"/>
        <item x="229"/>
        <item x="448"/>
        <item x="523"/>
        <item x="215"/>
        <item x="220"/>
        <item x="211"/>
        <item x="324"/>
        <item x="149"/>
        <item x="116"/>
        <item x="153"/>
        <item x="316"/>
        <item x="491"/>
        <item x="179"/>
        <item x="83"/>
        <item x="166"/>
        <item x="478"/>
        <item x="295"/>
        <item x="227"/>
        <item x="432"/>
        <item x="428"/>
        <item x="113"/>
        <item x="359"/>
        <item x="8"/>
        <item x="281"/>
        <item x="39"/>
        <item x="409"/>
        <item x="378"/>
        <item x="291"/>
        <item x="233"/>
        <item x="139"/>
        <item x="96"/>
        <item x="2"/>
        <item x="102"/>
        <item x="66"/>
        <item x="408"/>
        <item x="510"/>
        <item x="16"/>
        <item x="120"/>
        <item x="17"/>
        <item x="532"/>
        <item x="169"/>
        <item t="default"/>
      </items>
    </pivotField>
    <pivotField numFmtId="14" showAll="0"/>
    <pivotField showAll="0"/>
    <pivotField showAll="0"/>
    <pivotField showAll="0">
      <items count="4">
        <item x="2"/>
        <item x="1"/>
        <item x="0"/>
        <item t="default"/>
      </items>
    </pivotField>
    <pivotField showAll="0"/>
    <pivotField showAll="0"/>
    <pivotField showAll="0">
      <items count="5">
        <item x="1"/>
        <item x="2"/>
        <item x="3"/>
        <item x="0"/>
        <item t="default"/>
      </items>
    </pivotField>
    <pivotField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Total Stock left" fld="22" baseField="0" baseItem="0" numFmtId="3"/>
  </dataFields>
  <formats count="1">
    <format dxfId="1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05701F-A1F4-482F-8A53-C15B2F09B5E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6:C10" firstHeaderRow="1" firstDataRow="1" firstDataCol="1"/>
  <pivotFields count="28">
    <pivotField showAll="0"/>
    <pivotField numFmtId="14" showAll="0">
      <items count="541">
        <item x="108"/>
        <item x="213"/>
        <item x="89"/>
        <item x="469"/>
        <item x="521"/>
        <item x="147"/>
        <item x="319"/>
        <item x="64"/>
        <item x="133"/>
        <item x="190"/>
        <item x="418"/>
        <item x="395"/>
        <item x="27"/>
        <item x="538"/>
        <item x="354"/>
        <item x="405"/>
        <item x="366"/>
        <item x="106"/>
        <item x="90"/>
        <item x="37"/>
        <item x="111"/>
        <item x="236"/>
        <item x="397"/>
        <item x="513"/>
        <item x="289"/>
        <item x="367"/>
        <item x="426"/>
        <item x="35"/>
        <item x="55"/>
        <item x="141"/>
        <item x="393"/>
        <item x="210"/>
        <item x="368"/>
        <item x="46"/>
        <item x="349"/>
        <item x="416"/>
        <item x="248"/>
        <item x="252"/>
        <item x="283"/>
        <item x="15"/>
        <item x="525"/>
        <item x="479"/>
        <item x="78"/>
        <item x="495"/>
        <item x="414"/>
        <item x="217"/>
        <item x="84"/>
        <item x="486"/>
        <item x="300"/>
        <item x="235"/>
        <item x="65"/>
        <item x="304"/>
        <item x="72"/>
        <item x="208"/>
        <item x="310"/>
        <item x="528"/>
        <item x="380"/>
        <item x="400"/>
        <item x="494"/>
        <item x="127"/>
        <item x="446"/>
        <item x="502"/>
        <item x="352"/>
        <item x="131"/>
        <item x="527"/>
        <item x="520"/>
        <item x="322"/>
        <item x="451"/>
        <item x="530"/>
        <item x="158"/>
        <item x="427"/>
        <item x="31"/>
        <item x="480"/>
        <item x="12"/>
        <item x="242"/>
        <item x="465"/>
        <item x="497"/>
        <item x="176"/>
        <item x="338"/>
        <item x="347"/>
        <item x="263"/>
        <item x="44"/>
        <item x="514"/>
        <item x="384"/>
        <item x="197"/>
        <item x="189"/>
        <item x="151"/>
        <item x="522"/>
        <item x="50"/>
        <item x="21"/>
        <item x="537"/>
        <item x="19"/>
        <item x="386"/>
        <item x="130"/>
        <item x="394"/>
        <item x="363"/>
        <item x="61"/>
        <item x="237"/>
        <item x="24"/>
        <item x="339"/>
        <item x="5"/>
        <item x="466"/>
        <item x="341"/>
        <item x="251"/>
        <item x="398"/>
        <item x="435"/>
        <item x="429"/>
        <item x="288"/>
        <item x="48"/>
        <item x="311"/>
        <item x="128"/>
        <item x="247"/>
        <item x="253"/>
        <item x="298"/>
        <item x="383"/>
        <item x="501"/>
        <item x="119"/>
        <item x="292"/>
        <item x="438"/>
        <item x="433"/>
        <item x="94"/>
        <item x="73"/>
        <item x="334"/>
        <item x="103"/>
        <item x="297"/>
        <item x="142"/>
        <item x="110"/>
        <item x="508"/>
        <item x="129"/>
        <item x="191"/>
        <item x="415"/>
        <item x="97"/>
        <item x="328"/>
        <item x="232"/>
        <item x="92"/>
        <item x="180"/>
        <item x="379"/>
        <item x="456"/>
        <item x="269"/>
        <item x="315"/>
        <item x="459"/>
        <item x="294"/>
        <item x="254"/>
        <item x="471"/>
        <item x="258"/>
        <item x="205"/>
        <item x="249"/>
        <item x="449"/>
        <item x="54"/>
        <item x="260"/>
        <item x="401"/>
        <item x="183"/>
        <item x="493"/>
        <item x="272"/>
        <item x="323"/>
        <item x="360"/>
        <item x="255"/>
        <item x="126"/>
        <item x="171"/>
        <item x="188"/>
        <item x="10"/>
        <item x="168"/>
        <item x="135"/>
        <item x="32"/>
        <item x="67"/>
        <item x="287"/>
        <item x="439"/>
        <item x="57"/>
        <item x="499"/>
        <item x="221"/>
        <item x="245"/>
        <item x="209"/>
        <item x="93"/>
        <item x="348"/>
        <item x="462"/>
        <item x="343"/>
        <item x="155"/>
        <item x="290"/>
        <item x="452"/>
        <item x="327"/>
        <item x="23"/>
        <item x="154"/>
        <item x="42"/>
        <item x="172"/>
        <item x="460"/>
        <item x="145"/>
        <item x="407"/>
        <item x="36"/>
        <item x="332"/>
        <item x="356"/>
        <item x="25"/>
        <item x="152"/>
        <item x="33"/>
        <item x="385"/>
        <item x="280"/>
        <item x="234"/>
        <item x="422"/>
        <item x="498"/>
        <item x="270"/>
        <item x="3"/>
        <item x="216"/>
        <item x="482"/>
        <item x="165"/>
        <item x="26"/>
        <item x="240"/>
        <item x="330"/>
        <item x="125"/>
        <item x="442"/>
        <item x="282"/>
        <item x="299"/>
        <item x="207"/>
        <item x="335"/>
        <item x="58"/>
        <item x="440"/>
        <item x="76"/>
        <item x="193"/>
        <item x="390"/>
        <item x="228"/>
        <item x="357"/>
        <item x="329"/>
        <item x="476"/>
        <item x="95"/>
        <item x="20"/>
        <item x="199"/>
        <item x="396"/>
        <item x="372"/>
        <item x="336"/>
        <item x="9"/>
        <item x="59"/>
        <item x="75"/>
        <item x="262"/>
        <item x="14"/>
        <item x="309"/>
        <item x="107"/>
        <item x="526"/>
        <item x="410"/>
        <item x="71"/>
        <item x="488"/>
        <item x="114"/>
        <item x="81"/>
        <item x="267"/>
        <item x="196"/>
        <item x="437"/>
        <item x="425"/>
        <item x="104"/>
        <item x="214"/>
        <item x="351"/>
        <item x="317"/>
        <item x="293"/>
        <item x="424"/>
        <item x="201"/>
        <item x="100"/>
        <item x="423"/>
        <item x="301"/>
        <item x="419"/>
        <item x="313"/>
        <item x="273"/>
        <item x="261"/>
        <item x="314"/>
        <item x="345"/>
        <item x="318"/>
        <item x="60"/>
        <item x="333"/>
        <item x="56"/>
        <item x="132"/>
        <item x="4"/>
        <item x="445"/>
        <item x="490"/>
        <item x="137"/>
        <item x="387"/>
        <item x="18"/>
        <item x="264"/>
        <item x="45"/>
        <item x="392"/>
        <item x="175"/>
        <item x="420"/>
        <item x="79"/>
        <item x="463"/>
        <item x="534"/>
        <item x="431"/>
        <item x="461"/>
        <item x="43"/>
        <item x="40"/>
        <item x="77"/>
        <item x="517"/>
        <item x="167"/>
        <item x="11"/>
        <item x="6"/>
        <item x="212"/>
        <item x="453"/>
        <item x="143"/>
        <item x="182"/>
        <item x="454"/>
        <item x="241"/>
        <item x="279"/>
        <item x="150"/>
        <item x="361"/>
        <item x="164"/>
        <item x="268"/>
        <item x="492"/>
        <item x="195"/>
        <item x="306"/>
        <item x="444"/>
        <item x="0"/>
        <item x="146"/>
        <item x="82"/>
        <item x="342"/>
        <item x="447"/>
        <item x="200"/>
        <item x="87"/>
        <item x="38"/>
        <item x="503"/>
        <item x="243"/>
        <item x="124"/>
        <item x="148"/>
        <item x="474"/>
        <item x="382"/>
        <item x="187"/>
        <item x="340"/>
        <item x="509"/>
        <item x="487"/>
        <item x="376"/>
        <item x="326"/>
        <item x="231"/>
        <item x="371"/>
        <item x="325"/>
        <item x="358"/>
        <item x="417"/>
        <item x="115"/>
        <item x="496"/>
        <item x="28"/>
        <item x="219"/>
        <item x="344"/>
        <item x="412"/>
        <item x="473"/>
        <item x="403"/>
        <item x="529"/>
        <item x="257"/>
        <item x="524"/>
        <item x="85"/>
        <item x="388"/>
        <item x="312"/>
        <item x="122"/>
        <item x="320"/>
        <item x="355"/>
        <item x="238"/>
        <item x="483"/>
        <item x="276"/>
        <item x="246"/>
        <item x="173"/>
        <item x="364"/>
        <item x="353"/>
        <item x="136"/>
        <item x="53"/>
        <item x="259"/>
        <item x="516"/>
        <item x="365"/>
        <item x="278"/>
        <item x="161"/>
        <item x="470"/>
        <item x="34"/>
        <item x="134"/>
        <item x="303"/>
        <item x="68"/>
        <item x="121"/>
        <item x="481"/>
        <item x="455"/>
        <item x="472"/>
        <item x="389"/>
        <item x="140"/>
        <item x="181"/>
        <item x="518"/>
        <item x="434"/>
        <item x="144"/>
        <item x="277"/>
        <item x="500"/>
        <item x="507"/>
        <item x="52"/>
        <item x="174"/>
        <item x="7"/>
        <item x="88"/>
        <item x="163"/>
        <item x="49"/>
        <item x="138"/>
        <item x="160"/>
        <item x="489"/>
        <item x="29"/>
        <item x="157"/>
        <item x="381"/>
        <item x="511"/>
        <item x="256"/>
        <item x="373"/>
        <item x="285"/>
        <item x="239"/>
        <item x="86"/>
        <item x="450"/>
        <item x="271"/>
        <item x="184"/>
        <item x="477"/>
        <item x="223"/>
        <item x="284"/>
        <item x="515"/>
        <item x="265"/>
        <item x="404"/>
        <item x="421"/>
        <item x="117"/>
        <item x="178"/>
        <item x="391"/>
        <item x="203"/>
        <item x="406"/>
        <item x="275"/>
        <item x="399"/>
        <item x="177"/>
        <item x="533"/>
        <item x="305"/>
        <item x="512"/>
        <item x="350"/>
        <item x="308"/>
        <item x="475"/>
        <item x="531"/>
        <item x="222"/>
        <item x="464"/>
        <item x="430"/>
        <item x="41"/>
        <item x="536"/>
        <item x="286"/>
        <item x="99"/>
        <item x="162"/>
        <item x="202"/>
        <item x="244"/>
        <item x="484"/>
        <item x="226"/>
        <item x="204"/>
        <item x="159"/>
        <item x="22"/>
        <item x="218"/>
        <item x="47"/>
        <item x="458"/>
        <item x="224"/>
        <item x="225"/>
        <item x="535"/>
        <item x="337"/>
        <item x="230"/>
        <item x="505"/>
        <item x="13"/>
        <item x="296"/>
        <item x="69"/>
        <item x="402"/>
        <item x="485"/>
        <item x="74"/>
        <item x="101"/>
        <item x="369"/>
        <item x="302"/>
        <item x="51"/>
        <item x="118"/>
        <item x="374"/>
        <item x="123"/>
        <item x="186"/>
        <item x="321"/>
        <item x="370"/>
        <item x="62"/>
        <item x="436"/>
        <item x="156"/>
        <item x="467"/>
        <item x="91"/>
        <item x="105"/>
        <item x="1"/>
        <item x="109"/>
        <item x="539"/>
        <item x="468"/>
        <item x="441"/>
        <item x="519"/>
        <item x="80"/>
        <item x="192"/>
        <item x="63"/>
        <item x="98"/>
        <item x="185"/>
        <item x="346"/>
        <item x="30"/>
        <item x="112"/>
        <item x="411"/>
        <item x="266"/>
        <item x="506"/>
        <item x="375"/>
        <item x="413"/>
        <item x="170"/>
        <item x="70"/>
        <item x="198"/>
        <item x="504"/>
        <item x="250"/>
        <item x="331"/>
        <item x="194"/>
        <item x="457"/>
        <item x="274"/>
        <item x="377"/>
        <item x="443"/>
        <item x="307"/>
        <item x="362"/>
        <item x="206"/>
        <item x="229"/>
        <item x="448"/>
        <item x="523"/>
        <item x="215"/>
        <item x="220"/>
        <item x="211"/>
        <item x="324"/>
        <item x="149"/>
        <item x="116"/>
        <item x="153"/>
        <item x="316"/>
        <item x="491"/>
        <item x="179"/>
        <item x="83"/>
        <item x="166"/>
        <item x="478"/>
        <item x="295"/>
        <item x="227"/>
        <item x="432"/>
        <item x="428"/>
        <item x="113"/>
        <item x="359"/>
        <item x="8"/>
        <item x="281"/>
        <item x="39"/>
        <item x="409"/>
        <item x="378"/>
        <item x="291"/>
        <item x="233"/>
        <item x="139"/>
        <item x="96"/>
        <item x="2"/>
        <item x="102"/>
        <item x="66"/>
        <item x="408"/>
        <item x="510"/>
        <item x="16"/>
        <item x="120"/>
        <item x="17"/>
        <item x="532"/>
        <item x="169"/>
        <item t="default"/>
      </items>
    </pivotField>
    <pivotField numFmtId="14"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4">
    <i>
      <x/>
    </i>
    <i>
      <x v="2"/>
    </i>
    <i>
      <x v="1"/>
    </i>
    <i t="grand">
      <x/>
    </i>
  </rowItems>
  <colItems count="1">
    <i/>
  </colItems>
  <dataFields count="1">
    <dataField name="Sum of Sales Amount" fld="15" baseField="0" baseItem="0"/>
  </dataFields>
  <formats count="1">
    <format dxfId="137">
      <pivotArea collapsedLevelsAreSubtotals="1" fieldPosition="0">
        <references count="1">
          <reference field="5" count="0"/>
        </references>
      </pivotArea>
    </format>
  </format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5" count="1" selected="0">
            <x v="0"/>
          </reference>
        </references>
      </pivotArea>
    </chartFormat>
    <chartFormat chart="2" format="7">
      <pivotArea type="data" outline="0" fieldPosition="0">
        <references count="2">
          <reference field="4294967294" count="1" selected="0">
            <x v="0"/>
          </reference>
          <reference field="5" count="1" selected="0">
            <x v="2"/>
          </reference>
        </references>
      </pivotArea>
    </chartFormat>
    <chartFormat chart="2" format="8">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6F4869-23DE-4D43-8E3B-621AFEC3177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3:F28" firstHeaderRow="1" firstDataRow="1" firstDataCol="1"/>
  <pivotFields count="28">
    <pivotField showAll="0"/>
    <pivotField numFmtId="14" showAll="0">
      <items count="541">
        <item x="108"/>
        <item x="213"/>
        <item x="89"/>
        <item x="469"/>
        <item x="521"/>
        <item x="147"/>
        <item x="319"/>
        <item x="64"/>
        <item x="133"/>
        <item x="190"/>
        <item x="418"/>
        <item x="395"/>
        <item x="27"/>
        <item x="538"/>
        <item x="354"/>
        <item x="405"/>
        <item x="366"/>
        <item x="106"/>
        <item x="90"/>
        <item x="37"/>
        <item x="111"/>
        <item x="236"/>
        <item x="397"/>
        <item x="513"/>
        <item x="289"/>
        <item x="367"/>
        <item x="426"/>
        <item x="35"/>
        <item x="55"/>
        <item x="141"/>
        <item x="393"/>
        <item x="210"/>
        <item x="368"/>
        <item x="46"/>
        <item x="349"/>
        <item x="416"/>
        <item x="248"/>
        <item x="252"/>
        <item x="283"/>
        <item x="15"/>
        <item x="525"/>
        <item x="479"/>
        <item x="78"/>
        <item x="495"/>
        <item x="414"/>
        <item x="217"/>
        <item x="84"/>
        <item x="486"/>
        <item x="300"/>
        <item x="235"/>
        <item x="65"/>
        <item x="304"/>
        <item x="72"/>
        <item x="208"/>
        <item x="310"/>
        <item x="528"/>
        <item x="380"/>
        <item x="400"/>
        <item x="494"/>
        <item x="127"/>
        <item x="446"/>
        <item x="502"/>
        <item x="352"/>
        <item x="131"/>
        <item x="527"/>
        <item x="520"/>
        <item x="322"/>
        <item x="451"/>
        <item x="530"/>
        <item x="158"/>
        <item x="427"/>
        <item x="31"/>
        <item x="480"/>
        <item x="12"/>
        <item x="242"/>
        <item x="465"/>
        <item x="497"/>
        <item x="176"/>
        <item x="338"/>
        <item x="347"/>
        <item x="263"/>
        <item x="44"/>
        <item x="514"/>
        <item x="384"/>
        <item x="197"/>
        <item x="189"/>
        <item x="151"/>
        <item x="522"/>
        <item x="50"/>
        <item x="21"/>
        <item x="537"/>
        <item x="19"/>
        <item x="386"/>
        <item x="130"/>
        <item x="394"/>
        <item x="363"/>
        <item x="61"/>
        <item x="237"/>
        <item x="24"/>
        <item x="339"/>
        <item x="5"/>
        <item x="466"/>
        <item x="341"/>
        <item x="251"/>
        <item x="398"/>
        <item x="435"/>
        <item x="429"/>
        <item x="288"/>
        <item x="48"/>
        <item x="311"/>
        <item x="128"/>
        <item x="247"/>
        <item x="253"/>
        <item x="298"/>
        <item x="383"/>
        <item x="501"/>
        <item x="119"/>
        <item x="292"/>
        <item x="438"/>
        <item x="433"/>
        <item x="94"/>
        <item x="73"/>
        <item x="334"/>
        <item x="103"/>
        <item x="297"/>
        <item x="142"/>
        <item x="110"/>
        <item x="508"/>
        <item x="129"/>
        <item x="191"/>
        <item x="415"/>
        <item x="97"/>
        <item x="328"/>
        <item x="232"/>
        <item x="92"/>
        <item x="180"/>
        <item x="379"/>
        <item x="456"/>
        <item x="269"/>
        <item x="315"/>
        <item x="459"/>
        <item x="294"/>
        <item x="254"/>
        <item x="471"/>
        <item x="258"/>
        <item x="205"/>
        <item x="249"/>
        <item x="449"/>
        <item x="54"/>
        <item x="260"/>
        <item x="401"/>
        <item x="183"/>
        <item x="493"/>
        <item x="272"/>
        <item x="323"/>
        <item x="360"/>
        <item x="255"/>
        <item x="126"/>
        <item x="171"/>
        <item x="188"/>
        <item x="10"/>
        <item x="168"/>
        <item x="135"/>
        <item x="32"/>
        <item x="67"/>
        <item x="287"/>
        <item x="439"/>
        <item x="57"/>
        <item x="499"/>
        <item x="221"/>
        <item x="245"/>
        <item x="209"/>
        <item x="93"/>
        <item x="348"/>
        <item x="462"/>
        <item x="343"/>
        <item x="155"/>
        <item x="290"/>
        <item x="452"/>
        <item x="327"/>
        <item x="23"/>
        <item x="154"/>
        <item x="42"/>
        <item x="172"/>
        <item x="460"/>
        <item x="145"/>
        <item x="407"/>
        <item x="36"/>
        <item x="332"/>
        <item x="356"/>
        <item x="25"/>
        <item x="152"/>
        <item x="33"/>
        <item x="385"/>
        <item x="280"/>
        <item x="234"/>
        <item x="422"/>
        <item x="498"/>
        <item x="270"/>
        <item x="3"/>
        <item x="216"/>
        <item x="482"/>
        <item x="165"/>
        <item x="26"/>
        <item x="240"/>
        <item x="330"/>
        <item x="125"/>
        <item x="442"/>
        <item x="282"/>
        <item x="299"/>
        <item x="207"/>
        <item x="335"/>
        <item x="58"/>
        <item x="440"/>
        <item x="76"/>
        <item x="193"/>
        <item x="390"/>
        <item x="228"/>
        <item x="357"/>
        <item x="329"/>
        <item x="476"/>
        <item x="95"/>
        <item x="20"/>
        <item x="199"/>
        <item x="396"/>
        <item x="372"/>
        <item x="336"/>
        <item x="9"/>
        <item x="59"/>
        <item x="75"/>
        <item x="262"/>
        <item x="14"/>
        <item x="309"/>
        <item x="107"/>
        <item x="526"/>
        <item x="410"/>
        <item x="71"/>
        <item x="488"/>
        <item x="114"/>
        <item x="81"/>
        <item x="267"/>
        <item x="196"/>
        <item x="437"/>
        <item x="425"/>
        <item x="104"/>
        <item x="214"/>
        <item x="351"/>
        <item x="317"/>
        <item x="293"/>
        <item x="424"/>
        <item x="201"/>
        <item x="100"/>
        <item x="423"/>
        <item x="301"/>
        <item x="419"/>
        <item x="313"/>
        <item x="273"/>
        <item x="261"/>
        <item x="314"/>
        <item x="345"/>
        <item x="318"/>
        <item x="60"/>
        <item x="333"/>
        <item x="56"/>
        <item x="132"/>
        <item x="4"/>
        <item x="445"/>
        <item x="490"/>
        <item x="137"/>
        <item x="387"/>
        <item x="18"/>
        <item x="264"/>
        <item x="45"/>
        <item x="392"/>
        <item x="175"/>
        <item x="420"/>
        <item x="79"/>
        <item x="463"/>
        <item x="534"/>
        <item x="431"/>
        <item x="461"/>
        <item x="43"/>
        <item x="40"/>
        <item x="77"/>
        <item x="517"/>
        <item x="167"/>
        <item x="11"/>
        <item x="6"/>
        <item x="212"/>
        <item x="453"/>
        <item x="143"/>
        <item x="182"/>
        <item x="454"/>
        <item x="241"/>
        <item x="279"/>
        <item x="150"/>
        <item x="361"/>
        <item x="164"/>
        <item x="268"/>
        <item x="492"/>
        <item x="195"/>
        <item x="306"/>
        <item x="444"/>
        <item x="0"/>
        <item x="146"/>
        <item x="82"/>
        <item x="342"/>
        <item x="447"/>
        <item x="200"/>
        <item x="87"/>
        <item x="38"/>
        <item x="503"/>
        <item x="243"/>
        <item x="124"/>
        <item x="148"/>
        <item x="474"/>
        <item x="382"/>
        <item x="187"/>
        <item x="340"/>
        <item x="509"/>
        <item x="487"/>
        <item x="376"/>
        <item x="326"/>
        <item x="231"/>
        <item x="371"/>
        <item x="325"/>
        <item x="358"/>
        <item x="417"/>
        <item x="115"/>
        <item x="496"/>
        <item x="28"/>
        <item x="219"/>
        <item x="344"/>
        <item x="412"/>
        <item x="473"/>
        <item x="403"/>
        <item x="529"/>
        <item x="257"/>
        <item x="524"/>
        <item x="85"/>
        <item x="388"/>
        <item x="312"/>
        <item x="122"/>
        <item x="320"/>
        <item x="355"/>
        <item x="238"/>
        <item x="483"/>
        <item x="276"/>
        <item x="246"/>
        <item x="173"/>
        <item x="364"/>
        <item x="353"/>
        <item x="136"/>
        <item x="53"/>
        <item x="259"/>
        <item x="516"/>
        <item x="365"/>
        <item x="278"/>
        <item x="161"/>
        <item x="470"/>
        <item x="34"/>
        <item x="134"/>
        <item x="303"/>
        <item x="68"/>
        <item x="121"/>
        <item x="481"/>
        <item x="455"/>
        <item x="472"/>
        <item x="389"/>
        <item x="140"/>
        <item x="181"/>
        <item x="518"/>
        <item x="434"/>
        <item x="144"/>
        <item x="277"/>
        <item x="500"/>
        <item x="507"/>
        <item x="52"/>
        <item x="174"/>
        <item x="7"/>
        <item x="88"/>
        <item x="163"/>
        <item x="49"/>
        <item x="138"/>
        <item x="160"/>
        <item x="489"/>
        <item x="29"/>
        <item x="157"/>
        <item x="381"/>
        <item x="511"/>
        <item x="256"/>
        <item x="373"/>
        <item x="285"/>
        <item x="239"/>
        <item x="86"/>
        <item x="450"/>
        <item x="271"/>
        <item x="184"/>
        <item x="477"/>
        <item x="223"/>
        <item x="284"/>
        <item x="515"/>
        <item x="265"/>
        <item x="404"/>
        <item x="421"/>
        <item x="117"/>
        <item x="178"/>
        <item x="391"/>
        <item x="203"/>
        <item x="406"/>
        <item x="275"/>
        <item x="399"/>
        <item x="177"/>
        <item x="533"/>
        <item x="305"/>
        <item x="512"/>
        <item x="350"/>
        <item x="308"/>
        <item x="475"/>
        <item x="531"/>
        <item x="222"/>
        <item x="464"/>
        <item x="430"/>
        <item x="41"/>
        <item x="536"/>
        <item x="286"/>
        <item x="99"/>
        <item x="162"/>
        <item x="202"/>
        <item x="244"/>
        <item x="484"/>
        <item x="226"/>
        <item x="204"/>
        <item x="159"/>
        <item x="22"/>
        <item x="218"/>
        <item x="47"/>
        <item x="458"/>
        <item x="224"/>
        <item x="225"/>
        <item x="535"/>
        <item x="337"/>
        <item x="230"/>
        <item x="505"/>
        <item x="13"/>
        <item x="296"/>
        <item x="69"/>
        <item x="402"/>
        <item x="485"/>
        <item x="74"/>
        <item x="101"/>
        <item x="369"/>
        <item x="302"/>
        <item x="51"/>
        <item x="118"/>
        <item x="374"/>
        <item x="123"/>
        <item x="186"/>
        <item x="321"/>
        <item x="370"/>
        <item x="62"/>
        <item x="436"/>
        <item x="156"/>
        <item x="467"/>
        <item x="91"/>
        <item x="105"/>
        <item x="1"/>
        <item x="109"/>
        <item x="539"/>
        <item x="468"/>
        <item x="441"/>
        <item x="519"/>
        <item x="80"/>
        <item x="192"/>
        <item x="63"/>
        <item x="98"/>
        <item x="185"/>
        <item x="346"/>
        <item x="30"/>
        <item x="112"/>
        <item x="411"/>
        <item x="266"/>
        <item x="506"/>
        <item x="375"/>
        <item x="413"/>
        <item x="170"/>
        <item x="70"/>
        <item x="198"/>
        <item x="504"/>
        <item x="250"/>
        <item x="331"/>
        <item x="194"/>
        <item x="457"/>
        <item x="274"/>
        <item x="377"/>
        <item x="443"/>
        <item x="307"/>
        <item x="362"/>
        <item x="206"/>
        <item x="229"/>
        <item x="448"/>
        <item x="523"/>
        <item x="215"/>
        <item x="220"/>
        <item x="211"/>
        <item x="324"/>
        <item x="149"/>
        <item x="116"/>
        <item x="153"/>
        <item x="316"/>
        <item x="491"/>
        <item x="179"/>
        <item x="83"/>
        <item x="166"/>
        <item x="478"/>
        <item x="295"/>
        <item x="227"/>
        <item x="432"/>
        <item x="428"/>
        <item x="113"/>
        <item x="359"/>
        <item x="8"/>
        <item x="281"/>
        <item x="39"/>
        <item x="409"/>
        <item x="378"/>
        <item x="291"/>
        <item x="233"/>
        <item x="139"/>
        <item x="96"/>
        <item x="2"/>
        <item x="102"/>
        <item x="66"/>
        <item x="408"/>
        <item x="510"/>
        <item x="16"/>
        <item x="120"/>
        <item x="17"/>
        <item x="532"/>
        <item x="169"/>
        <item t="default"/>
      </items>
    </pivotField>
    <pivotField numFmtId="14" showAll="0"/>
    <pivotField showAll="0"/>
    <pivotField showAll="0"/>
    <pivotField showAll="0">
      <items count="4">
        <item x="2"/>
        <item x="1"/>
        <item x="0"/>
        <item t="default"/>
      </items>
    </pivotField>
    <pivotField showAll="0"/>
    <pivotField showAll="0"/>
    <pivotField showAll="0">
      <items count="5">
        <item x="1"/>
        <item x="2"/>
        <item x="3"/>
        <item x="0"/>
        <item t="default"/>
      </items>
    </pivotField>
    <pivotField showAll="0">
      <items count="5">
        <item x="3"/>
        <item x="0"/>
        <item x="1"/>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6"/>
  </rowFields>
  <rowItems count="5">
    <i>
      <x v="1"/>
    </i>
    <i>
      <x v="2"/>
    </i>
    <i>
      <x v="3"/>
    </i>
    <i>
      <x v="4"/>
    </i>
    <i t="grand">
      <x/>
    </i>
  </rowItems>
  <colItems count="1">
    <i/>
  </colItems>
  <dataFields count="1">
    <dataField name="Sum of Sales Amount" fld="15" baseField="0" baseItem="0"/>
  </dataFields>
  <formats count="1">
    <format dxfId="138">
      <pivotArea collapsedLevelsAreSubtotals="1" fieldPosition="0">
        <references count="1">
          <reference field="26" count="4">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527B4C-BE56-4FBF-868A-203FC733F1D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5:F19" firstHeaderRow="1" firstDataRow="1" firstDataCol="1"/>
  <pivotFields count="28">
    <pivotField showAll="0"/>
    <pivotField numFmtId="14" showAll="0">
      <items count="541">
        <item x="108"/>
        <item x="213"/>
        <item x="89"/>
        <item x="469"/>
        <item x="521"/>
        <item x="147"/>
        <item x="319"/>
        <item x="64"/>
        <item x="133"/>
        <item x="190"/>
        <item x="418"/>
        <item x="395"/>
        <item x="27"/>
        <item x="538"/>
        <item x="354"/>
        <item x="405"/>
        <item x="366"/>
        <item x="106"/>
        <item x="90"/>
        <item x="37"/>
        <item x="111"/>
        <item x="236"/>
        <item x="397"/>
        <item x="513"/>
        <item x="289"/>
        <item x="367"/>
        <item x="426"/>
        <item x="35"/>
        <item x="55"/>
        <item x="141"/>
        <item x="393"/>
        <item x="210"/>
        <item x="368"/>
        <item x="46"/>
        <item x="349"/>
        <item x="416"/>
        <item x="248"/>
        <item x="252"/>
        <item x="283"/>
        <item x="15"/>
        <item x="525"/>
        <item x="479"/>
        <item x="78"/>
        <item x="495"/>
        <item x="414"/>
        <item x="217"/>
        <item x="84"/>
        <item x="486"/>
        <item x="300"/>
        <item x="235"/>
        <item x="65"/>
        <item x="304"/>
        <item x="72"/>
        <item x="208"/>
        <item x="310"/>
        <item x="528"/>
        <item x="380"/>
        <item x="400"/>
        <item x="494"/>
        <item x="127"/>
        <item x="446"/>
        <item x="502"/>
        <item x="352"/>
        <item x="131"/>
        <item x="527"/>
        <item x="520"/>
        <item x="322"/>
        <item x="451"/>
        <item x="530"/>
        <item x="158"/>
        <item x="427"/>
        <item x="31"/>
        <item x="480"/>
        <item x="12"/>
        <item x="242"/>
        <item x="465"/>
        <item x="497"/>
        <item x="176"/>
        <item x="338"/>
        <item x="347"/>
        <item x="263"/>
        <item x="44"/>
        <item x="514"/>
        <item x="384"/>
        <item x="197"/>
        <item x="189"/>
        <item x="151"/>
        <item x="522"/>
        <item x="50"/>
        <item x="21"/>
        <item x="537"/>
        <item x="19"/>
        <item x="386"/>
        <item x="130"/>
        <item x="394"/>
        <item x="363"/>
        <item x="61"/>
        <item x="237"/>
        <item x="24"/>
        <item x="339"/>
        <item x="5"/>
        <item x="466"/>
        <item x="341"/>
        <item x="251"/>
        <item x="398"/>
        <item x="435"/>
        <item x="429"/>
        <item x="288"/>
        <item x="48"/>
        <item x="311"/>
        <item x="128"/>
        <item x="247"/>
        <item x="253"/>
        <item x="298"/>
        <item x="383"/>
        <item x="501"/>
        <item x="119"/>
        <item x="292"/>
        <item x="438"/>
        <item x="433"/>
        <item x="94"/>
        <item x="73"/>
        <item x="334"/>
        <item x="103"/>
        <item x="297"/>
        <item x="142"/>
        <item x="110"/>
        <item x="508"/>
        <item x="129"/>
        <item x="191"/>
        <item x="415"/>
        <item x="97"/>
        <item x="328"/>
        <item x="232"/>
        <item x="92"/>
        <item x="180"/>
        <item x="379"/>
        <item x="456"/>
        <item x="269"/>
        <item x="315"/>
        <item x="459"/>
        <item x="294"/>
        <item x="254"/>
        <item x="471"/>
        <item x="258"/>
        <item x="205"/>
        <item x="249"/>
        <item x="449"/>
        <item x="54"/>
        <item x="260"/>
        <item x="401"/>
        <item x="183"/>
        <item x="493"/>
        <item x="272"/>
        <item x="323"/>
        <item x="360"/>
        <item x="255"/>
        <item x="126"/>
        <item x="171"/>
        <item x="188"/>
        <item x="10"/>
        <item x="168"/>
        <item x="135"/>
        <item x="32"/>
        <item x="67"/>
        <item x="287"/>
        <item x="439"/>
        <item x="57"/>
        <item x="499"/>
        <item x="221"/>
        <item x="245"/>
        <item x="209"/>
        <item x="93"/>
        <item x="348"/>
        <item x="462"/>
        <item x="343"/>
        <item x="155"/>
        <item x="290"/>
        <item x="452"/>
        <item x="327"/>
        <item x="23"/>
        <item x="154"/>
        <item x="42"/>
        <item x="172"/>
        <item x="460"/>
        <item x="145"/>
        <item x="407"/>
        <item x="36"/>
        <item x="332"/>
        <item x="356"/>
        <item x="25"/>
        <item x="152"/>
        <item x="33"/>
        <item x="385"/>
        <item x="280"/>
        <item x="234"/>
        <item x="422"/>
        <item x="498"/>
        <item x="270"/>
        <item x="3"/>
        <item x="216"/>
        <item x="482"/>
        <item x="165"/>
        <item x="26"/>
        <item x="240"/>
        <item x="330"/>
        <item x="125"/>
        <item x="442"/>
        <item x="282"/>
        <item x="299"/>
        <item x="207"/>
        <item x="335"/>
        <item x="58"/>
        <item x="440"/>
        <item x="76"/>
        <item x="193"/>
        <item x="390"/>
        <item x="228"/>
        <item x="357"/>
        <item x="329"/>
        <item x="476"/>
        <item x="95"/>
        <item x="20"/>
        <item x="199"/>
        <item x="396"/>
        <item x="372"/>
        <item x="336"/>
        <item x="9"/>
        <item x="59"/>
        <item x="75"/>
        <item x="262"/>
        <item x="14"/>
        <item x="309"/>
        <item x="107"/>
        <item x="526"/>
        <item x="410"/>
        <item x="71"/>
        <item x="488"/>
        <item x="114"/>
        <item x="81"/>
        <item x="267"/>
        <item x="196"/>
        <item x="437"/>
        <item x="425"/>
        <item x="104"/>
        <item x="214"/>
        <item x="351"/>
        <item x="317"/>
        <item x="293"/>
        <item x="424"/>
        <item x="201"/>
        <item x="100"/>
        <item x="423"/>
        <item x="301"/>
        <item x="419"/>
        <item x="313"/>
        <item x="273"/>
        <item x="261"/>
        <item x="314"/>
        <item x="345"/>
        <item x="318"/>
        <item x="60"/>
        <item x="333"/>
        <item x="56"/>
        <item x="132"/>
        <item x="4"/>
        <item x="445"/>
        <item x="490"/>
        <item x="137"/>
        <item x="387"/>
        <item x="18"/>
        <item x="264"/>
        <item x="45"/>
        <item x="392"/>
        <item x="175"/>
        <item x="420"/>
        <item x="79"/>
        <item x="463"/>
        <item x="534"/>
        <item x="431"/>
        <item x="461"/>
        <item x="43"/>
        <item x="40"/>
        <item x="77"/>
        <item x="517"/>
        <item x="167"/>
        <item x="11"/>
        <item x="6"/>
        <item x="212"/>
        <item x="453"/>
        <item x="143"/>
        <item x="182"/>
        <item x="454"/>
        <item x="241"/>
        <item x="279"/>
        <item x="150"/>
        <item x="361"/>
        <item x="164"/>
        <item x="268"/>
        <item x="492"/>
        <item x="195"/>
        <item x="306"/>
        <item x="444"/>
        <item x="0"/>
        <item x="146"/>
        <item x="82"/>
        <item x="342"/>
        <item x="447"/>
        <item x="200"/>
        <item x="87"/>
        <item x="38"/>
        <item x="503"/>
        <item x="243"/>
        <item x="124"/>
        <item x="148"/>
        <item x="474"/>
        <item x="382"/>
        <item x="187"/>
        <item x="340"/>
        <item x="509"/>
        <item x="487"/>
        <item x="376"/>
        <item x="326"/>
        <item x="231"/>
        <item x="371"/>
        <item x="325"/>
        <item x="358"/>
        <item x="417"/>
        <item x="115"/>
        <item x="496"/>
        <item x="28"/>
        <item x="219"/>
        <item x="344"/>
        <item x="412"/>
        <item x="473"/>
        <item x="403"/>
        <item x="529"/>
        <item x="257"/>
        <item x="524"/>
        <item x="85"/>
        <item x="388"/>
        <item x="312"/>
        <item x="122"/>
        <item x="320"/>
        <item x="355"/>
        <item x="238"/>
        <item x="483"/>
        <item x="276"/>
        <item x="246"/>
        <item x="173"/>
        <item x="364"/>
        <item x="353"/>
        <item x="136"/>
        <item x="53"/>
        <item x="259"/>
        <item x="516"/>
        <item x="365"/>
        <item x="278"/>
        <item x="161"/>
        <item x="470"/>
        <item x="34"/>
        <item x="134"/>
        <item x="303"/>
        <item x="68"/>
        <item x="121"/>
        <item x="481"/>
        <item x="455"/>
        <item x="472"/>
        <item x="389"/>
        <item x="140"/>
        <item x="181"/>
        <item x="518"/>
        <item x="434"/>
        <item x="144"/>
        <item x="277"/>
        <item x="500"/>
        <item x="507"/>
        <item x="52"/>
        <item x="174"/>
        <item x="7"/>
        <item x="88"/>
        <item x="163"/>
        <item x="49"/>
        <item x="138"/>
        <item x="160"/>
        <item x="489"/>
        <item x="29"/>
        <item x="157"/>
        <item x="381"/>
        <item x="511"/>
        <item x="256"/>
        <item x="373"/>
        <item x="285"/>
        <item x="239"/>
        <item x="86"/>
        <item x="450"/>
        <item x="271"/>
        <item x="184"/>
        <item x="477"/>
        <item x="223"/>
        <item x="284"/>
        <item x="515"/>
        <item x="265"/>
        <item x="404"/>
        <item x="421"/>
        <item x="117"/>
        <item x="178"/>
        <item x="391"/>
        <item x="203"/>
        <item x="406"/>
        <item x="275"/>
        <item x="399"/>
        <item x="177"/>
        <item x="533"/>
        <item x="305"/>
        <item x="512"/>
        <item x="350"/>
        <item x="308"/>
        <item x="475"/>
        <item x="531"/>
        <item x="222"/>
        <item x="464"/>
        <item x="430"/>
        <item x="41"/>
        <item x="536"/>
        <item x="286"/>
        <item x="99"/>
        <item x="162"/>
        <item x="202"/>
        <item x="244"/>
        <item x="484"/>
        <item x="226"/>
        <item x="204"/>
        <item x="159"/>
        <item x="22"/>
        <item x="218"/>
        <item x="47"/>
        <item x="458"/>
        <item x="224"/>
        <item x="225"/>
        <item x="535"/>
        <item x="337"/>
        <item x="230"/>
        <item x="505"/>
        <item x="13"/>
        <item x="296"/>
        <item x="69"/>
        <item x="402"/>
        <item x="485"/>
        <item x="74"/>
        <item x="101"/>
        <item x="369"/>
        <item x="302"/>
        <item x="51"/>
        <item x="118"/>
        <item x="374"/>
        <item x="123"/>
        <item x="186"/>
        <item x="321"/>
        <item x="370"/>
        <item x="62"/>
        <item x="436"/>
        <item x="156"/>
        <item x="467"/>
        <item x="91"/>
        <item x="105"/>
        <item x="1"/>
        <item x="109"/>
        <item x="539"/>
        <item x="468"/>
        <item x="441"/>
        <item x="519"/>
        <item x="80"/>
        <item x="192"/>
        <item x="63"/>
        <item x="98"/>
        <item x="185"/>
        <item x="346"/>
        <item x="30"/>
        <item x="112"/>
        <item x="411"/>
        <item x="266"/>
        <item x="506"/>
        <item x="375"/>
        <item x="413"/>
        <item x="170"/>
        <item x="70"/>
        <item x="198"/>
        <item x="504"/>
        <item x="250"/>
        <item x="331"/>
        <item x="194"/>
        <item x="457"/>
        <item x="274"/>
        <item x="377"/>
        <item x="443"/>
        <item x="307"/>
        <item x="362"/>
        <item x="206"/>
        <item x="229"/>
        <item x="448"/>
        <item x="523"/>
        <item x="215"/>
        <item x="220"/>
        <item x="211"/>
        <item x="324"/>
        <item x="149"/>
        <item x="116"/>
        <item x="153"/>
        <item x="316"/>
        <item x="491"/>
        <item x="179"/>
        <item x="83"/>
        <item x="166"/>
        <item x="478"/>
        <item x="295"/>
        <item x="227"/>
        <item x="432"/>
        <item x="428"/>
        <item x="113"/>
        <item x="359"/>
        <item x="8"/>
        <item x="281"/>
        <item x="39"/>
        <item x="409"/>
        <item x="378"/>
        <item x="291"/>
        <item x="233"/>
        <item x="139"/>
        <item x="96"/>
        <item x="2"/>
        <item x="102"/>
        <item x="66"/>
        <item x="408"/>
        <item x="510"/>
        <item x="16"/>
        <item x="120"/>
        <item x="17"/>
        <item x="532"/>
        <item x="169"/>
        <item t="default"/>
      </items>
    </pivotField>
    <pivotField numFmtId="14" showAll="0"/>
    <pivotField showAll="0"/>
    <pivotField showAll="0"/>
    <pivotField showAll="0">
      <items count="4">
        <item x="2"/>
        <item x="1"/>
        <item x="0"/>
        <item t="default"/>
      </items>
    </pivotField>
    <pivotField showAll="0"/>
    <pivotField showAll="0"/>
    <pivotField showAll="0">
      <items count="5">
        <item x="1"/>
        <item x="2"/>
        <item x="3"/>
        <item x="0"/>
        <item t="default"/>
      </items>
    </pivotField>
    <pivotField showAll="0">
      <items count="5">
        <item x="3"/>
        <item x="0"/>
        <item x="1"/>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27"/>
  </rowFields>
  <rowItems count="4">
    <i>
      <x v="1"/>
    </i>
    <i>
      <x v="2"/>
    </i>
    <i>
      <x v="3"/>
    </i>
    <i t="grand">
      <x/>
    </i>
  </rowItems>
  <colItems count="1">
    <i/>
  </colItems>
  <dataFields count="1">
    <dataField name="Sum of Sales Amount" fld="15" baseField="0" baseItem="0"/>
  </dataFields>
  <formats count="1">
    <format dxfId="139">
      <pivotArea collapsedLevelsAreSubtotals="1" fieldPosition="0">
        <references count="1">
          <reference field="27" count="3">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671E9AE-6493-4C6E-AFB6-9EBA28C5ACD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6:J7" firstHeaderRow="1" firstDataRow="1" firstDataCol="0"/>
  <pivotFields count="28">
    <pivotField showAll="0"/>
    <pivotField numFmtId="14" showAll="0">
      <items count="541">
        <item x="108"/>
        <item x="213"/>
        <item x="89"/>
        <item x="469"/>
        <item x="521"/>
        <item x="147"/>
        <item x="319"/>
        <item x="64"/>
        <item x="133"/>
        <item x="190"/>
        <item x="418"/>
        <item x="395"/>
        <item x="27"/>
        <item x="538"/>
        <item x="354"/>
        <item x="405"/>
        <item x="366"/>
        <item x="106"/>
        <item x="90"/>
        <item x="37"/>
        <item x="111"/>
        <item x="236"/>
        <item x="397"/>
        <item x="513"/>
        <item x="289"/>
        <item x="367"/>
        <item x="426"/>
        <item x="35"/>
        <item x="55"/>
        <item x="141"/>
        <item x="393"/>
        <item x="210"/>
        <item x="368"/>
        <item x="46"/>
        <item x="349"/>
        <item x="416"/>
        <item x="248"/>
        <item x="252"/>
        <item x="283"/>
        <item x="15"/>
        <item x="525"/>
        <item x="479"/>
        <item x="78"/>
        <item x="495"/>
        <item x="414"/>
        <item x="217"/>
        <item x="84"/>
        <item x="486"/>
        <item x="300"/>
        <item x="235"/>
        <item x="65"/>
        <item x="304"/>
        <item x="72"/>
        <item x="208"/>
        <item x="310"/>
        <item x="528"/>
        <item x="380"/>
        <item x="400"/>
        <item x="494"/>
        <item x="127"/>
        <item x="446"/>
        <item x="502"/>
        <item x="352"/>
        <item x="131"/>
        <item x="527"/>
        <item x="520"/>
        <item x="322"/>
        <item x="451"/>
        <item x="530"/>
        <item x="158"/>
        <item x="427"/>
        <item x="31"/>
        <item x="480"/>
        <item x="12"/>
        <item x="242"/>
        <item x="465"/>
        <item x="497"/>
        <item x="176"/>
        <item x="338"/>
        <item x="347"/>
        <item x="263"/>
        <item x="44"/>
        <item x="514"/>
        <item x="384"/>
        <item x="197"/>
        <item x="189"/>
        <item x="151"/>
        <item x="522"/>
        <item x="50"/>
        <item x="21"/>
        <item x="537"/>
        <item x="19"/>
        <item x="386"/>
        <item x="130"/>
        <item x="394"/>
        <item x="363"/>
        <item x="61"/>
        <item x="237"/>
        <item x="24"/>
        <item x="339"/>
        <item x="5"/>
        <item x="466"/>
        <item x="341"/>
        <item x="251"/>
        <item x="398"/>
        <item x="435"/>
        <item x="429"/>
        <item x="288"/>
        <item x="48"/>
        <item x="311"/>
        <item x="128"/>
        <item x="247"/>
        <item x="253"/>
        <item x="298"/>
        <item x="383"/>
        <item x="501"/>
        <item x="119"/>
        <item x="292"/>
        <item x="438"/>
        <item x="433"/>
        <item x="94"/>
        <item x="73"/>
        <item x="334"/>
        <item x="103"/>
        <item x="297"/>
        <item x="142"/>
        <item x="110"/>
        <item x="508"/>
        <item x="129"/>
        <item x="191"/>
        <item x="415"/>
        <item x="97"/>
        <item x="328"/>
        <item x="232"/>
        <item x="92"/>
        <item x="180"/>
        <item x="379"/>
        <item x="456"/>
        <item x="269"/>
        <item x="315"/>
        <item x="459"/>
        <item x="294"/>
        <item x="254"/>
        <item x="471"/>
        <item x="258"/>
        <item x="205"/>
        <item x="249"/>
        <item x="449"/>
        <item x="54"/>
        <item x="260"/>
        <item x="401"/>
        <item x="183"/>
        <item x="493"/>
        <item x="272"/>
        <item x="323"/>
        <item x="360"/>
        <item x="255"/>
        <item x="126"/>
        <item x="171"/>
        <item x="188"/>
        <item x="10"/>
        <item x="168"/>
        <item x="135"/>
        <item x="32"/>
        <item x="67"/>
        <item x="287"/>
        <item x="439"/>
        <item x="57"/>
        <item x="499"/>
        <item x="221"/>
        <item x="245"/>
        <item x="209"/>
        <item x="93"/>
        <item x="348"/>
        <item x="462"/>
        <item x="343"/>
        <item x="155"/>
        <item x="290"/>
        <item x="452"/>
        <item x="327"/>
        <item x="23"/>
        <item x="154"/>
        <item x="42"/>
        <item x="172"/>
        <item x="460"/>
        <item x="145"/>
        <item x="407"/>
        <item x="36"/>
        <item x="332"/>
        <item x="356"/>
        <item x="25"/>
        <item x="152"/>
        <item x="33"/>
        <item x="385"/>
        <item x="280"/>
        <item x="234"/>
        <item x="422"/>
        <item x="498"/>
        <item x="270"/>
        <item x="3"/>
        <item x="216"/>
        <item x="482"/>
        <item x="165"/>
        <item x="26"/>
        <item x="240"/>
        <item x="330"/>
        <item x="125"/>
        <item x="442"/>
        <item x="282"/>
        <item x="299"/>
        <item x="207"/>
        <item x="335"/>
        <item x="58"/>
        <item x="440"/>
        <item x="76"/>
        <item x="193"/>
        <item x="390"/>
        <item x="228"/>
        <item x="357"/>
        <item x="329"/>
        <item x="476"/>
        <item x="95"/>
        <item x="20"/>
        <item x="199"/>
        <item x="396"/>
        <item x="372"/>
        <item x="336"/>
        <item x="9"/>
        <item x="59"/>
        <item x="75"/>
        <item x="262"/>
        <item x="14"/>
        <item x="309"/>
        <item x="107"/>
        <item x="526"/>
        <item x="410"/>
        <item x="71"/>
        <item x="488"/>
        <item x="114"/>
        <item x="81"/>
        <item x="267"/>
        <item x="196"/>
        <item x="437"/>
        <item x="425"/>
        <item x="104"/>
        <item x="214"/>
        <item x="351"/>
        <item x="317"/>
        <item x="293"/>
        <item x="424"/>
        <item x="201"/>
        <item x="100"/>
        <item x="423"/>
        <item x="301"/>
        <item x="419"/>
        <item x="313"/>
        <item x="273"/>
        <item x="261"/>
        <item x="314"/>
        <item x="345"/>
        <item x="318"/>
        <item x="60"/>
        <item x="333"/>
        <item x="56"/>
        <item x="132"/>
        <item x="4"/>
        <item x="445"/>
        <item x="490"/>
        <item x="137"/>
        <item x="387"/>
        <item x="18"/>
        <item x="264"/>
        <item x="45"/>
        <item x="392"/>
        <item x="175"/>
        <item x="420"/>
        <item x="79"/>
        <item x="463"/>
        <item x="534"/>
        <item x="431"/>
        <item x="461"/>
        <item x="43"/>
        <item x="40"/>
        <item x="77"/>
        <item x="517"/>
        <item x="167"/>
        <item x="11"/>
        <item x="6"/>
        <item x="212"/>
        <item x="453"/>
        <item x="143"/>
        <item x="182"/>
        <item x="454"/>
        <item x="241"/>
        <item x="279"/>
        <item x="150"/>
        <item x="361"/>
        <item x="164"/>
        <item x="268"/>
        <item x="492"/>
        <item x="195"/>
        <item x="306"/>
        <item x="444"/>
        <item x="0"/>
        <item x="146"/>
        <item x="82"/>
        <item x="342"/>
        <item x="447"/>
        <item x="200"/>
        <item x="87"/>
        <item x="38"/>
        <item x="503"/>
        <item x="243"/>
        <item x="124"/>
        <item x="148"/>
        <item x="474"/>
        <item x="382"/>
        <item x="187"/>
        <item x="340"/>
        <item x="509"/>
        <item x="487"/>
        <item x="376"/>
        <item x="326"/>
        <item x="231"/>
        <item x="371"/>
        <item x="325"/>
        <item x="358"/>
        <item x="417"/>
        <item x="115"/>
        <item x="496"/>
        <item x="28"/>
        <item x="219"/>
        <item x="344"/>
        <item x="412"/>
        <item x="473"/>
        <item x="403"/>
        <item x="529"/>
        <item x="257"/>
        <item x="524"/>
        <item x="85"/>
        <item x="388"/>
        <item x="312"/>
        <item x="122"/>
        <item x="320"/>
        <item x="355"/>
        <item x="238"/>
        <item x="483"/>
        <item x="276"/>
        <item x="246"/>
        <item x="173"/>
        <item x="364"/>
        <item x="353"/>
        <item x="136"/>
        <item x="53"/>
        <item x="259"/>
        <item x="516"/>
        <item x="365"/>
        <item x="278"/>
        <item x="161"/>
        <item x="470"/>
        <item x="34"/>
        <item x="134"/>
        <item x="303"/>
        <item x="68"/>
        <item x="121"/>
        <item x="481"/>
        <item x="455"/>
        <item x="472"/>
        <item x="389"/>
        <item x="140"/>
        <item x="181"/>
        <item x="518"/>
        <item x="434"/>
        <item x="144"/>
        <item x="277"/>
        <item x="500"/>
        <item x="507"/>
        <item x="52"/>
        <item x="174"/>
        <item x="7"/>
        <item x="88"/>
        <item x="163"/>
        <item x="49"/>
        <item x="138"/>
        <item x="160"/>
        <item x="489"/>
        <item x="29"/>
        <item x="157"/>
        <item x="381"/>
        <item x="511"/>
        <item x="256"/>
        <item x="373"/>
        <item x="285"/>
        <item x="239"/>
        <item x="86"/>
        <item x="450"/>
        <item x="271"/>
        <item x="184"/>
        <item x="477"/>
        <item x="223"/>
        <item x="284"/>
        <item x="515"/>
        <item x="265"/>
        <item x="404"/>
        <item x="421"/>
        <item x="117"/>
        <item x="178"/>
        <item x="391"/>
        <item x="203"/>
        <item x="406"/>
        <item x="275"/>
        <item x="399"/>
        <item x="177"/>
        <item x="533"/>
        <item x="305"/>
        <item x="512"/>
        <item x="350"/>
        <item x="308"/>
        <item x="475"/>
        <item x="531"/>
        <item x="222"/>
        <item x="464"/>
        <item x="430"/>
        <item x="41"/>
        <item x="536"/>
        <item x="286"/>
        <item x="99"/>
        <item x="162"/>
        <item x="202"/>
        <item x="244"/>
        <item x="484"/>
        <item x="226"/>
        <item x="204"/>
        <item x="159"/>
        <item x="22"/>
        <item x="218"/>
        <item x="47"/>
        <item x="458"/>
        <item x="224"/>
        <item x="225"/>
        <item x="535"/>
        <item x="337"/>
        <item x="230"/>
        <item x="505"/>
        <item x="13"/>
        <item x="296"/>
        <item x="69"/>
        <item x="402"/>
        <item x="485"/>
        <item x="74"/>
        <item x="101"/>
        <item x="369"/>
        <item x="302"/>
        <item x="51"/>
        <item x="118"/>
        <item x="374"/>
        <item x="123"/>
        <item x="186"/>
        <item x="321"/>
        <item x="370"/>
        <item x="62"/>
        <item x="436"/>
        <item x="156"/>
        <item x="467"/>
        <item x="91"/>
        <item x="105"/>
        <item x="1"/>
        <item x="109"/>
        <item x="539"/>
        <item x="468"/>
        <item x="441"/>
        <item x="519"/>
        <item x="80"/>
        <item x="192"/>
        <item x="63"/>
        <item x="98"/>
        <item x="185"/>
        <item x="346"/>
        <item x="30"/>
        <item x="112"/>
        <item x="411"/>
        <item x="266"/>
        <item x="506"/>
        <item x="375"/>
        <item x="413"/>
        <item x="170"/>
        <item x="70"/>
        <item x="198"/>
        <item x="504"/>
        <item x="250"/>
        <item x="331"/>
        <item x="194"/>
        <item x="457"/>
        <item x="274"/>
        <item x="377"/>
        <item x="443"/>
        <item x="307"/>
        <item x="362"/>
        <item x="206"/>
        <item x="229"/>
        <item x="448"/>
        <item x="523"/>
        <item x="215"/>
        <item x="220"/>
        <item x="211"/>
        <item x="324"/>
        <item x="149"/>
        <item x="116"/>
        <item x="153"/>
        <item x="316"/>
        <item x="491"/>
        <item x="179"/>
        <item x="83"/>
        <item x="166"/>
        <item x="478"/>
        <item x="295"/>
        <item x="227"/>
        <item x="432"/>
        <item x="428"/>
        <item x="113"/>
        <item x="359"/>
        <item x="8"/>
        <item x="281"/>
        <item x="39"/>
        <item x="409"/>
        <item x="378"/>
        <item x="291"/>
        <item x="233"/>
        <item x="139"/>
        <item x="96"/>
        <item x="2"/>
        <item x="102"/>
        <item x="66"/>
        <item x="408"/>
        <item x="510"/>
        <item x="16"/>
        <item x="120"/>
        <item x="17"/>
        <item x="532"/>
        <item x="169"/>
        <item t="default"/>
      </items>
    </pivotField>
    <pivotField numFmtId="14" showAll="0"/>
    <pivotField showAll="0"/>
    <pivotField showAll="0"/>
    <pivotField showAll="0">
      <items count="4">
        <item x="2"/>
        <item x="1"/>
        <item x="0"/>
        <item t="default"/>
      </items>
    </pivotField>
    <pivotField showAll="0"/>
    <pivotField showAll="0"/>
    <pivotField showAll="0">
      <items count="5">
        <item x="1"/>
        <item x="2"/>
        <item x="3"/>
        <item x="0"/>
        <item t="default"/>
      </items>
    </pivotField>
    <pivotField showAll="0">
      <items count="5">
        <item x="3"/>
        <item x="0"/>
        <item x="1"/>
        <item x="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Total Profit" fld="17" baseField="0" baseItem="0" numFmtId="166"/>
  </dataFields>
  <formats count="1">
    <format dxfId="14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70B8186-23E3-405B-BBF5-510DD977111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0:J11" firstHeaderRow="1" firstDataRow="1" firstDataCol="0"/>
  <pivotFields count="28">
    <pivotField showAll="0"/>
    <pivotField numFmtId="14" showAll="0">
      <items count="541">
        <item x="108"/>
        <item x="213"/>
        <item x="89"/>
        <item x="469"/>
        <item x="521"/>
        <item x="147"/>
        <item x="319"/>
        <item x="64"/>
        <item x="133"/>
        <item x="190"/>
        <item x="418"/>
        <item x="395"/>
        <item x="27"/>
        <item x="538"/>
        <item x="354"/>
        <item x="405"/>
        <item x="366"/>
        <item x="106"/>
        <item x="90"/>
        <item x="37"/>
        <item x="111"/>
        <item x="236"/>
        <item x="397"/>
        <item x="513"/>
        <item x="289"/>
        <item x="367"/>
        <item x="426"/>
        <item x="35"/>
        <item x="55"/>
        <item x="141"/>
        <item x="393"/>
        <item x="210"/>
        <item x="368"/>
        <item x="46"/>
        <item x="349"/>
        <item x="416"/>
        <item x="248"/>
        <item x="252"/>
        <item x="283"/>
        <item x="15"/>
        <item x="525"/>
        <item x="479"/>
        <item x="78"/>
        <item x="495"/>
        <item x="414"/>
        <item x="217"/>
        <item x="84"/>
        <item x="486"/>
        <item x="300"/>
        <item x="235"/>
        <item x="65"/>
        <item x="304"/>
        <item x="72"/>
        <item x="208"/>
        <item x="310"/>
        <item x="528"/>
        <item x="380"/>
        <item x="400"/>
        <item x="494"/>
        <item x="127"/>
        <item x="446"/>
        <item x="502"/>
        <item x="352"/>
        <item x="131"/>
        <item x="527"/>
        <item x="520"/>
        <item x="322"/>
        <item x="451"/>
        <item x="530"/>
        <item x="158"/>
        <item x="427"/>
        <item x="31"/>
        <item x="480"/>
        <item x="12"/>
        <item x="242"/>
        <item x="465"/>
        <item x="497"/>
        <item x="176"/>
        <item x="338"/>
        <item x="347"/>
        <item x="263"/>
        <item x="44"/>
        <item x="514"/>
        <item x="384"/>
        <item x="197"/>
        <item x="189"/>
        <item x="151"/>
        <item x="522"/>
        <item x="50"/>
        <item x="21"/>
        <item x="537"/>
        <item x="19"/>
        <item x="386"/>
        <item x="130"/>
        <item x="394"/>
        <item x="363"/>
        <item x="61"/>
        <item x="237"/>
        <item x="24"/>
        <item x="339"/>
        <item x="5"/>
        <item x="466"/>
        <item x="341"/>
        <item x="251"/>
        <item x="398"/>
        <item x="435"/>
        <item x="429"/>
        <item x="288"/>
        <item x="48"/>
        <item x="311"/>
        <item x="128"/>
        <item x="247"/>
        <item x="253"/>
        <item x="298"/>
        <item x="383"/>
        <item x="501"/>
        <item x="119"/>
        <item x="292"/>
        <item x="438"/>
        <item x="433"/>
        <item x="94"/>
        <item x="73"/>
        <item x="334"/>
        <item x="103"/>
        <item x="297"/>
        <item x="142"/>
        <item x="110"/>
        <item x="508"/>
        <item x="129"/>
        <item x="191"/>
        <item x="415"/>
        <item x="97"/>
        <item x="328"/>
        <item x="232"/>
        <item x="92"/>
        <item x="180"/>
        <item x="379"/>
        <item x="456"/>
        <item x="269"/>
        <item x="315"/>
        <item x="459"/>
        <item x="294"/>
        <item x="254"/>
        <item x="471"/>
        <item x="258"/>
        <item x="205"/>
        <item x="249"/>
        <item x="449"/>
        <item x="54"/>
        <item x="260"/>
        <item x="401"/>
        <item x="183"/>
        <item x="493"/>
        <item x="272"/>
        <item x="323"/>
        <item x="360"/>
        <item x="255"/>
        <item x="126"/>
        <item x="171"/>
        <item x="188"/>
        <item x="10"/>
        <item x="168"/>
        <item x="135"/>
        <item x="32"/>
        <item x="67"/>
        <item x="287"/>
        <item x="439"/>
        <item x="57"/>
        <item x="499"/>
        <item x="221"/>
        <item x="245"/>
        <item x="209"/>
        <item x="93"/>
        <item x="348"/>
        <item x="462"/>
        <item x="343"/>
        <item x="155"/>
        <item x="290"/>
        <item x="452"/>
        <item x="327"/>
        <item x="23"/>
        <item x="154"/>
        <item x="42"/>
        <item x="172"/>
        <item x="460"/>
        <item x="145"/>
        <item x="407"/>
        <item x="36"/>
        <item x="332"/>
        <item x="356"/>
        <item x="25"/>
        <item x="152"/>
        <item x="33"/>
        <item x="385"/>
        <item x="280"/>
        <item x="234"/>
        <item x="422"/>
        <item x="498"/>
        <item x="270"/>
        <item x="3"/>
        <item x="216"/>
        <item x="482"/>
        <item x="165"/>
        <item x="26"/>
        <item x="240"/>
        <item x="330"/>
        <item x="125"/>
        <item x="442"/>
        <item x="282"/>
        <item x="299"/>
        <item x="207"/>
        <item x="335"/>
        <item x="58"/>
        <item x="440"/>
        <item x="76"/>
        <item x="193"/>
        <item x="390"/>
        <item x="228"/>
        <item x="357"/>
        <item x="329"/>
        <item x="476"/>
        <item x="95"/>
        <item x="20"/>
        <item x="199"/>
        <item x="396"/>
        <item x="372"/>
        <item x="336"/>
        <item x="9"/>
        <item x="59"/>
        <item x="75"/>
        <item x="262"/>
        <item x="14"/>
        <item x="309"/>
        <item x="107"/>
        <item x="526"/>
        <item x="410"/>
        <item x="71"/>
        <item x="488"/>
        <item x="114"/>
        <item x="81"/>
        <item x="267"/>
        <item x="196"/>
        <item x="437"/>
        <item x="425"/>
        <item x="104"/>
        <item x="214"/>
        <item x="351"/>
        <item x="317"/>
        <item x="293"/>
        <item x="424"/>
        <item x="201"/>
        <item x="100"/>
        <item x="423"/>
        <item x="301"/>
        <item x="419"/>
        <item x="313"/>
        <item x="273"/>
        <item x="261"/>
        <item x="314"/>
        <item x="345"/>
        <item x="318"/>
        <item x="60"/>
        <item x="333"/>
        <item x="56"/>
        <item x="132"/>
        <item x="4"/>
        <item x="445"/>
        <item x="490"/>
        <item x="137"/>
        <item x="387"/>
        <item x="18"/>
        <item x="264"/>
        <item x="45"/>
        <item x="392"/>
        <item x="175"/>
        <item x="420"/>
        <item x="79"/>
        <item x="463"/>
        <item x="534"/>
        <item x="431"/>
        <item x="461"/>
        <item x="43"/>
        <item x="40"/>
        <item x="77"/>
        <item x="517"/>
        <item x="167"/>
        <item x="11"/>
        <item x="6"/>
        <item x="212"/>
        <item x="453"/>
        <item x="143"/>
        <item x="182"/>
        <item x="454"/>
        <item x="241"/>
        <item x="279"/>
        <item x="150"/>
        <item x="361"/>
        <item x="164"/>
        <item x="268"/>
        <item x="492"/>
        <item x="195"/>
        <item x="306"/>
        <item x="444"/>
        <item x="0"/>
        <item x="146"/>
        <item x="82"/>
        <item x="342"/>
        <item x="447"/>
        <item x="200"/>
        <item x="87"/>
        <item x="38"/>
        <item x="503"/>
        <item x="243"/>
        <item x="124"/>
        <item x="148"/>
        <item x="474"/>
        <item x="382"/>
        <item x="187"/>
        <item x="340"/>
        <item x="509"/>
        <item x="487"/>
        <item x="376"/>
        <item x="326"/>
        <item x="231"/>
        <item x="371"/>
        <item x="325"/>
        <item x="358"/>
        <item x="417"/>
        <item x="115"/>
        <item x="496"/>
        <item x="28"/>
        <item x="219"/>
        <item x="344"/>
        <item x="412"/>
        <item x="473"/>
        <item x="403"/>
        <item x="529"/>
        <item x="257"/>
        <item x="524"/>
        <item x="85"/>
        <item x="388"/>
        <item x="312"/>
        <item x="122"/>
        <item x="320"/>
        <item x="355"/>
        <item x="238"/>
        <item x="483"/>
        <item x="276"/>
        <item x="246"/>
        <item x="173"/>
        <item x="364"/>
        <item x="353"/>
        <item x="136"/>
        <item x="53"/>
        <item x="259"/>
        <item x="516"/>
        <item x="365"/>
        <item x="278"/>
        <item x="161"/>
        <item x="470"/>
        <item x="34"/>
        <item x="134"/>
        <item x="303"/>
        <item x="68"/>
        <item x="121"/>
        <item x="481"/>
        <item x="455"/>
        <item x="472"/>
        <item x="389"/>
        <item x="140"/>
        <item x="181"/>
        <item x="518"/>
        <item x="434"/>
        <item x="144"/>
        <item x="277"/>
        <item x="500"/>
        <item x="507"/>
        <item x="52"/>
        <item x="174"/>
        <item x="7"/>
        <item x="88"/>
        <item x="163"/>
        <item x="49"/>
        <item x="138"/>
        <item x="160"/>
        <item x="489"/>
        <item x="29"/>
        <item x="157"/>
        <item x="381"/>
        <item x="511"/>
        <item x="256"/>
        <item x="373"/>
        <item x="285"/>
        <item x="239"/>
        <item x="86"/>
        <item x="450"/>
        <item x="271"/>
        <item x="184"/>
        <item x="477"/>
        <item x="223"/>
        <item x="284"/>
        <item x="515"/>
        <item x="265"/>
        <item x="404"/>
        <item x="421"/>
        <item x="117"/>
        <item x="178"/>
        <item x="391"/>
        <item x="203"/>
        <item x="406"/>
        <item x="275"/>
        <item x="399"/>
        <item x="177"/>
        <item x="533"/>
        <item x="305"/>
        <item x="512"/>
        <item x="350"/>
        <item x="308"/>
        <item x="475"/>
        <item x="531"/>
        <item x="222"/>
        <item x="464"/>
        <item x="430"/>
        <item x="41"/>
        <item x="536"/>
        <item x="286"/>
        <item x="99"/>
        <item x="162"/>
        <item x="202"/>
        <item x="244"/>
        <item x="484"/>
        <item x="226"/>
        <item x="204"/>
        <item x="159"/>
        <item x="22"/>
        <item x="218"/>
        <item x="47"/>
        <item x="458"/>
        <item x="224"/>
        <item x="225"/>
        <item x="535"/>
        <item x="337"/>
        <item x="230"/>
        <item x="505"/>
        <item x="13"/>
        <item x="296"/>
        <item x="69"/>
        <item x="402"/>
        <item x="485"/>
        <item x="74"/>
        <item x="101"/>
        <item x="369"/>
        <item x="302"/>
        <item x="51"/>
        <item x="118"/>
        <item x="374"/>
        <item x="123"/>
        <item x="186"/>
        <item x="321"/>
        <item x="370"/>
        <item x="62"/>
        <item x="436"/>
        <item x="156"/>
        <item x="467"/>
        <item x="91"/>
        <item x="105"/>
        <item x="1"/>
        <item x="109"/>
        <item x="539"/>
        <item x="468"/>
        <item x="441"/>
        <item x="519"/>
        <item x="80"/>
        <item x="192"/>
        <item x="63"/>
        <item x="98"/>
        <item x="185"/>
        <item x="346"/>
        <item x="30"/>
        <item x="112"/>
        <item x="411"/>
        <item x="266"/>
        <item x="506"/>
        <item x="375"/>
        <item x="413"/>
        <item x="170"/>
        <item x="70"/>
        <item x="198"/>
        <item x="504"/>
        <item x="250"/>
        <item x="331"/>
        <item x="194"/>
        <item x="457"/>
        <item x="274"/>
        <item x="377"/>
        <item x="443"/>
        <item x="307"/>
        <item x="362"/>
        <item x="206"/>
        <item x="229"/>
        <item x="448"/>
        <item x="523"/>
        <item x="215"/>
        <item x="220"/>
        <item x="211"/>
        <item x="324"/>
        <item x="149"/>
        <item x="116"/>
        <item x="153"/>
        <item x="316"/>
        <item x="491"/>
        <item x="179"/>
        <item x="83"/>
        <item x="166"/>
        <item x="478"/>
        <item x="295"/>
        <item x="227"/>
        <item x="432"/>
        <item x="428"/>
        <item x="113"/>
        <item x="359"/>
        <item x="8"/>
        <item x="281"/>
        <item x="39"/>
        <item x="409"/>
        <item x="378"/>
        <item x="291"/>
        <item x="233"/>
        <item x="139"/>
        <item x="96"/>
        <item x="2"/>
        <item x="102"/>
        <item x="66"/>
        <item x="408"/>
        <item x="510"/>
        <item x="16"/>
        <item x="120"/>
        <item x="17"/>
        <item x="532"/>
        <item x="169"/>
        <item t="default"/>
      </items>
    </pivotField>
    <pivotField numFmtId="14" showAll="0"/>
    <pivotField showAll="0"/>
    <pivotField showAll="0"/>
    <pivotField showAll="0">
      <items count="4">
        <item x="2"/>
        <item x="1"/>
        <item x="0"/>
        <item t="default"/>
      </items>
    </pivotField>
    <pivotField showAll="0"/>
    <pivotField showAll="0"/>
    <pivotField showAll="0">
      <items count="5">
        <item x="1"/>
        <item x="2"/>
        <item x="3"/>
        <item x="0"/>
        <item t="default"/>
      </items>
    </pivotField>
    <pivotField showAll="0">
      <items count="5">
        <item x="3"/>
        <item x="0"/>
        <item x="1"/>
        <item x="2"/>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Total Count by Quantity" fld="12" baseField="0" baseItem="0" numFmtId="3"/>
  </dataFields>
  <formats count="1">
    <format dxfId="1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797EB24-C6E7-486B-86D5-DB4F3629146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3:C34" firstHeaderRow="1" firstDataRow="1" firstDataCol="1"/>
  <pivotFields count="28">
    <pivotField showAll="0"/>
    <pivotField numFmtId="14" showAll="0">
      <items count="541">
        <item x="108"/>
        <item x="213"/>
        <item x="89"/>
        <item x="469"/>
        <item x="521"/>
        <item x="147"/>
        <item x="319"/>
        <item x="64"/>
        <item x="133"/>
        <item x="190"/>
        <item x="418"/>
        <item x="395"/>
        <item x="27"/>
        <item x="538"/>
        <item x="354"/>
        <item x="405"/>
        <item x="366"/>
        <item x="106"/>
        <item x="90"/>
        <item x="37"/>
        <item x="111"/>
        <item x="236"/>
        <item x="397"/>
        <item x="513"/>
        <item x="289"/>
        <item x="367"/>
        <item x="426"/>
        <item x="35"/>
        <item x="55"/>
        <item x="141"/>
        <item x="393"/>
        <item x="210"/>
        <item x="368"/>
        <item x="46"/>
        <item x="349"/>
        <item x="416"/>
        <item x="248"/>
        <item x="252"/>
        <item x="283"/>
        <item x="15"/>
        <item x="525"/>
        <item x="479"/>
        <item x="78"/>
        <item x="495"/>
        <item x="414"/>
        <item x="217"/>
        <item x="84"/>
        <item x="486"/>
        <item x="300"/>
        <item x="235"/>
        <item x="65"/>
        <item x="304"/>
        <item x="72"/>
        <item x="208"/>
        <item x="310"/>
        <item x="528"/>
        <item x="380"/>
        <item x="400"/>
        <item x="494"/>
        <item x="127"/>
        <item x="446"/>
        <item x="502"/>
        <item x="352"/>
        <item x="131"/>
        <item x="527"/>
        <item x="520"/>
        <item x="322"/>
        <item x="451"/>
        <item x="530"/>
        <item x="158"/>
        <item x="427"/>
        <item x="31"/>
        <item x="480"/>
        <item x="12"/>
        <item x="242"/>
        <item x="465"/>
        <item x="497"/>
        <item x="176"/>
        <item x="338"/>
        <item x="347"/>
        <item x="263"/>
        <item x="44"/>
        <item x="514"/>
        <item x="384"/>
        <item x="197"/>
        <item x="189"/>
        <item x="151"/>
        <item x="522"/>
        <item x="50"/>
        <item x="21"/>
        <item x="537"/>
        <item x="19"/>
        <item x="386"/>
        <item x="130"/>
        <item x="394"/>
        <item x="363"/>
        <item x="61"/>
        <item x="237"/>
        <item x="24"/>
        <item x="339"/>
        <item x="5"/>
        <item x="466"/>
        <item x="341"/>
        <item x="251"/>
        <item x="398"/>
        <item x="435"/>
        <item x="429"/>
        <item x="288"/>
        <item x="48"/>
        <item x="311"/>
        <item x="128"/>
        <item x="247"/>
        <item x="253"/>
        <item x="298"/>
        <item x="383"/>
        <item x="501"/>
        <item x="119"/>
        <item x="292"/>
        <item x="438"/>
        <item x="433"/>
        <item x="94"/>
        <item x="73"/>
        <item x="334"/>
        <item x="103"/>
        <item x="297"/>
        <item x="142"/>
        <item x="110"/>
        <item x="508"/>
        <item x="129"/>
        <item x="191"/>
        <item x="415"/>
        <item x="97"/>
        <item x="328"/>
        <item x="232"/>
        <item x="92"/>
        <item x="180"/>
        <item x="379"/>
        <item x="456"/>
        <item x="269"/>
        <item x="315"/>
        <item x="459"/>
        <item x="294"/>
        <item x="254"/>
        <item x="471"/>
        <item x="258"/>
        <item x="205"/>
        <item x="249"/>
        <item x="449"/>
        <item x="54"/>
        <item x="260"/>
        <item x="401"/>
        <item x="183"/>
        <item x="493"/>
        <item x="272"/>
        <item x="323"/>
        <item x="360"/>
        <item x="255"/>
        <item x="126"/>
        <item x="171"/>
        <item x="188"/>
        <item x="10"/>
        <item x="168"/>
        <item x="135"/>
        <item x="32"/>
        <item x="67"/>
        <item x="287"/>
        <item x="439"/>
        <item x="57"/>
        <item x="499"/>
        <item x="221"/>
        <item x="245"/>
        <item x="209"/>
        <item x="93"/>
        <item x="348"/>
        <item x="462"/>
        <item x="343"/>
        <item x="155"/>
        <item x="290"/>
        <item x="452"/>
        <item x="327"/>
        <item x="23"/>
        <item x="154"/>
        <item x="42"/>
        <item x="172"/>
        <item x="460"/>
        <item x="145"/>
        <item x="407"/>
        <item x="36"/>
        <item x="332"/>
        <item x="356"/>
        <item x="25"/>
        <item x="152"/>
        <item x="33"/>
        <item x="385"/>
        <item x="280"/>
        <item x="234"/>
        <item x="422"/>
        <item x="498"/>
        <item x="270"/>
        <item x="3"/>
        <item x="216"/>
        <item x="482"/>
        <item x="165"/>
        <item x="26"/>
        <item x="240"/>
        <item x="330"/>
        <item x="125"/>
        <item x="442"/>
        <item x="282"/>
        <item x="299"/>
        <item x="207"/>
        <item x="335"/>
        <item x="58"/>
        <item x="440"/>
        <item x="76"/>
        <item x="193"/>
        <item x="390"/>
        <item x="228"/>
        <item x="357"/>
        <item x="329"/>
        <item x="476"/>
        <item x="95"/>
        <item x="20"/>
        <item x="199"/>
        <item x="396"/>
        <item x="372"/>
        <item x="336"/>
        <item x="9"/>
        <item x="59"/>
        <item x="75"/>
        <item x="262"/>
        <item x="14"/>
        <item x="309"/>
        <item x="107"/>
        <item x="526"/>
        <item x="410"/>
        <item x="71"/>
        <item x="488"/>
        <item x="114"/>
        <item x="81"/>
        <item x="267"/>
        <item x="196"/>
        <item x="437"/>
        <item x="425"/>
        <item x="104"/>
        <item x="214"/>
        <item x="351"/>
        <item x="317"/>
        <item x="293"/>
        <item x="424"/>
        <item x="201"/>
        <item x="100"/>
        <item x="423"/>
        <item x="301"/>
        <item x="419"/>
        <item x="313"/>
        <item x="273"/>
        <item x="261"/>
        <item x="314"/>
        <item x="345"/>
        <item x="318"/>
        <item x="60"/>
        <item x="333"/>
        <item x="56"/>
        <item x="132"/>
        <item x="4"/>
        <item x="445"/>
        <item x="490"/>
        <item x="137"/>
        <item x="387"/>
        <item x="18"/>
        <item x="264"/>
        <item x="45"/>
        <item x="392"/>
        <item x="175"/>
        <item x="420"/>
        <item x="79"/>
        <item x="463"/>
        <item x="534"/>
        <item x="431"/>
        <item x="461"/>
        <item x="43"/>
        <item x="40"/>
        <item x="77"/>
        <item x="517"/>
        <item x="167"/>
        <item x="11"/>
        <item x="6"/>
        <item x="212"/>
        <item x="453"/>
        <item x="143"/>
        <item x="182"/>
        <item x="454"/>
        <item x="241"/>
        <item x="279"/>
        <item x="150"/>
        <item x="361"/>
        <item x="164"/>
        <item x="268"/>
        <item x="492"/>
        <item x="195"/>
        <item x="306"/>
        <item x="444"/>
        <item x="0"/>
        <item x="146"/>
        <item x="82"/>
        <item x="342"/>
        <item x="447"/>
        <item x="200"/>
        <item x="87"/>
        <item x="38"/>
        <item x="503"/>
        <item x="243"/>
        <item x="124"/>
        <item x="148"/>
        <item x="474"/>
        <item x="382"/>
        <item x="187"/>
        <item x="340"/>
        <item x="509"/>
        <item x="487"/>
        <item x="376"/>
        <item x="326"/>
        <item x="231"/>
        <item x="371"/>
        <item x="325"/>
        <item x="358"/>
        <item x="417"/>
        <item x="115"/>
        <item x="496"/>
        <item x="28"/>
        <item x="219"/>
        <item x="344"/>
        <item x="412"/>
        <item x="473"/>
        <item x="403"/>
        <item x="529"/>
        <item x="257"/>
        <item x="524"/>
        <item x="85"/>
        <item x="388"/>
        <item x="312"/>
        <item x="122"/>
        <item x="320"/>
        <item x="355"/>
        <item x="238"/>
        <item x="483"/>
        <item x="276"/>
        <item x="246"/>
        <item x="173"/>
        <item x="364"/>
        <item x="353"/>
        <item x="136"/>
        <item x="53"/>
        <item x="259"/>
        <item x="516"/>
        <item x="365"/>
        <item x="278"/>
        <item x="161"/>
        <item x="470"/>
        <item x="34"/>
        <item x="134"/>
        <item x="303"/>
        <item x="68"/>
        <item x="121"/>
        <item x="481"/>
        <item x="455"/>
        <item x="472"/>
        <item x="389"/>
        <item x="140"/>
        <item x="181"/>
        <item x="518"/>
        <item x="434"/>
        <item x="144"/>
        <item x="277"/>
        <item x="500"/>
        <item x="507"/>
        <item x="52"/>
        <item x="174"/>
        <item x="7"/>
        <item x="88"/>
        <item x="163"/>
        <item x="49"/>
        <item x="138"/>
        <item x="160"/>
        <item x="489"/>
        <item x="29"/>
        <item x="157"/>
        <item x="381"/>
        <item x="511"/>
        <item x="256"/>
        <item x="373"/>
        <item x="285"/>
        <item x="239"/>
        <item x="86"/>
        <item x="450"/>
        <item x="271"/>
        <item x="184"/>
        <item x="477"/>
        <item x="223"/>
        <item x="284"/>
        <item x="515"/>
        <item x="265"/>
        <item x="404"/>
        <item x="421"/>
        <item x="117"/>
        <item x="178"/>
        <item x="391"/>
        <item x="203"/>
        <item x="406"/>
        <item x="275"/>
        <item x="399"/>
        <item x="177"/>
        <item x="533"/>
        <item x="305"/>
        <item x="512"/>
        <item x="350"/>
        <item x="308"/>
        <item x="475"/>
        <item x="531"/>
        <item x="222"/>
        <item x="464"/>
        <item x="430"/>
        <item x="41"/>
        <item x="536"/>
        <item x="286"/>
        <item x="99"/>
        <item x="162"/>
        <item x="202"/>
        <item x="244"/>
        <item x="484"/>
        <item x="226"/>
        <item x="204"/>
        <item x="159"/>
        <item x="22"/>
        <item x="218"/>
        <item x="47"/>
        <item x="458"/>
        <item x="224"/>
        <item x="225"/>
        <item x="535"/>
        <item x="337"/>
        <item x="230"/>
        <item x="505"/>
        <item x="13"/>
        <item x="296"/>
        <item x="69"/>
        <item x="402"/>
        <item x="485"/>
        <item x="74"/>
        <item x="101"/>
        <item x="369"/>
        <item x="302"/>
        <item x="51"/>
        <item x="118"/>
        <item x="374"/>
        <item x="123"/>
        <item x="186"/>
        <item x="321"/>
        <item x="370"/>
        <item x="62"/>
        <item x="436"/>
        <item x="156"/>
        <item x="467"/>
        <item x="91"/>
        <item x="105"/>
        <item x="1"/>
        <item x="109"/>
        <item x="539"/>
        <item x="468"/>
        <item x="441"/>
        <item x="519"/>
        <item x="80"/>
        <item x="192"/>
        <item x="63"/>
        <item x="98"/>
        <item x="185"/>
        <item x="346"/>
        <item x="30"/>
        <item x="112"/>
        <item x="411"/>
        <item x="266"/>
        <item x="506"/>
        <item x="375"/>
        <item x="413"/>
        <item x="170"/>
        <item x="70"/>
        <item x="198"/>
        <item x="504"/>
        <item x="250"/>
        <item x="331"/>
        <item x="194"/>
        <item x="457"/>
        <item x="274"/>
        <item x="377"/>
        <item x="443"/>
        <item x="307"/>
        <item x="362"/>
        <item x="206"/>
        <item x="229"/>
        <item x="448"/>
        <item x="523"/>
        <item x="215"/>
        <item x="220"/>
        <item x="211"/>
        <item x="324"/>
        <item x="149"/>
        <item x="116"/>
        <item x="153"/>
        <item x="316"/>
        <item x="491"/>
        <item x="179"/>
        <item x="83"/>
        <item x="166"/>
        <item x="478"/>
        <item x="295"/>
        <item x="227"/>
        <item x="432"/>
        <item x="428"/>
        <item x="113"/>
        <item x="359"/>
        <item x="8"/>
        <item x="281"/>
        <item x="39"/>
        <item x="409"/>
        <item x="378"/>
        <item x="291"/>
        <item x="233"/>
        <item x="139"/>
        <item x="96"/>
        <item x="2"/>
        <item x="102"/>
        <item x="66"/>
        <item x="408"/>
        <item x="510"/>
        <item x="16"/>
        <item x="120"/>
        <item x="17"/>
        <item x="532"/>
        <item x="169"/>
        <item t="default"/>
      </items>
    </pivotField>
    <pivotField numFmtId="14" showAll="0"/>
    <pivotField showAll="0"/>
    <pivotField showAll="0"/>
    <pivotField showAll="0">
      <items count="4">
        <item x="2"/>
        <item x="1"/>
        <item x="0"/>
        <item t="default"/>
      </items>
    </pivotField>
    <pivotField showAll="0"/>
    <pivotField showAll="0"/>
    <pivotField showAll="0"/>
    <pivotField showAll="0">
      <items count="5">
        <item x="3"/>
        <item x="0"/>
        <item x="1"/>
        <item x="2"/>
        <item t="default"/>
      </items>
    </pivotField>
    <pivotField axis="axisRow" showAll="0" measureFilter="1" sortType="descending">
      <items count="51">
        <item x="9"/>
        <item x="26"/>
        <item x="6"/>
        <item x="38"/>
        <item x="19"/>
        <item x="49"/>
        <item x="37"/>
        <item x="11"/>
        <item x="1"/>
        <item x="36"/>
        <item x="45"/>
        <item x="31"/>
        <item x="42"/>
        <item x="46"/>
        <item x="28"/>
        <item x="44"/>
        <item x="18"/>
        <item x="33"/>
        <item x="8"/>
        <item x="3"/>
        <item x="17"/>
        <item x="27"/>
        <item x="21"/>
        <item x="25"/>
        <item x="10"/>
        <item x="5"/>
        <item x="40"/>
        <item x="24"/>
        <item x="48"/>
        <item x="13"/>
        <item x="41"/>
        <item x="12"/>
        <item x="14"/>
        <item x="39"/>
        <item x="32"/>
        <item x="16"/>
        <item x="35"/>
        <item x="2"/>
        <item x="30"/>
        <item x="15"/>
        <item x="23"/>
        <item x="4"/>
        <item x="20"/>
        <item x="29"/>
        <item x="34"/>
        <item x="43"/>
        <item x="0"/>
        <item x="47"/>
        <item x="22"/>
        <item x="7"/>
        <item t="default"/>
      </items>
      <autoSortScope>
        <pivotArea dataOnly="0" outline="0" fieldPosition="0">
          <references count="1">
            <reference field="4294967294" count="1" selected="0">
              <x v="0"/>
            </reference>
          </references>
        </pivotArea>
      </autoSortScope>
    </pivotField>
    <pivotField showAll="0">
      <items count="966">
        <item x="188"/>
        <item x="792"/>
        <item x="615"/>
        <item x="527"/>
        <item x="429"/>
        <item x="88"/>
        <item x="697"/>
        <item x="137"/>
        <item x="425"/>
        <item x="541"/>
        <item x="233"/>
        <item x="301"/>
        <item x="739"/>
        <item x="485"/>
        <item x="719"/>
        <item x="89"/>
        <item x="486"/>
        <item x="273"/>
        <item x="453"/>
        <item x="538"/>
        <item x="861"/>
        <item x="100"/>
        <item x="814"/>
        <item x="727"/>
        <item x="1"/>
        <item x="621"/>
        <item x="759"/>
        <item x="338"/>
        <item x="202"/>
        <item x="365"/>
        <item x="362"/>
        <item x="454"/>
        <item x="826"/>
        <item x="293"/>
        <item x="248"/>
        <item x="799"/>
        <item x="410"/>
        <item x="488"/>
        <item x="652"/>
        <item x="860"/>
        <item x="131"/>
        <item x="793"/>
        <item x="836"/>
        <item x="397"/>
        <item x="198"/>
        <item x="213"/>
        <item x="102"/>
        <item x="935"/>
        <item x="78"/>
        <item x="302"/>
        <item x="394"/>
        <item x="958"/>
        <item x="69"/>
        <item x="511"/>
        <item x="351"/>
        <item x="7"/>
        <item x="95"/>
        <item x="43"/>
        <item x="76"/>
        <item x="639"/>
        <item x="960"/>
        <item x="928"/>
        <item x="319"/>
        <item x="323"/>
        <item x="755"/>
        <item x="545"/>
        <item x="458"/>
        <item x="858"/>
        <item x="48"/>
        <item x="865"/>
        <item x="565"/>
        <item x="556"/>
        <item x="4"/>
        <item x="751"/>
        <item x="603"/>
        <item x="910"/>
        <item x="79"/>
        <item x="897"/>
        <item x="868"/>
        <item x="507"/>
        <item x="617"/>
        <item x="734"/>
        <item x="834"/>
        <item x="570"/>
        <item x="945"/>
        <item x="373"/>
        <item x="355"/>
        <item x="103"/>
        <item x="598"/>
        <item x="817"/>
        <item x="451"/>
        <item x="272"/>
        <item x="421"/>
        <item x="852"/>
        <item x="844"/>
        <item x="499"/>
        <item x="490"/>
        <item x="950"/>
        <item x="12"/>
        <item x="415"/>
        <item x="654"/>
        <item x="308"/>
        <item x="6"/>
        <item x="306"/>
        <item x="209"/>
        <item x="142"/>
        <item x="366"/>
        <item x="173"/>
        <item x="956"/>
        <item x="321"/>
        <item x="567"/>
        <item x="117"/>
        <item x="364"/>
        <item x="829"/>
        <item x="481"/>
        <item x="569"/>
        <item x="728"/>
        <item x="111"/>
        <item x="544"/>
        <item x="710"/>
        <item x="692"/>
        <item x="519"/>
        <item x="702"/>
        <item x="327"/>
        <item x="62"/>
        <item x="11"/>
        <item x="748"/>
        <item x="773"/>
        <item x="409"/>
        <item x="374"/>
        <item x="114"/>
        <item x="237"/>
        <item x="449"/>
        <item x="896"/>
        <item x="718"/>
        <item x="204"/>
        <item x="342"/>
        <item x="646"/>
        <item x="700"/>
        <item x="50"/>
        <item x="268"/>
        <item x="678"/>
        <item x="781"/>
        <item x="19"/>
        <item x="564"/>
        <item x="285"/>
        <item x="633"/>
        <item x="217"/>
        <item x="688"/>
        <item x="878"/>
        <item x="172"/>
        <item x="741"/>
        <item x="157"/>
        <item x="310"/>
        <item x="267"/>
        <item x="690"/>
        <item x="158"/>
        <item x="720"/>
        <item x="229"/>
        <item x="242"/>
        <item x="207"/>
        <item x="420"/>
        <item x="194"/>
        <item x="913"/>
        <item x="927"/>
        <item x="923"/>
        <item x="798"/>
        <item x="87"/>
        <item x="197"/>
        <item x="887"/>
        <item x="460"/>
        <item x="216"/>
        <item x="665"/>
        <item x="766"/>
        <item x="689"/>
        <item x="917"/>
        <item x="938"/>
        <item x="220"/>
        <item x="201"/>
        <item x="789"/>
        <item x="484"/>
        <item x="244"/>
        <item x="14"/>
        <item x="575"/>
        <item x="372"/>
        <item x="939"/>
        <item x="666"/>
        <item x="661"/>
        <item x="405"/>
        <item x="58"/>
        <item x="812"/>
        <item x="931"/>
        <item x="161"/>
        <item x="930"/>
        <item x="179"/>
        <item x="709"/>
        <item x="753"/>
        <item x="571"/>
        <item x="278"/>
        <item x="643"/>
        <item x="320"/>
        <item x="779"/>
        <item x="17"/>
        <item x="97"/>
        <item x="192"/>
        <item x="91"/>
        <item x="859"/>
        <item x="291"/>
        <item x="823"/>
        <item x="395"/>
        <item x="154"/>
        <item x="101"/>
        <item x="401"/>
        <item x="164"/>
        <item x="900"/>
        <item x="450"/>
        <item x="959"/>
        <item x="818"/>
        <item x="684"/>
        <item x="140"/>
        <item x="178"/>
        <item x="455"/>
        <item x="586"/>
        <item x="465"/>
        <item x="15"/>
        <item x="788"/>
        <item x="466"/>
        <item x="434"/>
        <item x="604"/>
        <item x="46"/>
        <item x="663"/>
        <item x="435"/>
        <item x="139"/>
        <item x="835"/>
        <item x="391"/>
        <item x="16"/>
        <item x="344"/>
        <item x="227"/>
        <item x="941"/>
        <item x="473"/>
        <item x="622"/>
        <item x="296"/>
        <item x="224"/>
        <item x="537"/>
        <item x="602"/>
        <item x="393"/>
        <item x="422"/>
        <item x="630"/>
        <item x="514"/>
        <item x="77"/>
        <item x="839"/>
        <item x="879"/>
        <item x="572"/>
        <item x="840"/>
        <item x="225"/>
        <item x="294"/>
        <item x="682"/>
        <item x="516"/>
        <item x="553"/>
        <item x="922"/>
        <item x="357"/>
        <item x="520"/>
        <item x="623"/>
        <item x="796"/>
        <item x="18"/>
        <item x="769"/>
        <item x="489"/>
        <item x="885"/>
        <item x="873"/>
        <item x="706"/>
        <item x="561"/>
        <item x="585"/>
        <item x="626"/>
        <item x="671"/>
        <item x="888"/>
        <item x="777"/>
        <item x="752"/>
        <item x="30"/>
        <item x="289"/>
        <item x="249"/>
        <item x="600"/>
        <item x="381"/>
        <item x="581"/>
        <item x="951"/>
        <item x="803"/>
        <item x="962"/>
        <item x="150"/>
        <item x="160"/>
        <item x="502"/>
        <item x="808"/>
        <item x="964"/>
        <item x="167"/>
        <item x="738"/>
        <item x="340"/>
        <item x="441"/>
        <item x="749"/>
        <item x="521"/>
        <item x="551"/>
        <item x="795"/>
        <item x="133"/>
        <item x="842"/>
        <item x="695"/>
        <item x="578"/>
        <item x="824"/>
        <item x="730"/>
        <item x="853"/>
        <item x="944"/>
        <item x="714"/>
        <item x="952"/>
        <item x="170"/>
        <item x="563"/>
        <item x="740"/>
        <item x="55"/>
        <item x="827"/>
        <item x="919"/>
        <item x="20"/>
        <item x="180"/>
        <item x="592"/>
        <item x="631"/>
        <item x="662"/>
        <item x="260"/>
        <item x="286"/>
        <item x="303"/>
        <item x="708"/>
        <item x="612"/>
        <item x="674"/>
        <item x="871"/>
        <item x="574"/>
        <item x="281"/>
        <item x="771"/>
        <item x="23"/>
        <item x="548"/>
        <item x="413"/>
        <item x="920"/>
        <item x="809"/>
        <item x="138"/>
        <item x="196"/>
        <item x="279"/>
        <item x="774"/>
        <item x="136"/>
        <item x="116"/>
        <item x="305"/>
        <item x="908"/>
        <item x="901"/>
        <item x="721"/>
        <item x="122"/>
        <item x="597"/>
        <item x="264"/>
        <item x="495"/>
        <item x="632"/>
        <item x="761"/>
        <item x="877"/>
        <item x="494"/>
        <item x="557"/>
        <item x="767"/>
        <item x="618"/>
        <item x="725"/>
        <item x="67"/>
        <item x="711"/>
        <item x="961"/>
        <item x="475"/>
        <item x="848"/>
        <item x="528"/>
        <item x="325"/>
        <item x="866"/>
        <item x="376"/>
        <item x="13"/>
        <item x="579"/>
        <item x="801"/>
        <item x="214"/>
        <item x="191"/>
        <item x="503"/>
        <item x="847"/>
        <item x="892"/>
        <item x="352"/>
        <item x="782"/>
        <item x="9"/>
        <item x="876"/>
        <item x="44"/>
        <item x="345"/>
        <item x="359"/>
        <item x="531"/>
        <item x="724"/>
        <item x="309"/>
        <item x="332"/>
        <item x="523"/>
        <item x="22"/>
        <item x="833"/>
        <item x="86"/>
        <item x="0"/>
        <item x="36"/>
        <item x="851"/>
        <item x="75"/>
        <item x="736"/>
        <item x="891"/>
        <item x="640"/>
        <item x="423"/>
        <item x="733"/>
        <item x="624"/>
        <item x="212"/>
        <item x="536"/>
        <item x="104"/>
        <item x="805"/>
        <item x="60"/>
        <item x="610"/>
        <item x="83"/>
        <item x="66"/>
        <item x="360"/>
        <item x="772"/>
        <item x="304"/>
        <item x="650"/>
        <item x="34"/>
        <item x="190"/>
        <item x="843"/>
        <item x="350"/>
        <item x="583"/>
        <item x="651"/>
        <item x="24"/>
        <item x="635"/>
        <item x="378"/>
        <item x="445"/>
        <item x="299"/>
        <item x="726"/>
        <item x="474"/>
        <item x="683"/>
        <item x="238"/>
        <item x="667"/>
        <item x="324"/>
        <item x="723"/>
        <item x="56"/>
        <item x="790"/>
        <item x="464"/>
        <item x="38"/>
        <item x="144"/>
        <item x="957"/>
        <item x="130"/>
        <item x="385"/>
        <item x="715"/>
        <item x="515"/>
        <item x="606"/>
        <item x="419"/>
        <item x="208"/>
        <item x="467"/>
        <item x="940"/>
        <item x="647"/>
        <item x="784"/>
        <item x="418"/>
        <item x="629"/>
        <item x="288"/>
        <item x="872"/>
        <item x="266"/>
        <item x="909"/>
        <item x="874"/>
        <item x="933"/>
        <item x="126"/>
        <item x="549"/>
        <item x="838"/>
        <item x="269"/>
        <item x="762"/>
        <item x="354"/>
        <item x="562"/>
        <item x="298"/>
        <item x="819"/>
        <item x="921"/>
        <item x="39"/>
        <item x="487"/>
        <item x="322"/>
        <item x="694"/>
        <item x="745"/>
        <item x="732"/>
        <item x="369"/>
        <item x="713"/>
        <item x="903"/>
        <item x="498"/>
        <item x="542"/>
        <item x="446"/>
        <item x="786"/>
        <item x="580"/>
        <item x="72"/>
        <item x="509"/>
        <item x="841"/>
        <item x="389"/>
        <item x="400"/>
        <item x="558"/>
        <item x="316"/>
        <item x="778"/>
        <item x="513"/>
        <item x="810"/>
        <item x="203"/>
        <item x="330"/>
        <item x="262"/>
        <item x="287"/>
        <item x="478"/>
        <item x="533"/>
        <item x="411"/>
        <item x="223"/>
        <item x="317"/>
        <item x="737"/>
        <item x="241"/>
        <item x="883"/>
        <item x="346"/>
        <item x="456"/>
        <item x="92"/>
        <item x="658"/>
        <item x="387"/>
        <item x="112"/>
        <item x="35"/>
        <item x="81"/>
        <item x="177"/>
        <item x="936"/>
        <item x="404"/>
        <item x="141"/>
        <item x="356"/>
        <item x="797"/>
        <item x="333"/>
        <item x="895"/>
        <item x="634"/>
        <item x="856"/>
        <item x="518"/>
        <item x="156"/>
        <item x="430"/>
        <item x="560"/>
        <item x="243"/>
        <item x="479"/>
        <item x="234"/>
        <item x="504"/>
        <item x="914"/>
        <item x="815"/>
        <item x="232"/>
        <item x="314"/>
        <item x="265"/>
        <item x="942"/>
        <item x="607"/>
        <item x="231"/>
        <item x="828"/>
        <item x="210"/>
        <item x="99"/>
        <item x="747"/>
        <item x="681"/>
        <item x="657"/>
        <item x="596"/>
        <item x="906"/>
        <item x="125"/>
        <item x="25"/>
        <item x="953"/>
        <item x="893"/>
        <item x="867"/>
        <item x="566"/>
        <item x="406"/>
        <item x="377"/>
        <item x="729"/>
        <item x="907"/>
        <item x="174"/>
        <item x="948"/>
        <item x="764"/>
        <item x="512"/>
        <item x="691"/>
        <item x="816"/>
        <item x="118"/>
        <item x="550"/>
        <item x="152"/>
        <item x="412"/>
        <item x="530"/>
        <item x="731"/>
        <item x="664"/>
        <item x="587"/>
        <item x="384"/>
        <item x="61"/>
        <item x="98"/>
        <item x="539"/>
        <item x="228"/>
        <item x="830"/>
        <item x="65"/>
        <item x="331"/>
        <item x="862"/>
        <item x="54"/>
        <item x="277"/>
        <item x="577"/>
        <item x="524"/>
        <item x="672"/>
        <item x="328"/>
        <item x="864"/>
        <item x="162"/>
        <item x="480"/>
        <item x="506"/>
        <item x="532"/>
        <item x="609"/>
        <item x="686"/>
        <item x="863"/>
        <item x="902"/>
        <item x="756"/>
        <item x="443"/>
        <item x="625"/>
        <item x="955"/>
        <item x="447"/>
        <item x="134"/>
        <item x="746"/>
        <item x="673"/>
        <item x="780"/>
        <item x="698"/>
        <item x="442"/>
        <item x="280"/>
        <item x="508"/>
        <item x="313"/>
        <item x="375"/>
        <item x="911"/>
        <item x="283"/>
        <item x="477"/>
        <item x="115"/>
        <item x="637"/>
        <item x="165"/>
        <item x="113"/>
        <item x="347"/>
        <item x="794"/>
        <item x="42"/>
        <item x="642"/>
        <item x="894"/>
        <item x="926"/>
        <item x="247"/>
        <item x="379"/>
        <item x="735"/>
        <item x="45"/>
        <item x="497"/>
        <item x="775"/>
        <item x="712"/>
        <item x="482"/>
        <item x="641"/>
        <item x="573"/>
        <item x="171"/>
        <item x="96"/>
        <item x="576"/>
        <item x="153"/>
        <item x="670"/>
        <item x="946"/>
        <item x="163"/>
        <item x="483"/>
        <item x="334"/>
        <item x="770"/>
        <item x="32"/>
        <item x="540"/>
        <item x="589"/>
        <item x="343"/>
        <item x="704"/>
        <item x="963"/>
        <item x="129"/>
        <item x="659"/>
        <item x="329"/>
        <item x="882"/>
        <item x="276"/>
        <item x="687"/>
        <item x="645"/>
        <item x="628"/>
        <item x="211"/>
        <item x="84"/>
        <item x="849"/>
        <item x="348"/>
        <item x="250"/>
        <item x="437"/>
        <item x="49"/>
        <item x="750"/>
        <item x="501"/>
        <item x="677"/>
        <item x="353"/>
        <item x="768"/>
        <item x="837"/>
        <item x="438"/>
        <item x="80"/>
        <item x="568"/>
        <item x="668"/>
        <item x="282"/>
        <item x="73"/>
        <item x="468"/>
        <item x="383"/>
        <item x="886"/>
        <item x="396"/>
        <item x="26"/>
        <item x="27"/>
        <item x="307"/>
        <item x="181"/>
        <item x="703"/>
        <item x="898"/>
        <item x="439"/>
        <item x="184"/>
        <item x="270"/>
        <item x="717"/>
        <item x="71"/>
        <item x="110"/>
        <item x="417"/>
        <item x="457"/>
        <item x="143"/>
        <item x="590"/>
        <item x="929"/>
        <item x="783"/>
        <item x="904"/>
        <item x="627"/>
        <item x="199"/>
        <item x="559"/>
        <item x="925"/>
        <item x="613"/>
        <item x="492"/>
        <item x="107"/>
        <item x="257"/>
        <item x="47"/>
        <item x="382"/>
        <item x="517"/>
        <item x="398"/>
        <item x="295"/>
        <item x="371"/>
        <item x="258"/>
        <item x="123"/>
        <item x="754"/>
        <item x="932"/>
        <item x="408"/>
        <item x="649"/>
        <item x="245"/>
        <item x="869"/>
        <item x="825"/>
        <item x="588"/>
        <item x="875"/>
        <item x="653"/>
        <item x="510"/>
        <item x="82"/>
        <item x="850"/>
        <item x="135"/>
        <item x="679"/>
        <item x="582"/>
        <item x="292"/>
        <item x="226"/>
        <item x="854"/>
        <item x="57"/>
        <item x="70"/>
        <item x="444"/>
        <item x="743"/>
        <item x="534"/>
        <item x="33"/>
        <item x="669"/>
        <item x="760"/>
        <item x="128"/>
        <item x="119"/>
        <item x="880"/>
        <item x="297"/>
        <item x="525"/>
        <item x="124"/>
        <item x="121"/>
        <item x="392"/>
        <item x="182"/>
        <item x="311"/>
        <item x="358"/>
        <item x="159"/>
        <item x="339"/>
        <item x="349"/>
        <item x="361"/>
        <item x="855"/>
        <item x="593"/>
        <item x="370"/>
        <item x="638"/>
        <item x="476"/>
        <item x="440"/>
        <item x="947"/>
        <item x="470"/>
        <item x="386"/>
        <item x="831"/>
        <item x="230"/>
        <item x="254"/>
        <item x="744"/>
        <item x="496"/>
        <item x="899"/>
        <item x="811"/>
        <item x="431"/>
        <item x="74"/>
        <item x="680"/>
        <item x="758"/>
        <item x="943"/>
        <item x="644"/>
        <item x="148"/>
        <item x="722"/>
        <item x="676"/>
        <item x="388"/>
        <item x="399"/>
        <item x="336"/>
        <item x="716"/>
        <item x="889"/>
        <item x="215"/>
        <item x="918"/>
        <item x="132"/>
        <item x="436"/>
        <item x="424"/>
        <item x="821"/>
        <item x="461"/>
        <item x="94"/>
        <item x="522"/>
        <item x="471"/>
        <item x="696"/>
        <item x="51"/>
        <item x="169"/>
        <item x="189"/>
        <item x="620"/>
        <item x="200"/>
        <item x="402"/>
        <item x="403"/>
        <item x="832"/>
        <item x="529"/>
        <item x="120"/>
        <item x="432"/>
        <item x="614"/>
        <item x="175"/>
        <item x="857"/>
        <item x="186"/>
        <item x="407"/>
        <item x="341"/>
        <item x="916"/>
        <item x="10"/>
        <item x="765"/>
        <item x="127"/>
        <item x="493"/>
        <item x="905"/>
        <item x="109"/>
        <item x="63"/>
        <item x="806"/>
        <item x="416"/>
        <item x="555"/>
        <item x="584"/>
        <item x="469"/>
        <item x="206"/>
        <item x="390"/>
        <item x="526"/>
        <item x="28"/>
        <item x="218"/>
        <item x="428"/>
        <item x="915"/>
        <item x="448"/>
        <item x="804"/>
        <item x="807"/>
        <item x="193"/>
        <item x="318"/>
        <item x="219"/>
        <item x="300"/>
        <item x="290"/>
        <item x="912"/>
        <item x="699"/>
        <item x="380"/>
        <item x="660"/>
        <item x="221"/>
        <item x="924"/>
        <item x="2"/>
        <item x="693"/>
        <item x="554"/>
        <item x="261"/>
        <item x="675"/>
        <item x="222"/>
        <item x="705"/>
        <item x="168"/>
        <item x="546"/>
        <item x="183"/>
        <item x="259"/>
        <item x="37"/>
        <item x="31"/>
        <item x="85"/>
        <item x="315"/>
        <item x="29"/>
        <item x="707"/>
        <item x="776"/>
        <item x="601"/>
        <item x="151"/>
        <item x="591"/>
        <item x="881"/>
        <item x="599"/>
        <item x="93"/>
        <item x="433"/>
        <item x="367"/>
        <item x="791"/>
        <item x="846"/>
        <item x="335"/>
        <item x="934"/>
        <item x="845"/>
        <item x="462"/>
        <item x="284"/>
        <item x="884"/>
        <item x="619"/>
        <item x="185"/>
        <item x="813"/>
        <item x="785"/>
        <item x="763"/>
        <item x="870"/>
        <item x="611"/>
        <item x="252"/>
        <item x="263"/>
        <item x="326"/>
        <item x="552"/>
        <item x="954"/>
        <item x="648"/>
        <item x="595"/>
        <item x="742"/>
        <item x="274"/>
        <item x="187"/>
        <item x="40"/>
        <item x="937"/>
        <item x="176"/>
        <item x="426"/>
        <item x="547"/>
        <item x="636"/>
        <item x="64"/>
        <item x="312"/>
        <item x="337"/>
        <item x="949"/>
        <item x="452"/>
        <item x="205"/>
        <item x="155"/>
        <item x="685"/>
        <item x="59"/>
        <item x="236"/>
        <item x="363"/>
        <item x="53"/>
        <item x="800"/>
        <item x="195"/>
        <item x="106"/>
        <item x="5"/>
        <item x="3"/>
        <item x="594"/>
        <item x="166"/>
        <item x="459"/>
        <item x="239"/>
        <item x="149"/>
        <item x="802"/>
        <item x="251"/>
        <item x="463"/>
        <item x="271"/>
        <item x="535"/>
        <item x="105"/>
        <item x="146"/>
        <item x="21"/>
        <item x="41"/>
        <item x="52"/>
        <item x="145"/>
        <item x="616"/>
        <item x="822"/>
        <item x="491"/>
        <item x="108"/>
        <item x="820"/>
        <item x="68"/>
        <item x="608"/>
        <item x="253"/>
        <item x="246"/>
        <item x="605"/>
        <item x="414"/>
        <item x="757"/>
        <item x="368"/>
        <item x="472"/>
        <item x="787"/>
        <item x="90"/>
        <item x="8"/>
        <item x="505"/>
        <item x="500"/>
        <item x="543"/>
        <item x="255"/>
        <item x="890"/>
        <item x="656"/>
        <item x="256"/>
        <item x="240"/>
        <item x="235"/>
        <item x="655"/>
        <item x="701"/>
        <item x="147"/>
        <item x="275"/>
        <item x="427"/>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11">
    <i>
      <x v="7"/>
    </i>
    <i>
      <x v="25"/>
    </i>
    <i>
      <x v="41"/>
    </i>
    <i>
      <x v="15"/>
    </i>
    <i>
      <x v="42"/>
    </i>
    <i>
      <x v="23"/>
    </i>
    <i>
      <x v="1"/>
    </i>
    <i>
      <x v="12"/>
    </i>
    <i>
      <x v="38"/>
    </i>
    <i>
      <x v="43"/>
    </i>
    <i t="grand">
      <x/>
    </i>
  </rowItems>
  <colItems count="1">
    <i/>
  </colItems>
  <dataFields count="1">
    <dataField name="Sum of Sales Amount" fld="15" baseField="0" baseItem="0"/>
  </dataFields>
  <formats count="1">
    <format dxfId="142">
      <pivotArea collapsedLevelsAreSubtotals="1" fieldPosition="0">
        <references count="1">
          <reference field="10" count="0"/>
        </references>
      </pivotArea>
    </format>
  </formats>
  <pivotTableStyleInfo name="PivotStyleLight16" showRowHeaders="1" showColHeaders="1" showRowStripes="0" showColStripes="0" showLastColumn="1"/>
  <filters count="1">
    <filter fld="1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F19E7F3-B688-41DF-9502-21FAB1A3BAD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34:I40" firstHeaderRow="1" firstDataRow="1" firstDataCol="1"/>
  <pivotFields count="28">
    <pivotField showAll="0"/>
    <pivotField numFmtId="14" showAll="0">
      <items count="541">
        <item x="108"/>
        <item x="213"/>
        <item x="89"/>
        <item x="469"/>
        <item x="521"/>
        <item x="147"/>
        <item x="319"/>
        <item x="64"/>
        <item x="133"/>
        <item x="190"/>
        <item x="418"/>
        <item x="395"/>
        <item x="27"/>
        <item x="538"/>
        <item x="354"/>
        <item x="405"/>
        <item x="366"/>
        <item x="106"/>
        <item x="90"/>
        <item x="37"/>
        <item x="111"/>
        <item x="236"/>
        <item x="397"/>
        <item x="513"/>
        <item x="289"/>
        <item x="367"/>
        <item x="426"/>
        <item x="35"/>
        <item x="55"/>
        <item x="141"/>
        <item x="393"/>
        <item x="210"/>
        <item x="368"/>
        <item x="46"/>
        <item x="349"/>
        <item x="416"/>
        <item x="248"/>
        <item x="252"/>
        <item x="283"/>
        <item x="15"/>
        <item x="525"/>
        <item x="479"/>
        <item x="78"/>
        <item x="495"/>
        <item x="414"/>
        <item x="217"/>
        <item x="84"/>
        <item x="486"/>
        <item x="300"/>
        <item x="235"/>
        <item x="65"/>
        <item x="304"/>
        <item x="72"/>
        <item x="208"/>
        <item x="310"/>
        <item x="528"/>
        <item x="380"/>
        <item x="400"/>
        <item x="494"/>
        <item x="127"/>
        <item x="446"/>
        <item x="502"/>
        <item x="352"/>
        <item x="131"/>
        <item x="527"/>
        <item x="520"/>
        <item x="322"/>
        <item x="451"/>
        <item x="530"/>
        <item x="158"/>
        <item x="427"/>
        <item x="31"/>
        <item x="480"/>
        <item x="12"/>
        <item x="242"/>
        <item x="465"/>
        <item x="497"/>
        <item x="176"/>
        <item x="338"/>
        <item x="347"/>
        <item x="263"/>
        <item x="44"/>
        <item x="514"/>
        <item x="384"/>
        <item x="197"/>
        <item x="189"/>
        <item x="151"/>
        <item x="522"/>
        <item x="50"/>
        <item x="21"/>
        <item x="537"/>
        <item x="19"/>
        <item x="386"/>
        <item x="130"/>
        <item x="394"/>
        <item x="363"/>
        <item x="61"/>
        <item x="237"/>
        <item x="24"/>
        <item x="339"/>
        <item x="5"/>
        <item x="466"/>
        <item x="341"/>
        <item x="251"/>
        <item x="398"/>
        <item x="435"/>
        <item x="429"/>
        <item x="288"/>
        <item x="48"/>
        <item x="311"/>
        <item x="128"/>
        <item x="247"/>
        <item x="253"/>
        <item x="298"/>
        <item x="383"/>
        <item x="501"/>
        <item x="119"/>
        <item x="292"/>
        <item x="438"/>
        <item x="433"/>
        <item x="94"/>
        <item x="73"/>
        <item x="334"/>
        <item x="103"/>
        <item x="297"/>
        <item x="142"/>
        <item x="110"/>
        <item x="508"/>
        <item x="129"/>
        <item x="191"/>
        <item x="415"/>
        <item x="97"/>
        <item x="328"/>
        <item x="232"/>
        <item x="92"/>
        <item x="180"/>
        <item x="379"/>
        <item x="456"/>
        <item x="269"/>
        <item x="315"/>
        <item x="459"/>
        <item x="294"/>
        <item x="254"/>
        <item x="471"/>
        <item x="258"/>
        <item x="205"/>
        <item x="249"/>
        <item x="449"/>
        <item x="54"/>
        <item x="260"/>
        <item x="401"/>
        <item x="183"/>
        <item x="493"/>
        <item x="272"/>
        <item x="323"/>
        <item x="360"/>
        <item x="255"/>
        <item x="126"/>
        <item x="171"/>
        <item x="188"/>
        <item x="10"/>
        <item x="168"/>
        <item x="135"/>
        <item x="32"/>
        <item x="67"/>
        <item x="287"/>
        <item x="439"/>
        <item x="57"/>
        <item x="499"/>
        <item x="221"/>
        <item x="245"/>
        <item x="209"/>
        <item x="93"/>
        <item x="348"/>
        <item x="462"/>
        <item x="343"/>
        <item x="155"/>
        <item x="290"/>
        <item x="452"/>
        <item x="327"/>
        <item x="23"/>
        <item x="154"/>
        <item x="42"/>
        <item x="172"/>
        <item x="460"/>
        <item x="145"/>
        <item x="407"/>
        <item x="36"/>
        <item x="332"/>
        <item x="356"/>
        <item x="25"/>
        <item x="152"/>
        <item x="33"/>
        <item x="385"/>
        <item x="280"/>
        <item x="234"/>
        <item x="422"/>
        <item x="498"/>
        <item x="270"/>
        <item x="3"/>
        <item x="216"/>
        <item x="482"/>
        <item x="165"/>
        <item x="26"/>
        <item x="240"/>
        <item x="330"/>
        <item x="125"/>
        <item x="442"/>
        <item x="282"/>
        <item x="299"/>
        <item x="207"/>
        <item x="335"/>
        <item x="58"/>
        <item x="440"/>
        <item x="76"/>
        <item x="193"/>
        <item x="390"/>
        <item x="228"/>
        <item x="357"/>
        <item x="329"/>
        <item x="476"/>
        <item x="95"/>
        <item x="20"/>
        <item x="199"/>
        <item x="396"/>
        <item x="372"/>
        <item x="336"/>
        <item x="9"/>
        <item x="59"/>
        <item x="75"/>
        <item x="262"/>
        <item x="14"/>
        <item x="309"/>
        <item x="107"/>
        <item x="526"/>
        <item x="410"/>
        <item x="71"/>
        <item x="488"/>
        <item x="114"/>
        <item x="81"/>
        <item x="267"/>
        <item x="196"/>
        <item x="437"/>
        <item x="425"/>
        <item x="104"/>
        <item x="214"/>
        <item x="351"/>
        <item x="317"/>
        <item x="293"/>
        <item x="424"/>
        <item x="201"/>
        <item x="100"/>
        <item x="423"/>
        <item x="301"/>
        <item x="419"/>
        <item x="313"/>
        <item x="273"/>
        <item x="261"/>
        <item x="314"/>
        <item x="345"/>
        <item x="318"/>
        <item x="60"/>
        <item x="333"/>
        <item x="56"/>
        <item x="132"/>
        <item x="4"/>
        <item x="445"/>
        <item x="490"/>
        <item x="137"/>
        <item x="387"/>
        <item x="18"/>
        <item x="264"/>
        <item x="45"/>
        <item x="392"/>
        <item x="175"/>
        <item x="420"/>
        <item x="79"/>
        <item x="463"/>
        <item x="534"/>
        <item x="431"/>
        <item x="461"/>
        <item x="43"/>
        <item x="40"/>
        <item x="77"/>
        <item x="517"/>
        <item x="167"/>
        <item x="11"/>
        <item x="6"/>
        <item x="212"/>
        <item x="453"/>
        <item x="143"/>
        <item x="182"/>
        <item x="454"/>
        <item x="241"/>
        <item x="279"/>
        <item x="150"/>
        <item x="361"/>
        <item x="164"/>
        <item x="268"/>
        <item x="492"/>
        <item x="195"/>
        <item x="306"/>
        <item x="444"/>
        <item x="0"/>
        <item x="146"/>
        <item x="82"/>
        <item x="342"/>
        <item x="447"/>
        <item x="200"/>
        <item x="87"/>
        <item x="38"/>
        <item x="503"/>
        <item x="243"/>
        <item x="124"/>
        <item x="148"/>
        <item x="474"/>
        <item x="382"/>
        <item x="187"/>
        <item x="340"/>
        <item x="509"/>
        <item x="487"/>
        <item x="376"/>
        <item x="326"/>
        <item x="231"/>
        <item x="371"/>
        <item x="325"/>
        <item x="358"/>
        <item x="417"/>
        <item x="115"/>
        <item x="496"/>
        <item x="28"/>
        <item x="219"/>
        <item x="344"/>
        <item x="412"/>
        <item x="473"/>
        <item x="403"/>
        <item x="529"/>
        <item x="257"/>
        <item x="524"/>
        <item x="85"/>
        <item x="388"/>
        <item x="312"/>
        <item x="122"/>
        <item x="320"/>
        <item x="355"/>
        <item x="238"/>
        <item x="483"/>
        <item x="276"/>
        <item x="246"/>
        <item x="173"/>
        <item x="364"/>
        <item x="353"/>
        <item x="136"/>
        <item x="53"/>
        <item x="259"/>
        <item x="516"/>
        <item x="365"/>
        <item x="278"/>
        <item x="161"/>
        <item x="470"/>
        <item x="34"/>
        <item x="134"/>
        <item x="303"/>
        <item x="68"/>
        <item x="121"/>
        <item x="481"/>
        <item x="455"/>
        <item x="472"/>
        <item x="389"/>
        <item x="140"/>
        <item x="181"/>
        <item x="518"/>
        <item x="434"/>
        <item x="144"/>
        <item x="277"/>
        <item x="500"/>
        <item x="507"/>
        <item x="52"/>
        <item x="174"/>
        <item x="7"/>
        <item x="88"/>
        <item x="163"/>
        <item x="49"/>
        <item x="138"/>
        <item x="160"/>
        <item x="489"/>
        <item x="29"/>
        <item x="157"/>
        <item x="381"/>
        <item x="511"/>
        <item x="256"/>
        <item x="373"/>
        <item x="285"/>
        <item x="239"/>
        <item x="86"/>
        <item x="450"/>
        <item x="271"/>
        <item x="184"/>
        <item x="477"/>
        <item x="223"/>
        <item x="284"/>
        <item x="515"/>
        <item x="265"/>
        <item x="404"/>
        <item x="421"/>
        <item x="117"/>
        <item x="178"/>
        <item x="391"/>
        <item x="203"/>
        <item x="406"/>
        <item x="275"/>
        <item x="399"/>
        <item x="177"/>
        <item x="533"/>
        <item x="305"/>
        <item x="512"/>
        <item x="350"/>
        <item x="308"/>
        <item x="475"/>
        <item x="531"/>
        <item x="222"/>
        <item x="464"/>
        <item x="430"/>
        <item x="41"/>
        <item x="536"/>
        <item x="286"/>
        <item x="99"/>
        <item x="162"/>
        <item x="202"/>
        <item x="244"/>
        <item x="484"/>
        <item x="226"/>
        <item x="204"/>
        <item x="159"/>
        <item x="22"/>
        <item x="218"/>
        <item x="47"/>
        <item x="458"/>
        <item x="224"/>
        <item x="225"/>
        <item x="535"/>
        <item x="337"/>
        <item x="230"/>
        <item x="505"/>
        <item x="13"/>
        <item x="296"/>
        <item x="69"/>
        <item x="402"/>
        <item x="485"/>
        <item x="74"/>
        <item x="101"/>
        <item x="369"/>
        <item x="302"/>
        <item x="51"/>
        <item x="118"/>
        <item x="374"/>
        <item x="123"/>
        <item x="186"/>
        <item x="321"/>
        <item x="370"/>
        <item x="62"/>
        <item x="436"/>
        <item x="156"/>
        <item x="467"/>
        <item x="91"/>
        <item x="105"/>
        <item x="1"/>
        <item x="109"/>
        <item x="539"/>
        <item x="468"/>
        <item x="441"/>
        <item x="519"/>
        <item x="80"/>
        <item x="192"/>
        <item x="63"/>
        <item x="98"/>
        <item x="185"/>
        <item x="346"/>
        <item x="30"/>
        <item x="112"/>
        <item x="411"/>
        <item x="266"/>
        <item x="506"/>
        <item x="375"/>
        <item x="413"/>
        <item x="170"/>
        <item x="70"/>
        <item x="198"/>
        <item x="504"/>
        <item x="250"/>
        <item x="331"/>
        <item x="194"/>
        <item x="457"/>
        <item x="274"/>
        <item x="377"/>
        <item x="443"/>
        <item x="307"/>
        <item x="362"/>
        <item x="206"/>
        <item x="229"/>
        <item x="448"/>
        <item x="523"/>
        <item x="215"/>
        <item x="220"/>
        <item x="211"/>
        <item x="324"/>
        <item x="149"/>
        <item x="116"/>
        <item x="153"/>
        <item x="316"/>
        <item x="491"/>
        <item x="179"/>
        <item x="83"/>
        <item x="166"/>
        <item x="478"/>
        <item x="295"/>
        <item x="227"/>
        <item x="432"/>
        <item x="428"/>
        <item x="113"/>
        <item x="359"/>
        <item x="8"/>
        <item x="281"/>
        <item x="39"/>
        <item x="409"/>
        <item x="378"/>
        <item x="291"/>
        <item x="233"/>
        <item x="139"/>
        <item x="96"/>
        <item x="2"/>
        <item x="102"/>
        <item x="66"/>
        <item x="408"/>
        <item x="510"/>
        <item x="16"/>
        <item x="120"/>
        <item x="17"/>
        <item x="532"/>
        <item x="169"/>
        <item t="default"/>
      </items>
    </pivotField>
    <pivotField numFmtId="14" showAll="0"/>
    <pivotField showAll="0"/>
    <pivotField showAll="0"/>
    <pivotField showAll="0">
      <items count="4">
        <item x="2"/>
        <item x="1"/>
        <item x="0"/>
        <item t="default"/>
      </items>
    </pivotField>
    <pivotField showAll="0"/>
    <pivotField showAll="0"/>
    <pivotField showAll="0"/>
    <pivotField showAll="0">
      <items count="5">
        <item x="3"/>
        <item x="0"/>
        <item x="1"/>
        <item x="2"/>
        <item t="default"/>
      </items>
    </pivotField>
    <pivotField showAll="0" measureFilter="1" sortType="descending">
      <items count="51">
        <item x="9"/>
        <item x="26"/>
        <item x="6"/>
        <item x="38"/>
        <item x="19"/>
        <item x="49"/>
        <item x="37"/>
        <item x="11"/>
        <item x="1"/>
        <item x="36"/>
        <item x="45"/>
        <item x="31"/>
        <item x="42"/>
        <item x="46"/>
        <item x="28"/>
        <item x="44"/>
        <item x="18"/>
        <item x="33"/>
        <item x="8"/>
        <item x="3"/>
        <item x="17"/>
        <item x="27"/>
        <item x="21"/>
        <item x="25"/>
        <item x="10"/>
        <item x="5"/>
        <item x="40"/>
        <item x="24"/>
        <item x="48"/>
        <item x="13"/>
        <item x="41"/>
        <item x="12"/>
        <item x="14"/>
        <item x="39"/>
        <item x="32"/>
        <item x="16"/>
        <item x="35"/>
        <item x="2"/>
        <item x="30"/>
        <item x="15"/>
        <item x="23"/>
        <item x="4"/>
        <item x="20"/>
        <item x="29"/>
        <item x="34"/>
        <item x="43"/>
        <item x="0"/>
        <item x="47"/>
        <item x="22"/>
        <item x="7"/>
        <item t="default"/>
      </items>
      <autoSortScope>
        <pivotArea dataOnly="0" outline="0" fieldPosition="0">
          <references count="1">
            <reference field="4294967294" count="1" selected="0">
              <x v="0"/>
            </reference>
          </references>
        </pivotArea>
      </autoSortScope>
    </pivotField>
    <pivotField axis="axisRow" showAll="0" measureFilter="1" sortType="descending">
      <items count="966">
        <item x="188"/>
        <item x="792"/>
        <item x="615"/>
        <item x="527"/>
        <item x="429"/>
        <item x="88"/>
        <item x="697"/>
        <item x="137"/>
        <item x="425"/>
        <item x="541"/>
        <item x="233"/>
        <item x="301"/>
        <item x="739"/>
        <item x="485"/>
        <item x="719"/>
        <item x="89"/>
        <item x="486"/>
        <item x="273"/>
        <item x="453"/>
        <item x="538"/>
        <item x="861"/>
        <item x="100"/>
        <item x="814"/>
        <item x="727"/>
        <item x="1"/>
        <item x="621"/>
        <item x="759"/>
        <item x="338"/>
        <item x="202"/>
        <item x="365"/>
        <item x="362"/>
        <item x="454"/>
        <item x="826"/>
        <item x="293"/>
        <item x="248"/>
        <item x="799"/>
        <item x="410"/>
        <item x="488"/>
        <item x="652"/>
        <item x="860"/>
        <item x="131"/>
        <item x="793"/>
        <item x="836"/>
        <item x="397"/>
        <item x="198"/>
        <item x="213"/>
        <item x="102"/>
        <item x="935"/>
        <item x="78"/>
        <item x="302"/>
        <item x="394"/>
        <item x="958"/>
        <item x="69"/>
        <item x="511"/>
        <item x="351"/>
        <item x="7"/>
        <item x="95"/>
        <item x="43"/>
        <item x="76"/>
        <item x="639"/>
        <item x="960"/>
        <item x="928"/>
        <item x="319"/>
        <item x="323"/>
        <item x="755"/>
        <item x="545"/>
        <item x="458"/>
        <item x="858"/>
        <item x="48"/>
        <item x="865"/>
        <item x="565"/>
        <item x="556"/>
        <item x="4"/>
        <item x="751"/>
        <item x="603"/>
        <item x="910"/>
        <item x="79"/>
        <item x="897"/>
        <item x="868"/>
        <item x="507"/>
        <item x="617"/>
        <item x="734"/>
        <item x="834"/>
        <item x="570"/>
        <item x="945"/>
        <item x="373"/>
        <item x="355"/>
        <item x="103"/>
        <item x="598"/>
        <item x="817"/>
        <item x="451"/>
        <item x="272"/>
        <item x="421"/>
        <item x="852"/>
        <item x="844"/>
        <item x="499"/>
        <item x="490"/>
        <item x="950"/>
        <item x="12"/>
        <item x="415"/>
        <item x="654"/>
        <item x="308"/>
        <item x="6"/>
        <item x="306"/>
        <item x="209"/>
        <item x="142"/>
        <item x="366"/>
        <item x="173"/>
        <item x="956"/>
        <item x="321"/>
        <item x="567"/>
        <item x="117"/>
        <item x="364"/>
        <item x="829"/>
        <item x="481"/>
        <item x="569"/>
        <item x="728"/>
        <item x="111"/>
        <item x="544"/>
        <item x="710"/>
        <item x="692"/>
        <item x="519"/>
        <item x="702"/>
        <item x="327"/>
        <item x="62"/>
        <item x="11"/>
        <item x="748"/>
        <item x="773"/>
        <item x="409"/>
        <item x="374"/>
        <item x="114"/>
        <item x="237"/>
        <item x="449"/>
        <item x="896"/>
        <item x="718"/>
        <item x="204"/>
        <item x="342"/>
        <item x="646"/>
        <item x="700"/>
        <item x="50"/>
        <item x="268"/>
        <item x="678"/>
        <item x="781"/>
        <item x="19"/>
        <item x="564"/>
        <item x="285"/>
        <item x="633"/>
        <item x="217"/>
        <item x="688"/>
        <item x="878"/>
        <item x="172"/>
        <item x="741"/>
        <item x="157"/>
        <item x="310"/>
        <item x="267"/>
        <item x="690"/>
        <item x="158"/>
        <item x="720"/>
        <item x="229"/>
        <item x="242"/>
        <item x="207"/>
        <item x="420"/>
        <item x="194"/>
        <item x="913"/>
        <item x="927"/>
        <item x="923"/>
        <item x="798"/>
        <item x="87"/>
        <item x="197"/>
        <item x="887"/>
        <item x="460"/>
        <item x="216"/>
        <item x="665"/>
        <item x="766"/>
        <item x="689"/>
        <item x="917"/>
        <item x="938"/>
        <item x="220"/>
        <item x="201"/>
        <item x="789"/>
        <item x="484"/>
        <item x="244"/>
        <item x="14"/>
        <item x="575"/>
        <item x="372"/>
        <item x="939"/>
        <item x="666"/>
        <item x="661"/>
        <item x="405"/>
        <item x="58"/>
        <item x="812"/>
        <item x="931"/>
        <item x="161"/>
        <item x="930"/>
        <item x="179"/>
        <item x="709"/>
        <item x="753"/>
        <item x="571"/>
        <item x="278"/>
        <item x="643"/>
        <item x="320"/>
        <item x="779"/>
        <item x="17"/>
        <item x="97"/>
        <item x="192"/>
        <item x="91"/>
        <item x="859"/>
        <item x="291"/>
        <item x="823"/>
        <item x="395"/>
        <item x="154"/>
        <item x="101"/>
        <item x="401"/>
        <item x="164"/>
        <item x="900"/>
        <item x="450"/>
        <item x="959"/>
        <item x="818"/>
        <item x="684"/>
        <item x="140"/>
        <item x="178"/>
        <item x="455"/>
        <item x="586"/>
        <item x="465"/>
        <item x="15"/>
        <item x="788"/>
        <item x="466"/>
        <item x="434"/>
        <item x="604"/>
        <item x="46"/>
        <item x="663"/>
        <item x="435"/>
        <item x="139"/>
        <item x="835"/>
        <item x="391"/>
        <item x="16"/>
        <item x="344"/>
        <item x="227"/>
        <item x="941"/>
        <item x="473"/>
        <item x="622"/>
        <item x="296"/>
        <item x="224"/>
        <item x="537"/>
        <item x="602"/>
        <item x="393"/>
        <item x="422"/>
        <item x="630"/>
        <item x="514"/>
        <item x="77"/>
        <item x="839"/>
        <item x="879"/>
        <item x="572"/>
        <item x="840"/>
        <item x="225"/>
        <item x="294"/>
        <item x="682"/>
        <item x="516"/>
        <item x="553"/>
        <item x="922"/>
        <item x="357"/>
        <item x="520"/>
        <item x="623"/>
        <item x="796"/>
        <item x="18"/>
        <item x="769"/>
        <item x="489"/>
        <item x="885"/>
        <item x="873"/>
        <item x="706"/>
        <item x="561"/>
        <item x="585"/>
        <item x="626"/>
        <item x="671"/>
        <item x="888"/>
        <item x="777"/>
        <item x="752"/>
        <item x="30"/>
        <item x="289"/>
        <item x="249"/>
        <item x="600"/>
        <item x="381"/>
        <item x="581"/>
        <item x="951"/>
        <item x="803"/>
        <item x="962"/>
        <item x="150"/>
        <item x="160"/>
        <item x="502"/>
        <item x="808"/>
        <item x="964"/>
        <item x="167"/>
        <item x="738"/>
        <item x="340"/>
        <item x="441"/>
        <item x="749"/>
        <item x="521"/>
        <item x="551"/>
        <item x="795"/>
        <item x="133"/>
        <item x="842"/>
        <item x="695"/>
        <item x="578"/>
        <item x="824"/>
        <item x="730"/>
        <item x="853"/>
        <item x="944"/>
        <item x="714"/>
        <item x="952"/>
        <item x="170"/>
        <item x="563"/>
        <item x="740"/>
        <item x="55"/>
        <item x="827"/>
        <item x="919"/>
        <item x="20"/>
        <item x="180"/>
        <item x="592"/>
        <item x="631"/>
        <item x="662"/>
        <item x="260"/>
        <item x="286"/>
        <item x="303"/>
        <item x="708"/>
        <item x="612"/>
        <item x="674"/>
        <item x="871"/>
        <item x="574"/>
        <item x="281"/>
        <item x="771"/>
        <item x="23"/>
        <item x="548"/>
        <item x="413"/>
        <item x="920"/>
        <item x="809"/>
        <item x="138"/>
        <item x="196"/>
        <item x="279"/>
        <item x="774"/>
        <item x="136"/>
        <item x="116"/>
        <item x="305"/>
        <item x="908"/>
        <item x="901"/>
        <item x="721"/>
        <item x="122"/>
        <item x="597"/>
        <item x="264"/>
        <item x="495"/>
        <item x="632"/>
        <item x="761"/>
        <item x="877"/>
        <item x="494"/>
        <item x="557"/>
        <item x="767"/>
        <item x="618"/>
        <item x="725"/>
        <item x="67"/>
        <item x="711"/>
        <item x="961"/>
        <item x="475"/>
        <item x="848"/>
        <item x="528"/>
        <item x="325"/>
        <item x="866"/>
        <item x="376"/>
        <item x="13"/>
        <item x="579"/>
        <item x="801"/>
        <item x="214"/>
        <item x="191"/>
        <item x="503"/>
        <item x="847"/>
        <item x="892"/>
        <item x="352"/>
        <item x="782"/>
        <item x="9"/>
        <item x="876"/>
        <item x="44"/>
        <item x="345"/>
        <item x="359"/>
        <item x="531"/>
        <item x="724"/>
        <item x="309"/>
        <item x="332"/>
        <item x="523"/>
        <item x="22"/>
        <item x="833"/>
        <item x="86"/>
        <item x="0"/>
        <item x="36"/>
        <item x="851"/>
        <item x="75"/>
        <item x="736"/>
        <item x="891"/>
        <item x="640"/>
        <item x="423"/>
        <item x="733"/>
        <item x="624"/>
        <item x="212"/>
        <item x="536"/>
        <item x="104"/>
        <item x="805"/>
        <item x="60"/>
        <item x="610"/>
        <item x="83"/>
        <item x="66"/>
        <item x="360"/>
        <item x="772"/>
        <item x="304"/>
        <item x="650"/>
        <item x="34"/>
        <item x="190"/>
        <item x="843"/>
        <item x="350"/>
        <item x="583"/>
        <item x="651"/>
        <item x="24"/>
        <item x="635"/>
        <item x="378"/>
        <item x="445"/>
        <item x="299"/>
        <item x="726"/>
        <item x="474"/>
        <item x="683"/>
        <item x="238"/>
        <item x="667"/>
        <item x="324"/>
        <item x="723"/>
        <item x="56"/>
        <item x="790"/>
        <item x="464"/>
        <item x="38"/>
        <item x="144"/>
        <item x="957"/>
        <item x="130"/>
        <item x="385"/>
        <item x="715"/>
        <item x="515"/>
        <item x="606"/>
        <item x="419"/>
        <item x="208"/>
        <item x="467"/>
        <item x="940"/>
        <item x="647"/>
        <item x="784"/>
        <item x="418"/>
        <item x="629"/>
        <item x="288"/>
        <item x="872"/>
        <item x="266"/>
        <item x="909"/>
        <item x="874"/>
        <item x="933"/>
        <item x="126"/>
        <item x="549"/>
        <item x="838"/>
        <item x="269"/>
        <item x="762"/>
        <item x="354"/>
        <item x="562"/>
        <item x="298"/>
        <item x="819"/>
        <item x="921"/>
        <item x="39"/>
        <item x="487"/>
        <item x="322"/>
        <item x="694"/>
        <item x="745"/>
        <item x="732"/>
        <item x="369"/>
        <item x="713"/>
        <item x="903"/>
        <item x="498"/>
        <item x="542"/>
        <item x="446"/>
        <item x="786"/>
        <item x="580"/>
        <item x="72"/>
        <item x="509"/>
        <item x="841"/>
        <item x="389"/>
        <item x="400"/>
        <item x="558"/>
        <item x="316"/>
        <item x="778"/>
        <item x="513"/>
        <item x="810"/>
        <item x="203"/>
        <item x="330"/>
        <item x="262"/>
        <item x="287"/>
        <item x="478"/>
        <item x="533"/>
        <item x="411"/>
        <item x="223"/>
        <item x="317"/>
        <item x="737"/>
        <item x="241"/>
        <item x="883"/>
        <item x="346"/>
        <item x="456"/>
        <item x="92"/>
        <item x="658"/>
        <item x="387"/>
        <item x="112"/>
        <item x="35"/>
        <item x="81"/>
        <item x="177"/>
        <item x="936"/>
        <item x="404"/>
        <item x="141"/>
        <item x="356"/>
        <item x="797"/>
        <item x="333"/>
        <item x="895"/>
        <item x="634"/>
        <item x="856"/>
        <item x="518"/>
        <item x="156"/>
        <item x="430"/>
        <item x="560"/>
        <item x="243"/>
        <item x="479"/>
        <item x="234"/>
        <item x="504"/>
        <item x="914"/>
        <item x="815"/>
        <item x="232"/>
        <item x="314"/>
        <item x="265"/>
        <item x="942"/>
        <item x="607"/>
        <item x="231"/>
        <item x="828"/>
        <item x="210"/>
        <item x="99"/>
        <item x="747"/>
        <item x="681"/>
        <item x="657"/>
        <item x="596"/>
        <item x="906"/>
        <item x="125"/>
        <item x="25"/>
        <item x="953"/>
        <item x="893"/>
        <item x="867"/>
        <item x="566"/>
        <item x="406"/>
        <item x="377"/>
        <item x="729"/>
        <item x="907"/>
        <item x="174"/>
        <item x="948"/>
        <item x="764"/>
        <item x="512"/>
        <item x="691"/>
        <item x="816"/>
        <item x="118"/>
        <item x="550"/>
        <item x="152"/>
        <item x="412"/>
        <item x="530"/>
        <item x="731"/>
        <item x="664"/>
        <item x="587"/>
        <item x="384"/>
        <item x="61"/>
        <item x="98"/>
        <item x="539"/>
        <item x="228"/>
        <item x="830"/>
        <item x="65"/>
        <item x="331"/>
        <item x="862"/>
        <item x="54"/>
        <item x="277"/>
        <item x="577"/>
        <item x="524"/>
        <item x="672"/>
        <item x="328"/>
        <item x="864"/>
        <item x="162"/>
        <item x="480"/>
        <item x="506"/>
        <item x="532"/>
        <item x="609"/>
        <item x="686"/>
        <item x="863"/>
        <item x="902"/>
        <item x="756"/>
        <item x="443"/>
        <item x="625"/>
        <item x="955"/>
        <item x="447"/>
        <item x="134"/>
        <item x="746"/>
        <item x="673"/>
        <item x="780"/>
        <item x="698"/>
        <item x="442"/>
        <item x="280"/>
        <item x="508"/>
        <item x="313"/>
        <item x="375"/>
        <item x="911"/>
        <item x="283"/>
        <item x="477"/>
        <item x="115"/>
        <item x="637"/>
        <item x="165"/>
        <item x="113"/>
        <item x="347"/>
        <item x="794"/>
        <item x="42"/>
        <item x="642"/>
        <item x="894"/>
        <item x="926"/>
        <item x="247"/>
        <item x="379"/>
        <item x="735"/>
        <item x="45"/>
        <item x="497"/>
        <item x="775"/>
        <item x="712"/>
        <item x="482"/>
        <item x="641"/>
        <item x="573"/>
        <item x="171"/>
        <item x="96"/>
        <item x="576"/>
        <item x="153"/>
        <item x="670"/>
        <item x="946"/>
        <item x="163"/>
        <item x="483"/>
        <item x="334"/>
        <item x="770"/>
        <item x="32"/>
        <item x="540"/>
        <item x="589"/>
        <item x="343"/>
        <item x="704"/>
        <item x="963"/>
        <item x="129"/>
        <item x="659"/>
        <item x="329"/>
        <item x="882"/>
        <item x="276"/>
        <item x="687"/>
        <item x="645"/>
        <item x="628"/>
        <item x="211"/>
        <item x="84"/>
        <item x="849"/>
        <item x="348"/>
        <item x="250"/>
        <item x="437"/>
        <item x="49"/>
        <item x="750"/>
        <item x="501"/>
        <item x="677"/>
        <item x="353"/>
        <item x="768"/>
        <item x="837"/>
        <item x="438"/>
        <item x="80"/>
        <item x="568"/>
        <item x="668"/>
        <item x="282"/>
        <item x="73"/>
        <item x="468"/>
        <item x="383"/>
        <item x="886"/>
        <item x="396"/>
        <item x="26"/>
        <item x="27"/>
        <item x="307"/>
        <item x="181"/>
        <item x="703"/>
        <item x="898"/>
        <item x="439"/>
        <item x="184"/>
        <item x="270"/>
        <item x="717"/>
        <item x="71"/>
        <item x="110"/>
        <item x="417"/>
        <item x="457"/>
        <item x="143"/>
        <item x="590"/>
        <item x="929"/>
        <item x="783"/>
        <item x="904"/>
        <item x="627"/>
        <item x="199"/>
        <item x="559"/>
        <item x="925"/>
        <item x="613"/>
        <item x="492"/>
        <item x="107"/>
        <item x="257"/>
        <item x="47"/>
        <item x="382"/>
        <item x="517"/>
        <item x="398"/>
        <item x="295"/>
        <item x="371"/>
        <item x="258"/>
        <item x="123"/>
        <item x="754"/>
        <item x="932"/>
        <item x="408"/>
        <item x="649"/>
        <item x="245"/>
        <item x="869"/>
        <item x="825"/>
        <item x="588"/>
        <item x="875"/>
        <item x="653"/>
        <item x="510"/>
        <item x="82"/>
        <item x="850"/>
        <item x="135"/>
        <item x="679"/>
        <item x="582"/>
        <item x="292"/>
        <item x="226"/>
        <item x="854"/>
        <item x="57"/>
        <item x="70"/>
        <item x="444"/>
        <item x="743"/>
        <item x="534"/>
        <item x="33"/>
        <item x="669"/>
        <item x="760"/>
        <item x="128"/>
        <item x="119"/>
        <item x="880"/>
        <item x="297"/>
        <item x="525"/>
        <item x="124"/>
        <item x="121"/>
        <item x="392"/>
        <item x="182"/>
        <item x="311"/>
        <item x="358"/>
        <item x="159"/>
        <item x="339"/>
        <item x="349"/>
        <item x="361"/>
        <item x="855"/>
        <item x="593"/>
        <item x="370"/>
        <item x="638"/>
        <item x="476"/>
        <item x="440"/>
        <item x="947"/>
        <item x="470"/>
        <item x="386"/>
        <item x="831"/>
        <item x="230"/>
        <item x="254"/>
        <item x="744"/>
        <item x="496"/>
        <item x="899"/>
        <item x="811"/>
        <item x="431"/>
        <item x="74"/>
        <item x="680"/>
        <item x="758"/>
        <item x="943"/>
        <item x="644"/>
        <item x="148"/>
        <item x="722"/>
        <item x="676"/>
        <item x="388"/>
        <item x="399"/>
        <item x="336"/>
        <item x="716"/>
        <item x="889"/>
        <item x="215"/>
        <item x="918"/>
        <item x="132"/>
        <item x="436"/>
        <item x="424"/>
        <item x="821"/>
        <item x="461"/>
        <item x="94"/>
        <item x="522"/>
        <item x="471"/>
        <item x="696"/>
        <item x="51"/>
        <item x="169"/>
        <item x="189"/>
        <item x="620"/>
        <item x="200"/>
        <item x="402"/>
        <item x="403"/>
        <item x="832"/>
        <item x="529"/>
        <item x="120"/>
        <item x="432"/>
        <item x="614"/>
        <item x="175"/>
        <item x="857"/>
        <item x="186"/>
        <item x="407"/>
        <item x="341"/>
        <item x="916"/>
        <item x="10"/>
        <item x="765"/>
        <item x="127"/>
        <item x="493"/>
        <item x="905"/>
        <item x="109"/>
        <item x="63"/>
        <item x="806"/>
        <item x="416"/>
        <item x="555"/>
        <item x="584"/>
        <item x="469"/>
        <item x="206"/>
        <item x="390"/>
        <item x="526"/>
        <item x="28"/>
        <item x="218"/>
        <item x="428"/>
        <item x="915"/>
        <item x="448"/>
        <item x="804"/>
        <item x="807"/>
        <item x="193"/>
        <item x="318"/>
        <item x="219"/>
        <item x="300"/>
        <item x="290"/>
        <item x="912"/>
        <item x="699"/>
        <item x="380"/>
        <item x="660"/>
        <item x="221"/>
        <item x="924"/>
        <item x="2"/>
        <item x="693"/>
        <item x="554"/>
        <item x="261"/>
        <item x="675"/>
        <item x="222"/>
        <item x="705"/>
        <item x="168"/>
        <item x="546"/>
        <item x="183"/>
        <item x="259"/>
        <item x="37"/>
        <item x="31"/>
        <item x="85"/>
        <item x="315"/>
        <item x="29"/>
        <item x="707"/>
        <item x="776"/>
        <item x="601"/>
        <item x="151"/>
        <item x="591"/>
        <item x="881"/>
        <item x="599"/>
        <item x="93"/>
        <item x="433"/>
        <item x="367"/>
        <item x="791"/>
        <item x="846"/>
        <item x="335"/>
        <item x="934"/>
        <item x="845"/>
        <item x="462"/>
        <item x="284"/>
        <item x="884"/>
        <item x="619"/>
        <item x="185"/>
        <item x="813"/>
        <item x="785"/>
        <item x="763"/>
        <item x="870"/>
        <item x="611"/>
        <item x="252"/>
        <item x="263"/>
        <item x="326"/>
        <item x="552"/>
        <item x="954"/>
        <item x="648"/>
        <item x="595"/>
        <item x="742"/>
        <item x="274"/>
        <item x="187"/>
        <item x="40"/>
        <item x="937"/>
        <item x="176"/>
        <item x="426"/>
        <item x="547"/>
        <item x="636"/>
        <item x="64"/>
        <item x="312"/>
        <item x="337"/>
        <item x="949"/>
        <item x="452"/>
        <item x="205"/>
        <item x="155"/>
        <item x="685"/>
        <item x="59"/>
        <item x="236"/>
        <item x="363"/>
        <item x="53"/>
        <item x="800"/>
        <item x="195"/>
        <item x="106"/>
        <item x="5"/>
        <item x="3"/>
        <item x="594"/>
        <item x="166"/>
        <item x="459"/>
        <item x="239"/>
        <item x="149"/>
        <item x="802"/>
        <item x="251"/>
        <item x="463"/>
        <item x="271"/>
        <item x="535"/>
        <item x="105"/>
        <item x="146"/>
        <item x="21"/>
        <item x="41"/>
        <item x="52"/>
        <item x="145"/>
        <item x="616"/>
        <item x="822"/>
        <item x="491"/>
        <item x="108"/>
        <item x="820"/>
        <item x="68"/>
        <item x="608"/>
        <item x="253"/>
        <item x="246"/>
        <item x="605"/>
        <item x="414"/>
        <item x="757"/>
        <item x="368"/>
        <item x="472"/>
        <item x="787"/>
        <item x="90"/>
        <item x="8"/>
        <item x="505"/>
        <item x="500"/>
        <item x="543"/>
        <item x="255"/>
        <item x="890"/>
        <item x="656"/>
        <item x="256"/>
        <item x="240"/>
        <item x="235"/>
        <item x="655"/>
        <item x="701"/>
        <item x="147"/>
        <item x="275"/>
        <item x="427"/>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6">
    <i>
      <x v="930"/>
    </i>
    <i>
      <x v="804"/>
    </i>
    <i>
      <x v="740"/>
    </i>
    <i>
      <x v="811"/>
    </i>
    <i>
      <x v="649"/>
    </i>
    <i t="grand">
      <x/>
    </i>
  </rowItems>
  <colItems count="1">
    <i/>
  </colItems>
  <dataFields count="1">
    <dataField name="Sum of Sales Amount" fld="1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0" type="count" evalOrder="-1" id="1" iMeasureFld="0">
      <autoFilter ref="A1">
        <filterColumn colId="0">
          <top10 val="10" filterVal="10"/>
        </filterColumn>
      </autoFilter>
    </filter>
    <filter fld="1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7480FA3-717F-4FE2-94C8-F809FC59D43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0:H11" firstHeaderRow="1" firstDataRow="1" firstDataCol="0"/>
  <pivotFields count="28">
    <pivotField showAll="0"/>
    <pivotField numFmtId="14" showAll="0">
      <items count="541">
        <item x="108"/>
        <item x="213"/>
        <item x="89"/>
        <item x="469"/>
        <item x="521"/>
        <item x="147"/>
        <item x="319"/>
        <item x="64"/>
        <item x="133"/>
        <item x="190"/>
        <item x="418"/>
        <item x="395"/>
        <item x="27"/>
        <item x="538"/>
        <item x="354"/>
        <item x="405"/>
        <item x="366"/>
        <item x="106"/>
        <item x="90"/>
        <item x="37"/>
        <item x="111"/>
        <item x="236"/>
        <item x="397"/>
        <item x="513"/>
        <item x="289"/>
        <item x="367"/>
        <item x="426"/>
        <item x="35"/>
        <item x="55"/>
        <item x="141"/>
        <item x="393"/>
        <item x="210"/>
        <item x="368"/>
        <item x="46"/>
        <item x="349"/>
        <item x="416"/>
        <item x="248"/>
        <item x="252"/>
        <item x="283"/>
        <item x="15"/>
        <item x="525"/>
        <item x="479"/>
        <item x="78"/>
        <item x="495"/>
        <item x="414"/>
        <item x="217"/>
        <item x="84"/>
        <item x="486"/>
        <item x="300"/>
        <item x="235"/>
        <item x="65"/>
        <item x="304"/>
        <item x="72"/>
        <item x="208"/>
        <item x="310"/>
        <item x="528"/>
        <item x="380"/>
        <item x="400"/>
        <item x="494"/>
        <item x="127"/>
        <item x="446"/>
        <item x="502"/>
        <item x="352"/>
        <item x="131"/>
        <item x="527"/>
        <item x="520"/>
        <item x="322"/>
        <item x="451"/>
        <item x="530"/>
        <item x="158"/>
        <item x="427"/>
        <item x="31"/>
        <item x="480"/>
        <item x="12"/>
        <item x="242"/>
        <item x="465"/>
        <item x="497"/>
        <item x="176"/>
        <item x="338"/>
        <item x="347"/>
        <item x="263"/>
        <item x="44"/>
        <item x="514"/>
        <item x="384"/>
        <item x="197"/>
        <item x="189"/>
        <item x="151"/>
        <item x="522"/>
        <item x="50"/>
        <item x="21"/>
        <item x="537"/>
        <item x="19"/>
        <item x="386"/>
        <item x="130"/>
        <item x="394"/>
        <item x="363"/>
        <item x="61"/>
        <item x="237"/>
        <item x="24"/>
        <item x="339"/>
        <item x="5"/>
        <item x="466"/>
        <item x="341"/>
        <item x="251"/>
        <item x="398"/>
        <item x="435"/>
        <item x="429"/>
        <item x="288"/>
        <item x="48"/>
        <item x="311"/>
        <item x="128"/>
        <item x="247"/>
        <item x="253"/>
        <item x="298"/>
        <item x="383"/>
        <item x="501"/>
        <item x="119"/>
        <item x="292"/>
        <item x="438"/>
        <item x="433"/>
        <item x="94"/>
        <item x="73"/>
        <item x="334"/>
        <item x="103"/>
        <item x="297"/>
        <item x="142"/>
        <item x="110"/>
        <item x="508"/>
        <item x="129"/>
        <item x="191"/>
        <item x="415"/>
        <item x="97"/>
        <item x="328"/>
        <item x="232"/>
        <item x="92"/>
        <item x="180"/>
        <item x="379"/>
        <item x="456"/>
        <item x="269"/>
        <item x="315"/>
        <item x="459"/>
        <item x="294"/>
        <item x="254"/>
        <item x="471"/>
        <item x="258"/>
        <item x="205"/>
        <item x="249"/>
        <item x="449"/>
        <item x="54"/>
        <item x="260"/>
        <item x="401"/>
        <item x="183"/>
        <item x="493"/>
        <item x="272"/>
        <item x="323"/>
        <item x="360"/>
        <item x="255"/>
        <item x="126"/>
        <item x="171"/>
        <item x="188"/>
        <item x="10"/>
        <item x="168"/>
        <item x="135"/>
        <item x="32"/>
        <item x="67"/>
        <item x="287"/>
        <item x="439"/>
        <item x="57"/>
        <item x="499"/>
        <item x="221"/>
        <item x="245"/>
        <item x="209"/>
        <item x="93"/>
        <item x="348"/>
        <item x="462"/>
        <item x="343"/>
        <item x="155"/>
        <item x="290"/>
        <item x="452"/>
        <item x="327"/>
        <item x="23"/>
        <item x="154"/>
        <item x="42"/>
        <item x="172"/>
        <item x="460"/>
        <item x="145"/>
        <item x="407"/>
        <item x="36"/>
        <item x="332"/>
        <item x="356"/>
        <item x="25"/>
        <item x="152"/>
        <item x="33"/>
        <item x="385"/>
        <item x="280"/>
        <item x="234"/>
        <item x="422"/>
        <item x="498"/>
        <item x="270"/>
        <item x="3"/>
        <item x="216"/>
        <item x="482"/>
        <item x="165"/>
        <item x="26"/>
        <item x="240"/>
        <item x="330"/>
        <item x="125"/>
        <item x="442"/>
        <item x="282"/>
        <item x="299"/>
        <item x="207"/>
        <item x="335"/>
        <item x="58"/>
        <item x="440"/>
        <item x="76"/>
        <item x="193"/>
        <item x="390"/>
        <item x="228"/>
        <item x="357"/>
        <item x="329"/>
        <item x="476"/>
        <item x="95"/>
        <item x="20"/>
        <item x="199"/>
        <item x="396"/>
        <item x="372"/>
        <item x="336"/>
        <item x="9"/>
        <item x="59"/>
        <item x="75"/>
        <item x="262"/>
        <item x="14"/>
        <item x="309"/>
        <item x="107"/>
        <item x="526"/>
        <item x="410"/>
        <item x="71"/>
        <item x="488"/>
        <item x="114"/>
        <item x="81"/>
        <item x="267"/>
        <item x="196"/>
        <item x="437"/>
        <item x="425"/>
        <item x="104"/>
        <item x="214"/>
        <item x="351"/>
        <item x="317"/>
        <item x="293"/>
        <item x="424"/>
        <item x="201"/>
        <item x="100"/>
        <item x="423"/>
        <item x="301"/>
        <item x="419"/>
        <item x="313"/>
        <item x="273"/>
        <item x="261"/>
        <item x="314"/>
        <item x="345"/>
        <item x="318"/>
        <item x="60"/>
        <item x="333"/>
        <item x="56"/>
        <item x="132"/>
        <item x="4"/>
        <item x="445"/>
        <item x="490"/>
        <item x="137"/>
        <item x="387"/>
        <item x="18"/>
        <item x="264"/>
        <item x="45"/>
        <item x="392"/>
        <item x="175"/>
        <item x="420"/>
        <item x="79"/>
        <item x="463"/>
        <item x="534"/>
        <item x="431"/>
        <item x="461"/>
        <item x="43"/>
        <item x="40"/>
        <item x="77"/>
        <item x="517"/>
        <item x="167"/>
        <item x="11"/>
        <item x="6"/>
        <item x="212"/>
        <item x="453"/>
        <item x="143"/>
        <item x="182"/>
        <item x="454"/>
        <item x="241"/>
        <item x="279"/>
        <item x="150"/>
        <item x="361"/>
        <item x="164"/>
        <item x="268"/>
        <item x="492"/>
        <item x="195"/>
        <item x="306"/>
        <item x="444"/>
        <item x="0"/>
        <item x="146"/>
        <item x="82"/>
        <item x="342"/>
        <item x="447"/>
        <item x="200"/>
        <item x="87"/>
        <item x="38"/>
        <item x="503"/>
        <item x="243"/>
        <item x="124"/>
        <item x="148"/>
        <item x="474"/>
        <item x="382"/>
        <item x="187"/>
        <item x="340"/>
        <item x="509"/>
        <item x="487"/>
        <item x="376"/>
        <item x="326"/>
        <item x="231"/>
        <item x="371"/>
        <item x="325"/>
        <item x="358"/>
        <item x="417"/>
        <item x="115"/>
        <item x="496"/>
        <item x="28"/>
        <item x="219"/>
        <item x="344"/>
        <item x="412"/>
        <item x="473"/>
        <item x="403"/>
        <item x="529"/>
        <item x="257"/>
        <item x="524"/>
        <item x="85"/>
        <item x="388"/>
        <item x="312"/>
        <item x="122"/>
        <item x="320"/>
        <item x="355"/>
        <item x="238"/>
        <item x="483"/>
        <item x="276"/>
        <item x="246"/>
        <item x="173"/>
        <item x="364"/>
        <item x="353"/>
        <item x="136"/>
        <item x="53"/>
        <item x="259"/>
        <item x="516"/>
        <item x="365"/>
        <item x="278"/>
        <item x="161"/>
        <item x="470"/>
        <item x="34"/>
        <item x="134"/>
        <item x="303"/>
        <item x="68"/>
        <item x="121"/>
        <item x="481"/>
        <item x="455"/>
        <item x="472"/>
        <item x="389"/>
        <item x="140"/>
        <item x="181"/>
        <item x="518"/>
        <item x="434"/>
        <item x="144"/>
        <item x="277"/>
        <item x="500"/>
        <item x="507"/>
        <item x="52"/>
        <item x="174"/>
        <item x="7"/>
        <item x="88"/>
        <item x="163"/>
        <item x="49"/>
        <item x="138"/>
        <item x="160"/>
        <item x="489"/>
        <item x="29"/>
        <item x="157"/>
        <item x="381"/>
        <item x="511"/>
        <item x="256"/>
        <item x="373"/>
        <item x="285"/>
        <item x="239"/>
        <item x="86"/>
        <item x="450"/>
        <item x="271"/>
        <item x="184"/>
        <item x="477"/>
        <item x="223"/>
        <item x="284"/>
        <item x="515"/>
        <item x="265"/>
        <item x="404"/>
        <item x="421"/>
        <item x="117"/>
        <item x="178"/>
        <item x="391"/>
        <item x="203"/>
        <item x="406"/>
        <item x="275"/>
        <item x="399"/>
        <item x="177"/>
        <item x="533"/>
        <item x="305"/>
        <item x="512"/>
        <item x="350"/>
        <item x="308"/>
        <item x="475"/>
        <item x="531"/>
        <item x="222"/>
        <item x="464"/>
        <item x="430"/>
        <item x="41"/>
        <item x="536"/>
        <item x="286"/>
        <item x="99"/>
        <item x="162"/>
        <item x="202"/>
        <item x="244"/>
        <item x="484"/>
        <item x="226"/>
        <item x="204"/>
        <item x="159"/>
        <item x="22"/>
        <item x="218"/>
        <item x="47"/>
        <item x="458"/>
        <item x="224"/>
        <item x="225"/>
        <item x="535"/>
        <item x="337"/>
        <item x="230"/>
        <item x="505"/>
        <item x="13"/>
        <item x="296"/>
        <item x="69"/>
        <item x="402"/>
        <item x="485"/>
        <item x="74"/>
        <item x="101"/>
        <item x="369"/>
        <item x="302"/>
        <item x="51"/>
        <item x="118"/>
        <item x="374"/>
        <item x="123"/>
        <item x="186"/>
        <item x="321"/>
        <item x="370"/>
        <item x="62"/>
        <item x="436"/>
        <item x="156"/>
        <item x="467"/>
        <item x="91"/>
        <item x="105"/>
        <item x="1"/>
        <item x="109"/>
        <item x="539"/>
        <item x="468"/>
        <item x="441"/>
        <item x="519"/>
        <item x="80"/>
        <item x="192"/>
        <item x="63"/>
        <item x="98"/>
        <item x="185"/>
        <item x="346"/>
        <item x="30"/>
        <item x="112"/>
        <item x="411"/>
        <item x="266"/>
        <item x="506"/>
        <item x="375"/>
        <item x="413"/>
        <item x="170"/>
        <item x="70"/>
        <item x="198"/>
        <item x="504"/>
        <item x="250"/>
        <item x="331"/>
        <item x="194"/>
        <item x="457"/>
        <item x="274"/>
        <item x="377"/>
        <item x="443"/>
        <item x="307"/>
        <item x="362"/>
        <item x="206"/>
        <item x="229"/>
        <item x="448"/>
        <item x="523"/>
        <item x="215"/>
        <item x="220"/>
        <item x="211"/>
        <item x="324"/>
        <item x="149"/>
        <item x="116"/>
        <item x="153"/>
        <item x="316"/>
        <item x="491"/>
        <item x="179"/>
        <item x="83"/>
        <item x="166"/>
        <item x="478"/>
        <item x="295"/>
        <item x="227"/>
        <item x="432"/>
        <item x="428"/>
        <item x="113"/>
        <item x="359"/>
        <item x="8"/>
        <item x="281"/>
        <item x="39"/>
        <item x="409"/>
        <item x="378"/>
        <item x="291"/>
        <item x="233"/>
        <item x="139"/>
        <item x="96"/>
        <item x="2"/>
        <item x="102"/>
        <item x="66"/>
        <item x="408"/>
        <item x="510"/>
        <item x="16"/>
        <item x="120"/>
        <item x="17"/>
        <item x="532"/>
        <item x="169"/>
        <item t="default"/>
      </items>
    </pivotField>
    <pivotField numFmtId="14" showAll="0"/>
    <pivotField showAll="0"/>
    <pivotField showAll="0"/>
    <pivotField showAll="0">
      <items count="4">
        <item x="2"/>
        <item x="1"/>
        <item x="0"/>
        <item t="default"/>
      </items>
    </pivotField>
    <pivotField showAll="0"/>
    <pivotField showAll="0"/>
    <pivotField showAll="0">
      <items count="5">
        <item x="1"/>
        <item x="2"/>
        <item x="3"/>
        <item x="0"/>
        <item t="default"/>
      </items>
    </pivotField>
    <pivotField showAll="0">
      <items count="5">
        <item x="3"/>
        <item x="0"/>
        <item x="1"/>
        <item x="2"/>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Avg Unit Price" fld="13" subtotal="average" baseField="0" baseItem="0" numFmtId="167"/>
  </dataFields>
  <formats count="1">
    <format dxfId="1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A795C9A-98B1-4F77-AB1E-C612E4BB5B7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6:H7" firstHeaderRow="1" firstDataRow="1" firstDataCol="0"/>
  <pivotFields count="28">
    <pivotField showAll="0"/>
    <pivotField numFmtId="14" showAll="0">
      <items count="541">
        <item x="108"/>
        <item x="213"/>
        <item x="89"/>
        <item x="469"/>
        <item x="521"/>
        <item x="147"/>
        <item x="319"/>
        <item x="64"/>
        <item x="133"/>
        <item x="190"/>
        <item x="418"/>
        <item x="395"/>
        <item x="27"/>
        <item x="538"/>
        <item x="354"/>
        <item x="405"/>
        <item x="366"/>
        <item x="106"/>
        <item x="90"/>
        <item x="37"/>
        <item x="111"/>
        <item x="236"/>
        <item x="397"/>
        <item x="513"/>
        <item x="289"/>
        <item x="367"/>
        <item x="426"/>
        <item x="35"/>
        <item x="55"/>
        <item x="141"/>
        <item x="393"/>
        <item x="210"/>
        <item x="368"/>
        <item x="46"/>
        <item x="349"/>
        <item x="416"/>
        <item x="248"/>
        <item x="252"/>
        <item x="283"/>
        <item x="15"/>
        <item x="525"/>
        <item x="479"/>
        <item x="78"/>
        <item x="495"/>
        <item x="414"/>
        <item x="217"/>
        <item x="84"/>
        <item x="486"/>
        <item x="300"/>
        <item x="235"/>
        <item x="65"/>
        <item x="304"/>
        <item x="72"/>
        <item x="208"/>
        <item x="310"/>
        <item x="528"/>
        <item x="380"/>
        <item x="400"/>
        <item x="494"/>
        <item x="127"/>
        <item x="446"/>
        <item x="502"/>
        <item x="352"/>
        <item x="131"/>
        <item x="527"/>
        <item x="520"/>
        <item x="322"/>
        <item x="451"/>
        <item x="530"/>
        <item x="158"/>
        <item x="427"/>
        <item x="31"/>
        <item x="480"/>
        <item x="12"/>
        <item x="242"/>
        <item x="465"/>
        <item x="497"/>
        <item x="176"/>
        <item x="338"/>
        <item x="347"/>
        <item x="263"/>
        <item x="44"/>
        <item x="514"/>
        <item x="384"/>
        <item x="197"/>
        <item x="189"/>
        <item x="151"/>
        <item x="522"/>
        <item x="50"/>
        <item x="21"/>
        <item x="537"/>
        <item x="19"/>
        <item x="386"/>
        <item x="130"/>
        <item x="394"/>
        <item x="363"/>
        <item x="61"/>
        <item x="237"/>
        <item x="24"/>
        <item x="339"/>
        <item x="5"/>
        <item x="466"/>
        <item x="341"/>
        <item x="251"/>
        <item x="398"/>
        <item x="435"/>
        <item x="429"/>
        <item x="288"/>
        <item x="48"/>
        <item x="311"/>
        <item x="128"/>
        <item x="247"/>
        <item x="253"/>
        <item x="298"/>
        <item x="383"/>
        <item x="501"/>
        <item x="119"/>
        <item x="292"/>
        <item x="438"/>
        <item x="433"/>
        <item x="94"/>
        <item x="73"/>
        <item x="334"/>
        <item x="103"/>
        <item x="297"/>
        <item x="142"/>
        <item x="110"/>
        <item x="508"/>
        <item x="129"/>
        <item x="191"/>
        <item x="415"/>
        <item x="97"/>
        <item x="328"/>
        <item x="232"/>
        <item x="92"/>
        <item x="180"/>
        <item x="379"/>
        <item x="456"/>
        <item x="269"/>
        <item x="315"/>
        <item x="459"/>
        <item x="294"/>
        <item x="254"/>
        <item x="471"/>
        <item x="258"/>
        <item x="205"/>
        <item x="249"/>
        <item x="449"/>
        <item x="54"/>
        <item x="260"/>
        <item x="401"/>
        <item x="183"/>
        <item x="493"/>
        <item x="272"/>
        <item x="323"/>
        <item x="360"/>
        <item x="255"/>
        <item x="126"/>
        <item x="171"/>
        <item x="188"/>
        <item x="10"/>
        <item x="168"/>
        <item x="135"/>
        <item x="32"/>
        <item x="67"/>
        <item x="287"/>
        <item x="439"/>
        <item x="57"/>
        <item x="499"/>
        <item x="221"/>
        <item x="245"/>
        <item x="209"/>
        <item x="93"/>
        <item x="348"/>
        <item x="462"/>
        <item x="343"/>
        <item x="155"/>
        <item x="290"/>
        <item x="452"/>
        <item x="327"/>
        <item x="23"/>
        <item x="154"/>
        <item x="42"/>
        <item x="172"/>
        <item x="460"/>
        <item x="145"/>
        <item x="407"/>
        <item x="36"/>
        <item x="332"/>
        <item x="356"/>
        <item x="25"/>
        <item x="152"/>
        <item x="33"/>
        <item x="385"/>
        <item x="280"/>
        <item x="234"/>
        <item x="422"/>
        <item x="498"/>
        <item x="270"/>
        <item x="3"/>
        <item x="216"/>
        <item x="482"/>
        <item x="165"/>
        <item x="26"/>
        <item x="240"/>
        <item x="330"/>
        <item x="125"/>
        <item x="442"/>
        <item x="282"/>
        <item x="299"/>
        <item x="207"/>
        <item x="335"/>
        <item x="58"/>
        <item x="440"/>
        <item x="76"/>
        <item x="193"/>
        <item x="390"/>
        <item x="228"/>
        <item x="357"/>
        <item x="329"/>
        <item x="476"/>
        <item x="95"/>
        <item x="20"/>
        <item x="199"/>
        <item x="396"/>
        <item x="372"/>
        <item x="336"/>
        <item x="9"/>
        <item x="59"/>
        <item x="75"/>
        <item x="262"/>
        <item x="14"/>
        <item x="309"/>
        <item x="107"/>
        <item x="526"/>
        <item x="410"/>
        <item x="71"/>
        <item x="488"/>
        <item x="114"/>
        <item x="81"/>
        <item x="267"/>
        <item x="196"/>
        <item x="437"/>
        <item x="425"/>
        <item x="104"/>
        <item x="214"/>
        <item x="351"/>
        <item x="317"/>
        <item x="293"/>
        <item x="424"/>
        <item x="201"/>
        <item x="100"/>
        <item x="423"/>
        <item x="301"/>
        <item x="419"/>
        <item x="313"/>
        <item x="273"/>
        <item x="261"/>
        <item x="314"/>
        <item x="345"/>
        <item x="318"/>
        <item x="60"/>
        <item x="333"/>
        <item x="56"/>
        <item x="132"/>
        <item x="4"/>
        <item x="445"/>
        <item x="490"/>
        <item x="137"/>
        <item x="387"/>
        <item x="18"/>
        <item x="264"/>
        <item x="45"/>
        <item x="392"/>
        <item x="175"/>
        <item x="420"/>
        <item x="79"/>
        <item x="463"/>
        <item x="534"/>
        <item x="431"/>
        <item x="461"/>
        <item x="43"/>
        <item x="40"/>
        <item x="77"/>
        <item x="517"/>
        <item x="167"/>
        <item x="11"/>
        <item x="6"/>
        <item x="212"/>
        <item x="453"/>
        <item x="143"/>
        <item x="182"/>
        <item x="454"/>
        <item x="241"/>
        <item x="279"/>
        <item x="150"/>
        <item x="361"/>
        <item x="164"/>
        <item x="268"/>
        <item x="492"/>
        <item x="195"/>
        <item x="306"/>
        <item x="444"/>
        <item x="0"/>
        <item x="146"/>
        <item x="82"/>
        <item x="342"/>
        <item x="447"/>
        <item x="200"/>
        <item x="87"/>
        <item x="38"/>
        <item x="503"/>
        <item x="243"/>
        <item x="124"/>
        <item x="148"/>
        <item x="474"/>
        <item x="382"/>
        <item x="187"/>
        <item x="340"/>
        <item x="509"/>
        <item x="487"/>
        <item x="376"/>
        <item x="326"/>
        <item x="231"/>
        <item x="371"/>
        <item x="325"/>
        <item x="358"/>
        <item x="417"/>
        <item x="115"/>
        <item x="496"/>
        <item x="28"/>
        <item x="219"/>
        <item x="344"/>
        <item x="412"/>
        <item x="473"/>
        <item x="403"/>
        <item x="529"/>
        <item x="257"/>
        <item x="524"/>
        <item x="85"/>
        <item x="388"/>
        <item x="312"/>
        <item x="122"/>
        <item x="320"/>
        <item x="355"/>
        <item x="238"/>
        <item x="483"/>
        <item x="276"/>
        <item x="246"/>
        <item x="173"/>
        <item x="364"/>
        <item x="353"/>
        <item x="136"/>
        <item x="53"/>
        <item x="259"/>
        <item x="516"/>
        <item x="365"/>
        <item x="278"/>
        <item x="161"/>
        <item x="470"/>
        <item x="34"/>
        <item x="134"/>
        <item x="303"/>
        <item x="68"/>
        <item x="121"/>
        <item x="481"/>
        <item x="455"/>
        <item x="472"/>
        <item x="389"/>
        <item x="140"/>
        <item x="181"/>
        <item x="518"/>
        <item x="434"/>
        <item x="144"/>
        <item x="277"/>
        <item x="500"/>
        <item x="507"/>
        <item x="52"/>
        <item x="174"/>
        <item x="7"/>
        <item x="88"/>
        <item x="163"/>
        <item x="49"/>
        <item x="138"/>
        <item x="160"/>
        <item x="489"/>
        <item x="29"/>
        <item x="157"/>
        <item x="381"/>
        <item x="511"/>
        <item x="256"/>
        <item x="373"/>
        <item x="285"/>
        <item x="239"/>
        <item x="86"/>
        <item x="450"/>
        <item x="271"/>
        <item x="184"/>
        <item x="477"/>
        <item x="223"/>
        <item x="284"/>
        <item x="515"/>
        <item x="265"/>
        <item x="404"/>
        <item x="421"/>
        <item x="117"/>
        <item x="178"/>
        <item x="391"/>
        <item x="203"/>
        <item x="406"/>
        <item x="275"/>
        <item x="399"/>
        <item x="177"/>
        <item x="533"/>
        <item x="305"/>
        <item x="512"/>
        <item x="350"/>
        <item x="308"/>
        <item x="475"/>
        <item x="531"/>
        <item x="222"/>
        <item x="464"/>
        <item x="430"/>
        <item x="41"/>
        <item x="536"/>
        <item x="286"/>
        <item x="99"/>
        <item x="162"/>
        <item x="202"/>
        <item x="244"/>
        <item x="484"/>
        <item x="226"/>
        <item x="204"/>
        <item x="159"/>
        <item x="22"/>
        <item x="218"/>
        <item x="47"/>
        <item x="458"/>
        <item x="224"/>
        <item x="225"/>
        <item x="535"/>
        <item x="337"/>
        <item x="230"/>
        <item x="505"/>
        <item x="13"/>
        <item x="296"/>
        <item x="69"/>
        <item x="402"/>
        <item x="485"/>
        <item x="74"/>
        <item x="101"/>
        <item x="369"/>
        <item x="302"/>
        <item x="51"/>
        <item x="118"/>
        <item x="374"/>
        <item x="123"/>
        <item x="186"/>
        <item x="321"/>
        <item x="370"/>
        <item x="62"/>
        <item x="436"/>
        <item x="156"/>
        <item x="467"/>
        <item x="91"/>
        <item x="105"/>
        <item x="1"/>
        <item x="109"/>
        <item x="539"/>
        <item x="468"/>
        <item x="441"/>
        <item x="519"/>
        <item x="80"/>
        <item x="192"/>
        <item x="63"/>
        <item x="98"/>
        <item x="185"/>
        <item x="346"/>
        <item x="30"/>
        <item x="112"/>
        <item x="411"/>
        <item x="266"/>
        <item x="506"/>
        <item x="375"/>
        <item x="413"/>
        <item x="170"/>
        <item x="70"/>
        <item x="198"/>
        <item x="504"/>
        <item x="250"/>
        <item x="331"/>
        <item x="194"/>
        <item x="457"/>
        <item x="274"/>
        <item x="377"/>
        <item x="443"/>
        <item x="307"/>
        <item x="362"/>
        <item x="206"/>
        <item x="229"/>
        <item x="448"/>
        <item x="523"/>
        <item x="215"/>
        <item x="220"/>
        <item x="211"/>
        <item x="324"/>
        <item x="149"/>
        <item x="116"/>
        <item x="153"/>
        <item x="316"/>
        <item x="491"/>
        <item x="179"/>
        <item x="83"/>
        <item x="166"/>
        <item x="478"/>
        <item x="295"/>
        <item x="227"/>
        <item x="432"/>
        <item x="428"/>
        <item x="113"/>
        <item x="359"/>
        <item x="8"/>
        <item x="281"/>
        <item x="39"/>
        <item x="409"/>
        <item x="378"/>
        <item x="291"/>
        <item x="233"/>
        <item x="139"/>
        <item x="96"/>
        <item x="2"/>
        <item x="102"/>
        <item x="66"/>
        <item x="408"/>
        <item x="510"/>
        <item x="16"/>
        <item x="120"/>
        <item x="17"/>
        <item x="532"/>
        <item x="169"/>
        <item t="default"/>
      </items>
    </pivotField>
    <pivotField numFmtId="14" showAll="0"/>
    <pivotField showAll="0"/>
    <pivotField showAll="0"/>
    <pivotField showAll="0">
      <items count="4">
        <item x="2"/>
        <item x="1"/>
        <item x="0"/>
        <item t="default"/>
      </items>
    </pivotField>
    <pivotField showAll="0"/>
    <pivotField showAll="0"/>
    <pivotField showAll="0">
      <items count="5">
        <item x="1"/>
        <item x="2"/>
        <item x="3"/>
        <item x="0"/>
        <item t="default"/>
      </items>
    </pivotField>
    <pivotField showAll="0">
      <items count="5">
        <item x="3"/>
        <item x="0"/>
        <item x="1"/>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Sum of Sales Amount" fld="15" baseField="0" baseItem="0" numFmtId="165"/>
  </dataFields>
  <formats count="1">
    <format dxfId="1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A9810D4C-8D1C-442F-AA24-42F1CED6D8B8}" sourceName="Years (Order Date)">
  <pivotTables>
    <pivotTable tabId="2" name="PivotTable6"/>
    <pivotTable tabId="2" name="PivotTable1"/>
    <pivotTable tabId="2" name="PivotTable10"/>
    <pivotTable tabId="2" name="PivotTable11"/>
    <pivotTable tabId="2" name="PivotTable12"/>
    <pivotTable tabId="2" name="PivotTable13"/>
    <pivotTable tabId="2" name="PivotTable14"/>
    <pivotTable tabId="2" name="PivotTable2"/>
    <pivotTable tabId="2" name="PivotTable3"/>
    <pivotTable tabId="2" name="PivotTable4"/>
    <pivotTable tabId="2" name="PivotTable5"/>
    <pivotTable tabId="2" name="PivotTable7"/>
    <pivotTable tabId="2" name="PivotTable8"/>
    <pivotTable tabId="2" name="PivotTable9"/>
  </pivotTables>
  <data>
    <tabular pivotCacheId="1766324589">
      <items count="5">
        <i x="1" s="1"/>
        <i x="2" s="1"/>
        <i x="3" s="1"/>
        <i x="0"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22BD006E-60E9-48EF-8E1C-D219F63820B2}" sourceName="Quarters (Order Date)">
  <pivotTables>
    <pivotTable tabId="2" name="PivotTable12"/>
    <pivotTable tabId="2" name="PivotTable1"/>
    <pivotTable tabId="2" name="PivotTable10"/>
    <pivotTable tabId="2" name="PivotTable11"/>
    <pivotTable tabId="2" name="PivotTable13"/>
    <pivotTable tabId="2" name="PivotTable14"/>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766324589">
      <items count="6">
        <i x="1" s="1"/>
        <i x="2" s="1"/>
        <i x="3" s="1"/>
        <i x="4" s="1"/>
        <i x="0" s="1" nd="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FC43E1BA-B01E-4DFE-BF72-4F8C9B2A159F}" sourceName="Months (Order Date)">
  <pivotTables>
    <pivotTable tabId="2" name="PivotTable5"/>
    <pivotTable tabId="2" name="PivotTable1"/>
    <pivotTable tabId="2" name="PivotTable10"/>
    <pivotTable tabId="2" name="PivotTable11"/>
    <pivotTable tabId="2" name="PivotTable12"/>
    <pivotTable tabId="2" name="PivotTable13"/>
    <pivotTable tabId="2" name="PivotTable14"/>
    <pivotTable tabId="2" name="PivotTable2"/>
    <pivotTable tabId="2" name="PivotTable3"/>
    <pivotTable tabId="2" name="PivotTable4"/>
    <pivotTable tabId="2" name="PivotTable6"/>
    <pivotTable tabId="2" name="PivotTable7"/>
    <pivotTable tabId="2" name="PivotTable8"/>
    <pivotTable tabId="2" name="PivotTable9"/>
  </pivotTables>
  <data>
    <tabular pivotCacheId="1766324589">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9DAB2484-3C5B-40D2-82F4-B2A7EA109EE6}" cache="Slicer_Years__Order_Date" caption="Years (Order Date)" style="SlicerStyleLight1" rowHeight="251883"/>
  <slicer name="Quarters (Order Date)" xr10:uid="{A3F69029-327C-4609-ADCD-A5F8DA997A18}" cache="Slicer_Quarters__Order_Date" caption="Quarters (Order Date)" style="SlicerStyleLight1" rowHeight="251883"/>
  <slicer name="Months (Order Date)" xr10:uid="{121944D2-41D0-49C8-9C97-02493055C372}" cache="Slicer_Months__Order_Date" caption="Months (Order Date)" style="SlicerStyleLight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1" xr10:uid="{9AA00ACA-5CCC-4E16-A9DD-5AAFE8BBECF4}" cache="Slicer_Years__Order_Date" caption="Years" style="SlicerStyleLight4" rowHeight="251883"/>
  <slicer name="Quarters (Order Date) 1" xr10:uid="{46EB87D3-9234-4376-86DE-A0496B8F9645}" cache="Slicer_Quarters__Order_Date" caption="Quarters" style="SlicerStyleLight1" rowHeight="251883"/>
  <slicer name="Months (Order Date) 1" xr10:uid="{83214AD8-BA5F-4978-AB27-B05858A97751}" cache="Slicer_Months__Order_Date" caption="Months" columnCount="2" style="SlicerStyleLight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783A99-F4F9-4566-8875-86825B08ECFB}" name="Table3" displayName="Table3" ref="A1:Y1001" totalsRowShown="0">
  <autoFilter ref="A1:Y1001" xr:uid="{EC80035F-1CC8-4ADE-9B51-80F3914D61C4}"/>
  <tableColumns count="25">
    <tableColumn id="1" xr3:uid="{B1214DE6-7185-4EB1-B43D-0AC9DBB7AA3A}" name="Order ID"/>
    <tableColumn id="2" xr3:uid="{FD3690A0-7685-441B-A403-6CED837573E2}" name="Order Date" dataDxfId="146"/>
    <tableColumn id="3" xr3:uid="{84625D02-1B17-4AA0-8F16-CFCC2846312C}" name="Ship Date" dataDxfId="145"/>
    <tableColumn id="4" xr3:uid="{10459321-CBF9-4AC0-91EE-404A7236AE60}" name="Customer ID"/>
    <tableColumn id="5" xr3:uid="{5FEEC063-A2AC-478D-95AB-20C563FA6674}" name="Customer Name"/>
    <tableColumn id="6" xr3:uid="{88E68C31-BFFC-4719-8418-C398AAE8CDF8}" name="Customer Segment"/>
    <tableColumn id="7" xr3:uid="{7B4948A8-9BCB-4FD4-A0FB-9395C5374417}" name="Product ID"/>
    <tableColumn id="8" xr3:uid="{9A20612B-B5BA-497D-8882-1BDC7045E425}" name="Product Name"/>
    <tableColumn id="9" xr3:uid="{F4DC690E-CD62-4CE4-A014-5731F30196E0}" name="Category"/>
    <tableColumn id="10" xr3:uid="{77E3AE63-5E6D-4176-89E5-63DAE5F7798D}" name="Region"/>
    <tableColumn id="11" xr3:uid="{26B691DF-18E7-40E3-AD60-744C53E9D851}" name="State"/>
    <tableColumn id="12" xr3:uid="{EB0D1563-3B6B-462A-B731-3A832A0C1079}" name="City"/>
    <tableColumn id="13" xr3:uid="{04CBD328-DA36-42D2-9D24-2046862EBC5E}" name="Quantity"/>
    <tableColumn id="14" xr3:uid="{A27DFFA3-7BE4-4735-9CEF-A62A77988529}" name="Unit Price"/>
    <tableColumn id="15" xr3:uid="{2B8A4E30-6CED-4C6B-A072-F195E7BFA9CA}" name="Discount (%)"/>
    <tableColumn id="16" xr3:uid="{B50CF03A-E987-4A60-B937-FEF0E48B0CEC}" name="Sales Amount"/>
    <tableColumn id="17" xr3:uid="{ABCD80AC-CF48-4F71-A14C-514326923DF8}" name="Cost Price"/>
    <tableColumn id="18" xr3:uid="{AF9F4BD7-E525-41A1-A6A8-5C318A8548A3}" name="Profit"/>
    <tableColumn id="19" xr3:uid="{CFE195AB-4B26-4439-AD0C-DD55D6938E6C}" name="Payment Mode"/>
    <tableColumn id="20" xr3:uid="{E1B70032-DE75-43E3-A49C-DF2AEF8F7A64}" name="Delivery Status"/>
    <tableColumn id="21" xr3:uid="{F7210ACC-AFAF-47AF-A493-42F8D11CD94F}" name="Supplier Name"/>
    <tableColumn id="22" xr3:uid="{959DF21A-4E1E-4451-ADFD-11E6294DC389}" name="Supplier Email"/>
    <tableColumn id="23" xr3:uid="{57FBA2B2-AD03-4B61-A139-F7E7E708AC2B}" name="Stock left"/>
    <tableColumn id="24" xr3:uid="{968F8F8D-214F-430F-A954-AF80DAA03144}" name="Auto Reorder"/>
    <tableColumn id="25" xr3:uid="{18719BBC-BDD6-4990-A025-6385498381B6}" name="Reorder Quant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035F-1CC8-4ADE-9B51-80F3914D61C4}">
  <dimension ref="A1:Y1001"/>
  <sheetViews>
    <sheetView topLeftCell="H1" workbookViewId="0">
      <pane ySplit="1" topLeftCell="A978" activePane="bottomLeft" state="frozen"/>
      <selection pane="bottomLeft" activeCell="I38" sqref="I38"/>
    </sheetView>
  </sheetViews>
  <sheetFormatPr defaultRowHeight="14.5" x14ac:dyDescent="0.35"/>
  <cols>
    <col min="1" max="1" width="9.81640625" bestFit="1" customWidth="1"/>
    <col min="2" max="2" width="12" bestFit="1" customWidth="1"/>
    <col min="3" max="3" width="10.90625" customWidth="1"/>
    <col min="4" max="4" width="13.1796875" bestFit="1" customWidth="1"/>
    <col min="5" max="5" width="20.54296875" bestFit="1" customWidth="1"/>
    <col min="6" max="6" width="18.7265625" customWidth="1"/>
    <col min="7" max="7" width="11.54296875" bestFit="1" customWidth="1"/>
    <col min="8" max="8" width="14.6328125" bestFit="1" customWidth="1"/>
    <col min="9" max="9" width="13" bestFit="1" customWidth="1"/>
    <col min="10" max="10" width="8.54296875" bestFit="1" customWidth="1"/>
    <col min="11" max="11" width="13.6328125" bestFit="1" customWidth="1"/>
    <col min="12" max="12" width="19.6328125" bestFit="1" customWidth="1"/>
    <col min="13" max="13" width="10" bestFit="1" customWidth="1"/>
    <col min="14" max="14" width="11" bestFit="1" customWidth="1"/>
    <col min="15" max="15" width="13.54296875" bestFit="1" customWidth="1"/>
    <col min="16" max="16" width="14.26953125" customWidth="1"/>
    <col min="17" max="17" width="11.453125" bestFit="1" customWidth="1"/>
    <col min="18" max="18" width="7.453125" bestFit="1" customWidth="1"/>
    <col min="19" max="19" width="15.08984375" customWidth="1"/>
    <col min="20" max="20" width="15.36328125" customWidth="1"/>
    <col min="21" max="21" width="32.26953125" bestFit="1" customWidth="1"/>
    <col min="22" max="22" width="36.26953125" bestFit="1" customWidth="1"/>
    <col min="23" max="23" width="10.7265625" customWidth="1"/>
    <col min="24" max="24" width="13.54296875" bestFit="1" customWidth="1"/>
    <col min="25" max="25" width="16.90625" customWidth="1"/>
  </cols>
  <sheetData>
    <row r="1" spans="1:2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5">
      <c r="A2" t="s">
        <v>25</v>
      </c>
      <c r="B2" s="1">
        <v>45645</v>
      </c>
      <c r="C2" s="1">
        <v>45652</v>
      </c>
      <c r="D2" t="s">
        <v>26</v>
      </c>
      <c r="E2" t="s">
        <v>27</v>
      </c>
      <c r="F2" t="s">
        <v>28</v>
      </c>
      <c r="G2" t="s">
        <v>29</v>
      </c>
      <c r="H2" t="s">
        <v>30</v>
      </c>
      <c r="I2" t="s">
        <v>31</v>
      </c>
      <c r="J2" t="s">
        <v>32</v>
      </c>
      <c r="K2" t="s">
        <v>33</v>
      </c>
      <c r="L2" t="s">
        <v>34</v>
      </c>
      <c r="M2">
        <v>8</v>
      </c>
      <c r="N2">
        <v>2510</v>
      </c>
      <c r="O2">
        <v>20</v>
      </c>
      <c r="P2">
        <v>17064</v>
      </c>
      <c r="Q2">
        <v>16064.9</v>
      </c>
      <c r="R2">
        <v>999.1</v>
      </c>
      <c r="S2" t="s">
        <v>35</v>
      </c>
      <c r="T2" t="s">
        <v>36</v>
      </c>
      <c r="U2" t="s">
        <v>37</v>
      </c>
      <c r="V2" t="s">
        <v>38</v>
      </c>
      <c r="W2">
        <v>9</v>
      </c>
      <c r="X2" t="s">
        <v>39</v>
      </c>
      <c r="Y2">
        <v>35</v>
      </c>
    </row>
    <row r="3" spans="1:25" x14ac:dyDescent="0.35">
      <c r="A3" t="s">
        <v>40</v>
      </c>
      <c r="B3" s="1">
        <v>45859</v>
      </c>
      <c r="C3" s="1">
        <v>45863</v>
      </c>
      <c r="D3" t="s">
        <v>41</v>
      </c>
      <c r="E3" t="s">
        <v>42</v>
      </c>
      <c r="F3" t="s">
        <v>28</v>
      </c>
      <c r="G3" t="s">
        <v>43</v>
      </c>
      <c r="H3" t="s">
        <v>44</v>
      </c>
      <c r="I3" t="s">
        <v>45</v>
      </c>
      <c r="J3" t="s">
        <v>46</v>
      </c>
      <c r="K3" t="s">
        <v>47</v>
      </c>
      <c r="L3" t="s">
        <v>48</v>
      </c>
      <c r="M3">
        <v>6</v>
      </c>
      <c r="N3">
        <v>4340</v>
      </c>
      <c r="O3">
        <v>15</v>
      </c>
      <c r="P3">
        <v>23134</v>
      </c>
      <c r="Q3">
        <v>22134.6</v>
      </c>
      <c r="R3">
        <v>999.4</v>
      </c>
      <c r="S3" t="s">
        <v>49</v>
      </c>
      <c r="T3" t="s">
        <v>50</v>
      </c>
      <c r="U3" t="s">
        <v>51</v>
      </c>
      <c r="V3" t="s">
        <v>52</v>
      </c>
      <c r="W3">
        <v>49</v>
      </c>
      <c r="X3" t="s">
        <v>53</v>
      </c>
      <c r="Y3">
        <v>0</v>
      </c>
    </row>
    <row r="4" spans="1:25" x14ac:dyDescent="0.35">
      <c r="A4" t="s">
        <v>54</v>
      </c>
      <c r="B4" s="1">
        <v>45952</v>
      </c>
      <c r="C4" s="1">
        <v>45955</v>
      </c>
      <c r="D4" t="s">
        <v>55</v>
      </c>
      <c r="E4" t="s">
        <v>56</v>
      </c>
      <c r="F4" t="s">
        <v>57</v>
      </c>
      <c r="G4" t="s">
        <v>58</v>
      </c>
      <c r="H4" t="s">
        <v>59</v>
      </c>
      <c r="I4" t="s">
        <v>31</v>
      </c>
      <c r="J4" t="s">
        <v>46</v>
      </c>
      <c r="K4" t="s">
        <v>60</v>
      </c>
      <c r="L4" t="s">
        <v>61</v>
      </c>
      <c r="M4">
        <v>6</v>
      </c>
      <c r="N4">
        <v>4567</v>
      </c>
      <c r="O4">
        <v>20</v>
      </c>
      <c r="P4">
        <v>22921.599999999999</v>
      </c>
      <c r="Q4">
        <v>21922.240000000002</v>
      </c>
      <c r="R4">
        <v>999.36</v>
      </c>
      <c r="S4" t="s">
        <v>49</v>
      </c>
      <c r="T4" t="s">
        <v>36</v>
      </c>
      <c r="U4" t="s">
        <v>62</v>
      </c>
      <c r="V4" t="s">
        <v>63</v>
      </c>
      <c r="W4">
        <v>20</v>
      </c>
      <c r="X4" t="s">
        <v>53</v>
      </c>
      <c r="Y4">
        <v>0</v>
      </c>
    </row>
    <row r="5" spans="1:25" x14ac:dyDescent="0.35">
      <c r="A5" t="s">
        <v>64</v>
      </c>
      <c r="B5" s="1">
        <v>45497</v>
      </c>
      <c r="C5" s="1">
        <v>45501</v>
      </c>
      <c r="D5" t="s">
        <v>65</v>
      </c>
      <c r="E5" t="s">
        <v>66</v>
      </c>
      <c r="F5" t="s">
        <v>28</v>
      </c>
      <c r="G5" t="s">
        <v>67</v>
      </c>
      <c r="H5" t="s">
        <v>68</v>
      </c>
      <c r="I5" t="s">
        <v>31</v>
      </c>
      <c r="J5" t="s">
        <v>46</v>
      </c>
      <c r="K5" t="s">
        <v>69</v>
      </c>
      <c r="L5" t="s">
        <v>70</v>
      </c>
      <c r="M5">
        <v>5</v>
      </c>
      <c r="N5">
        <v>3585</v>
      </c>
      <c r="O5">
        <v>0</v>
      </c>
      <c r="P5">
        <v>18925</v>
      </c>
      <c r="Q5">
        <v>17925.75</v>
      </c>
      <c r="R5">
        <v>999.25</v>
      </c>
      <c r="S5" t="s">
        <v>35</v>
      </c>
      <c r="T5" t="s">
        <v>50</v>
      </c>
      <c r="U5" t="s">
        <v>71</v>
      </c>
      <c r="V5" t="s">
        <v>72</v>
      </c>
      <c r="W5">
        <v>39</v>
      </c>
      <c r="X5" t="s">
        <v>53</v>
      </c>
      <c r="Y5">
        <v>0</v>
      </c>
    </row>
    <row r="6" spans="1:25" x14ac:dyDescent="0.35">
      <c r="A6" t="s">
        <v>73</v>
      </c>
      <c r="B6" s="1">
        <v>45584</v>
      </c>
      <c r="C6" s="1">
        <v>45589</v>
      </c>
      <c r="D6" t="s">
        <v>74</v>
      </c>
      <c r="E6" t="s">
        <v>75</v>
      </c>
      <c r="F6" t="s">
        <v>57</v>
      </c>
      <c r="G6" t="s">
        <v>76</v>
      </c>
      <c r="H6" t="s">
        <v>77</v>
      </c>
      <c r="I6" t="s">
        <v>45</v>
      </c>
      <c r="J6" t="s">
        <v>46</v>
      </c>
      <c r="K6" t="s">
        <v>78</v>
      </c>
      <c r="L6" t="s">
        <v>79</v>
      </c>
      <c r="M6">
        <v>5</v>
      </c>
      <c r="N6">
        <v>2624</v>
      </c>
      <c r="O6">
        <v>20</v>
      </c>
      <c r="P6">
        <v>11496</v>
      </c>
      <c r="Q6">
        <v>10496.78</v>
      </c>
      <c r="R6">
        <v>999.22</v>
      </c>
      <c r="S6" t="s">
        <v>80</v>
      </c>
      <c r="T6" t="s">
        <v>36</v>
      </c>
      <c r="U6" t="s">
        <v>81</v>
      </c>
      <c r="V6" t="s">
        <v>82</v>
      </c>
      <c r="W6">
        <v>43</v>
      </c>
      <c r="X6" t="s">
        <v>53</v>
      </c>
      <c r="Y6">
        <v>0</v>
      </c>
    </row>
    <row r="7" spans="1:25" x14ac:dyDescent="0.35">
      <c r="A7" t="s">
        <v>83</v>
      </c>
      <c r="B7" s="1">
        <v>45375</v>
      </c>
      <c r="C7" s="1">
        <v>45377</v>
      </c>
      <c r="D7" t="s">
        <v>84</v>
      </c>
      <c r="E7" t="s">
        <v>85</v>
      </c>
      <c r="F7" t="s">
        <v>28</v>
      </c>
      <c r="G7" t="s">
        <v>86</v>
      </c>
      <c r="H7" t="s">
        <v>30</v>
      </c>
      <c r="I7" t="s">
        <v>31</v>
      </c>
      <c r="J7" t="s">
        <v>32</v>
      </c>
      <c r="K7" t="s">
        <v>87</v>
      </c>
      <c r="L7" t="s">
        <v>88</v>
      </c>
      <c r="M7">
        <v>5</v>
      </c>
      <c r="N7">
        <v>1998</v>
      </c>
      <c r="O7">
        <v>5</v>
      </c>
      <c r="P7">
        <v>10490.5</v>
      </c>
      <c r="Q7">
        <v>9491.1200000000008</v>
      </c>
      <c r="R7">
        <v>999.38</v>
      </c>
      <c r="S7" t="s">
        <v>35</v>
      </c>
      <c r="T7" t="s">
        <v>89</v>
      </c>
      <c r="U7" t="s">
        <v>90</v>
      </c>
      <c r="V7" t="s">
        <v>91</v>
      </c>
      <c r="W7">
        <v>17</v>
      </c>
      <c r="X7" t="s">
        <v>53</v>
      </c>
      <c r="Y7">
        <v>0</v>
      </c>
    </row>
    <row r="8" spans="1:25" x14ac:dyDescent="0.35">
      <c r="A8" t="s">
        <v>92</v>
      </c>
      <c r="B8" s="1">
        <v>45618</v>
      </c>
      <c r="C8" s="1">
        <v>45621</v>
      </c>
      <c r="D8" t="s">
        <v>93</v>
      </c>
      <c r="E8" t="s">
        <v>94</v>
      </c>
      <c r="F8" t="s">
        <v>95</v>
      </c>
      <c r="G8" t="s">
        <v>96</v>
      </c>
      <c r="H8" t="s">
        <v>44</v>
      </c>
      <c r="I8" t="s">
        <v>45</v>
      </c>
      <c r="J8" t="s">
        <v>97</v>
      </c>
      <c r="K8" t="s">
        <v>98</v>
      </c>
      <c r="L8" t="s">
        <v>99</v>
      </c>
      <c r="M8">
        <v>4</v>
      </c>
      <c r="N8">
        <v>2338</v>
      </c>
      <c r="O8">
        <v>5</v>
      </c>
      <c r="P8">
        <v>9884.4</v>
      </c>
      <c r="Q8">
        <v>8885.1</v>
      </c>
      <c r="R8">
        <v>999.3</v>
      </c>
      <c r="S8" t="s">
        <v>100</v>
      </c>
      <c r="T8" t="s">
        <v>50</v>
      </c>
      <c r="U8" t="s">
        <v>101</v>
      </c>
      <c r="V8" t="s">
        <v>102</v>
      </c>
      <c r="W8">
        <v>47</v>
      </c>
      <c r="X8" t="s">
        <v>53</v>
      </c>
      <c r="Y8">
        <v>0</v>
      </c>
    </row>
    <row r="9" spans="1:25" x14ac:dyDescent="0.35">
      <c r="A9" t="s">
        <v>103</v>
      </c>
      <c r="B9" s="1">
        <v>45744</v>
      </c>
      <c r="C9" s="1">
        <v>45749</v>
      </c>
      <c r="D9" t="s">
        <v>104</v>
      </c>
      <c r="E9" t="s">
        <v>105</v>
      </c>
      <c r="F9" t="s">
        <v>28</v>
      </c>
      <c r="G9" t="s">
        <v>106</v>
      </c>
      <c r="H9" t="s">
        <v>107</v>
      </c>
      <c r="I9" t="s">
        <v>108</v>
      </c>
      <c r="J9" t="s">
        <v>97</v>
      </c>
      <c r="K9" t="s">
        <v>109</v>
      </c>
      <c r="L9" t="s">
        <v>110</v>
      </c>
      <c r="M9">
        <v>4</v>
      </c>
      <c r="N9">
        <v>1073</v>
      </c>
      <c r="O9">
        <v>0</v>
      </c>
      <c r="P9">
        <v>5292</v>
      </c>
      <c r="Q9">
        <v>4292.68</v>
      </c>
      <c r="R9">
        <v>999.32</v>
      </c>
      <c r="S9" t="s">
        <v>100</v>
      </c>
      <c r="T9" t="s">
        <v>50</v>
      </c>
      <c r="U9" t="s">
        <v>111</v>
      </c>
      <c r="V9" t="s">
        <v>112</v>
      </c>
      <c r="W9">
        <v>33</v>
      </c>
      <c r="X9" t="s">
        <v>53</v>
      </c>
      <c r="Y9">
        <v>0</v>
      </c>
    </row>
    <row r="10" spans="1:25" x14ac:dyDescent="0.35">
      <c r="A10" t="s">
        <v>113</v>
      </c>
      <c r="B10" s="1">
        <v>45942</v>
      </c>
      <c r="C10" s="1">
        <v>45943</v>
      </c>
      <c r="D10" t="s">
        <v>114</v>
      </c>
      <c r="E10" t="s">
        <v>115</v>
      </c>
      <c r="F10" t="s">
        <v>28</v>
      </c>
      <c r="G10" t="s">
        <v>116</v>
      </c>
      <c r="H10" t="s">
        <v>117</v>
      </c>
      <c r="I10" t="s">
        <v>108</v>
      </c>
      <c r="J10" t="s">
        <v>118</v>
      </c>
      <c r="K10" t="s">
        <v>119</v>
      </c>
      <c r="L10" t="s">
        <v>120</v>
      </c>
      <c r="M10">
        <v>3</v>
      </c>
      <c r="N10">
        <v>522</v>
      </c>
      <c r="O10">
        <v>0</v>
      </c>
      <c r="P10">
        <v>2566</v>
      </c>
      <c r="Q10">
        <v>1566.62</v>
      </c>
      <c r="R10">
        <v>999.38</v>
      </c>
      <c r="S10" t="s">
        <v>35</v>
      </c>
      <c r="T10" t="s">
        <v>36</v>
      </c>
      <c r="U10" t="s">
        <v>121</v>
      </c>
      <c r="V10" t="s">
        <v>122</v>
      </c>
      <c r="W10">
        <v>14</v>
      </c>
      <c r="X10" t="s">
        <v>53</v>
      </c>
      <c r="Y10">
        <v>0</v>
      </c>
    </row>
    <row r="11" spans="1:25" x14ac:dyDescent="0.35">
      <c r="A11" t="s">
        <v>123</v>
      </c>
      <c r="B11" s="1">
        <v>45536</v>
      </c>
      <c r="C11" s="1">
        <v>45542</v>
      </c>
      <c r="D11" t="s">
        <v>124</v>
      </c>
      <c r="E11" t="s">
        <v>125</v>
      </c>
      <c r="F11" t="s">
        <v>57</v>
      </c>
      <c r="G11" t="s">
        <v>126</v>
      </c>
      <c r="H11" t="s">
        <v>127</v>
      </c>
      <c r="I11" t="s">
        <v>45</v>
      </c>
      <c r="J11" t="s">
        <v>32</v>
      </c>
      <c r="K11" t="s">
        <v>128</v>
      </c>
      <c r="L11" t="s">
        <v>129</v>
      </c>
      <c r="M11">
        <v>7</v>
      </c>
      <c r="N11">
        <v>765</v>
      </c>
      <c r="O11">
        <v>10</v>
      </c>
      <c r="P11">
        <v>5819.5</v>
      </c>
      <c r="Q11">
        <v>4820.22</v>
      </c>
      <c r="R11">
        <v>999.28</v>
      </c>
      <c r="S11" t="s">
        <v>80</v>
      </c>
      <c r="T11" t="s">
        <v>89</v>
      </c>
      <c r="U11" t="s">
        <v>130</v>
      </c>
      <c r="V11" t="s">
        <v>131</v>
      </c>
      <c r="W11">
        <v>31</v>
      </c>
      <c r="X11" t="s">
        <v>53</v>
      </c>
      <c r="Y11">
        <v>0</v>
      </c>
    </row>
    <row r="12" spans="1:25" x14ac:dyDescent="0.35">
      <c r="A12" t="s">
        <v>132</v>
      </c>
      <c r="B12" s="1">
        <v>45448</v>
      </c>
      <c r="C12" s="1">
        <v>45452</v>
      </c>
      <c r="D12" t="s">
        <v>133</v>
      </c>
      <c r="E12" t="s">
        <v>134</v>
      </c>
      <c r="F12" t="s">
        <v>57</v>
      </c>
      <c r="G12" t="s">
        <v>135</v>
      </c>
      <c r="H12" t="s">
        <v>136</v>
      </c>
      <c r="I12" t="s">
        <v>137</v>
      </c>
      <c r="J12" t="s">
        <v>118</v>
      </c>
      <c r="K12" t="s">
        <v>138</v>
      </c>
      <c r="L12" t="s">
        <v>139</v>
      </c>
      <c r="M12">
        <v>10</v>
      </c>
      <c r="N12">
        <v>4874</v>
      </c>
      <c r="O12">
        <v>0</v>
      </c>
      <c r="P12">
        <v>49740</v>
      </c>
      <c r="Q12">
        <v>48740.63</v>
      </c>
      <c r="R12">
        <v>999.37</v>
      </c>
      <c r="S12" t="s">
        <v>49</v>
      </c>
      <c r="T12" t="s">
        <v>140</v>
      </c>
      <c r="U12" t="s">
        <v>141</v>
      </c>
      <c r="V12" t="s">
        <v>142</v>
      </c>
      <c r="W12">
        <v>2</v>
      </c>
      <c r="X12" t="s">
        <v>39</v>
      </c>
      <c r="Y12">
        <v>48</v>
      </c>
    </row>
    <row r="13" spans="1:25" x14ac:dyDescent="0.35">
      <c r="A13" t="s">
        <v>143</v>
      </c>
      <c r="B13" s="1">
        <v>45617</v>
      </c>
      <c r="C13" s="1">
        <v>45624</v>
      </c>
      <c r="D13" t="s">
        <v>144</v>
      </c>
      <c r="E13" t="s">
        <v>145</v>
      </c>
      <c r="F13" t="s">
        <v>95</v>
      </c>
      <c r="G13" t="s">
        <v>146</v>
      </c>
      <c r="H13" t="s">
        <v>136</v>
      </c>
      <c r="I13" t="s">
        <v>137</v>
      </c>
      <c r="J13" t="s">
        <v>32</v>
      </c>
      <c r="K13" t="s">
        <v>78</v>
      </c>
      <c r="L13" t="s">
        <v>147</v>
      </c>
      <c r="M13">
        <v>8</v>
      </c>
      <c r="N13">
        <v>3314</v>
      </c>
      <c r="O13">
        <v>5</v>
      </c>
      <c r="P13">
        <v>26186.400000000001</v>
      </c>
      <c r="Q13">
        <v>25187.25</v>
      </c>
      <c r="R13">
        <v>999.15</v>
      </c>
      <c r="S13" t="s">
        <v>49</v>
      </c>
      <c r="T13" t="s">
        <v>50</v>
      </c>
      <c r="U13" t="s">
        <v>148</v>
      </c>
      <c r="V13" t="s">
        <v>149</v>
      </c>
      <c r="W13">
        <v>20</v>
      </c>
      <c r="X13" t="s">
        <v>53</v>
      </c>
      <c r="Y13">
        <v>0</v>
      </c>
    </row>
    <row r="14" spans="1:25" x14ac:dyDescent="0.35">
      <c r="A14" t="s">
        <v>150</v>
      </c>
      <c r="B14" s="1">
        <v>45340</v>
      </c>
      <c r="C14" s="1">
        <v>45346</v>
      </c>
      <c r="D14" t="s">
        <v>151</v>
      </c>
      <c r="E14" t="s">
        <v>152</v>
      </c>
      <c r="F14" t="s">
        <v>28</v>
      </c>
      <c r="G14" t="s">
        <v>153</v>
      </c>
      <c r="H14" t="s">
        <v>154</v>
      </c>
      <c r="I14" t="s">
        <v>137</v>
      </c>
      <c r="J14" t="s">
        <v>46</v>
      </c>
      <c r="K14" t="s">
        <v>155</v>
      </c>
      <c r="L14" t="s">
        <v>156</v>
      </c>
      <c r="M14">
        <v>6</v>
      </c>
      <c r="N14">
        <v>1491</v>
      </c>
      <c r="O14">
        <v>20</v>
      </c>
      <c r="P14">
        <v>8156.8</v>
      </c>
      <c r="Q14">
        <v>7157.41</v>
      </c>
      <c r="R14">
        <v>999.39</v>
      </c>
      <c r="S14" t="s">
        <v>35</v>
      </c>
      <c r="T14" t="s">
        <v>36</v>
      </c>
      <c r="U14" t="s">
        <v>157</v>
      </c>
      <c r="V14" t="s">
        <v>158</v>
      </c>
      <c r="W14">
        <v>5</v>
      </c>
      <c r="X14" t="s">
        <v>39</v>
      </c>
      <c r="Y14">
        <v>44</v>
      </c>
    </row>
    <row r="15" spans="1:25" x14ac:dyDescent="0.35">
      <c r="A15" t="s">
        <v>159</v>
      </c>
      <c r="B15" s="1">
        <v>45826</v>
      </c>
      <c r="C15" s="1">
        <v>45832</v>
      </c>
      <c r="D15" t="s">
        <v>160</v>
      </c>
      <c r="E15" t="s">
        <v>161</v>
      </c>
      <c r="F15" t="s">
        <v>95</v>
      </c>
      <c r="G15" t="s">
        <v>162</v>
      </c>
      <c r="H15" t="s">
        <v>163</v>
      </c>
      <c r="I15" t="s">
        <v>108</v>
      </c>
      <c r="J15" t="s">
        <v>46</v>
      </c>
      <c r="K15" t="s">
        <v>164</v>
      </c>
      <c r="L15" t="s">
        <v>165</v>
      </c>
      <c r="M15">
        <v>3</v>
      </c>
      <c r="N15">
        <v>2497</v>
      </c>
      <c r="O15">
        <v>5</v>
      </c>
      <c r="P15">
        <v>8116.45</v>
      </c>
      <c r="Q15">
        <v>7117.25</v>
      </c>
      <c r="R15">
        <v>999.2</v>
      </c>
      <c r="S15" t="s">
        <v>80</v>
      </c>
      <c r="T15" t="s">
        <v>140</v>
      </c>
      <c r="U15" t="s">
        <v>166</v>
      </c>
      <c r="V15" t="s">
        <v>167</v>
      </c>
      <c r="W15">
        <v>10</v>
      </c>
      <c r="X15" t="s">
        <v>53</v>
      </c>
      <c r="Y15">
        <v>0</v>
      </c>
    </row>
    <row r="16" spans="1:25" x14ac:dyDescent="0.35">
      <c r="A16" t="s">
        <v>168</v>
      </c>
      <c r="B16" s="1">
        <v>45541</v>
      </c>
      <c r="C16" s="1">
        <v>45545</v>
      </c>
      <c r="D16" t="s">
        <v>169</v>
      </c>
      <c r="E16" t="s">
        <v>170</v>
      </c>
      <c r="F16" t="s">
        <v>28</v>
      </c>
      <c r="G16" t="s">
        <v>171</v>
      </c>
      <c r="H16" t="s">
        <v>172</v>
      </c>
      <c r="I16" t="s">
        <v>45</v>
      </c>
      <c r="J16" t="s">
        <v>118</v>
      </c>
      <c r="K16" t="s">
        <v>173</v>
      </c>
      <c r="L16" t="s">
        <v>174</v>
      </c>
      <c r="M16">
        <v>1</v>
      </c>
      <c r="N16">
        <v>495</v>
      </c>
      <c r="O16">
        <v>5</v>
      </c>
      <c r="P16">
        <v>1470.25</v>
      </c>
      <c r="Q16">
        <v>471.06</v>
      </c>
      <c r="R16">
        <v>999.19</v>
      </c>
      <c r="S16" t="s">
        <v>80</v>
      </c>
      <c r="T16" t="s">
        <v>89</v>
      </c>
      <c r="U16" t="s">
        <v>175</v>
      </c>
      <c r="V16" t="s">
        <v>176</v>
      </c>
      <c r="W16">
        <v>28</v>
      </c>
      <c r="X16" t="s">
        <v>53</v>
      </c>
      <c r="Y16">
        <v>0</v>
      </c>
    </row>
    <row r="17" spans="1:25" x14ac:dyDescent="0.35">
      <c r="A17" t="s">
        <v>177</v>
      </c>
      <c r="B17" s="1">
        <v>45290</v>
      </c>
      <c r="C17" s="1">
        <v>45293</v>
      </c>
      <c r="D17" t="s">
        <v>178</v>
      </c>
      <c r="E17" t="s">
        <v>179</v>
      </c>
      <c r="F17" t="s">
        <v>28</v>
      </c>
      <c r="G17" t="s">
        <v>180</v>
      </c>
      <c r="H17" t="s">
        <v>154</v>
      </c>
      <c r="I17" t="s">
        <v>137</v>
      </c>
      <c r="J17" t="s">
        <v>97</v>
      </c>
      <c r="K17" t="s">
        <v>181</v>
      </c>
      <c r="L17" t="s">
        <v>182</v>
      </c>
      <c r="M17">
        <v>6</v>
      </c>
      <c r="N17">
        <v>3165</v>
      </c>
      <c r="O17">
        <v>15</v>
      </c>
      <c r="P17">
        <v>17141.5</v>
      </c>
      <c r="Q17">
        <v>16142.36</v>
      </c>
      <c r="R17">
        <v>999.14</v>
      </c>
      <c r="S17" t="s">
        <v>100</v>
      </c>
      <c r="T17" t="s">
        <v>50</v>
      </c>
      <c r="U17" t="s">
        <v>183</v>
      </c>
      <c r="V17" t="s">
        <v>184</v>
      </c>
      <c r="W17">
        <v>42</v>
      </c>
      <c r="X17" t="s">
        <v>53</v>
      </c>
      <c r="Y17">
        <v>0</v>
      </c>
    </row>
    <row r="18" spans="1:25" x14ac:dyDescent="0.35">
      <c r="A18" t="s">
        <v>185</v>
      </c>
      <c r="B18" s="1">
        <v>45960</v>
      </c>
      <c r="C18" s="1">
        <v>45966</v>
      </c>
      <c r="D18" t="s">
        <v>186</v>
      </c>
      <c r="E18" t="s">
        <v>187</v>
      </c>
      <c r="F18" t="s">
        <v>57</v>
      </c>
      <c r="G18" t="s">
        <v>188</v>
      </c>
      <c r="H18" t="s">
        <v>189</v>
      </c>
      <c r="I18" t="s">
        <v>108</v>
      </c>
      <c r="J18" t="s">
        <v>118</v>
      </c>
      <c r="K18" t="s">
        <v>190</v>
      </c>
      <c r="L18" t="s">
        <v>191</v>
      </c>
      <c r="M18">
        <v>3</v>
      </c>
      <c r="N18">
        <v>3381</v>
      </c>
      <c r="O18">
        <v>5</v>
      </c>
      <c r="P18">
        <v>10635.85</v>
      </c>
      <c r="Q18">
        <v>9636.56</v>
      </c>
      <c r="R18">
        <v>999.29</v>
      </c>
      <c r="S18" t="s">
        <v>100</v>
      </c>
      <c r="T18" t="s">
        <v>140</v>
      </c>
      <c r="U18" t="s">
        <v>192</v>
      </c>
      <c r="V18" t="s">
        <v>193</v>
      </c>
      <c r="W18">
        <v>7</v>
      </c>
      <c r="X18" t="s">
        <v>39</v>
      </c>
      <c r="Y18">
        <v>32</v>
      </c>
    </row>
    <row r="19" spans="1:25" x14ac:dyDescent="0.35">
      <c r="A19" t="s">
        <v>194</v>
      </c>
      <c r="B19" s="1">
        <v>45963</v>
      </c>
      <c r="C19" s="1">
        <v>45969</v>
      </c>
      <c r="D19" t="s">
        <v>195</v>
      </c>
      <c r="E19" t="s">
        <v>196</v>
      </c>
      <c r="F19" t="s">
        <v>28</v>
      </c>
      <c r="G19" t="s">
        <v>197</v>
      </c>
      <c r="H19" t="s">
        <v>198</v>
      </c>
      <c r="I19" t="s">
        <v>31</v>
      </c>
      <c r="J19" t="s">
        <v>46</v>
      </c>
      <c r="K19" t="s">
        <v>199</v>
      </c>
      <c r="L19" t="s">
        <v>200</v>
      </c>
      <c r="M19">
        <v>6</v>
      </c>
      <c r="N19">
        <v>3243</v>
      </c>
      <c r="O19">
        <v>5</v>
      </c>
      <c r="P19">
        <v>19485.099999999999</v>
      </c>
      <c r="Q19">
        <v>18485.990000000002</v>
      </c>
      <c r="R19">
        <v>999.11</v>
      </c>
      <c r="S19" t="s">
        <v>100</v>
      </c>
      <c r="T19" t="s">
        <v>50</v>
      </c>
      <c r="U19" t="s">
        <v>201</v>
      </c>
      <c r="V19" t="s">
        <v>202</v>
      </c>
      <c r="W19">
        <v>43</v>
      </c>
      <c r="X19" t="s">
        <v>53</v>
      </c>
      <c r="Y19">
        <v>0</v>
      </c>
    </row>
    <row r="20" spans="1:25" x14ac:dyDescent="0.35">
      <c r="A20" t="s">
        <v>203</v>
      </c>
      <c r="B20" s="1">
        <v>45590</v>
      </c>
      <c r="C20" s="1">
        <v>45592</v>
      </c>
      <c r="D20" t="s">
        <v>144</v>
      </c>
      <c r="E20" t="s">
        <v>204</v>
      </c>
      <c r="F20" t="s">
        <v>28</v>
      </c>
      <c r="G20" t="s">
        <v>205</v>
      </c>
      <c r="H20" t="s">
        <v>206</v>
      </c>
      <c r="I20" t="s">
        <v>31</v>
      </c>
      <c r="J20" t="s">
        <v>46</v>
      </c>
      <c r="K20" t="s">
        <v>207</v>
      </c>
      <c r="L20" t="s">
        <v>208</v>
      </c>
      <c r="M20">
        <v>9</v>
      </c>
      <c r="N20">
        <v>2832</v>
      </c>
      <c r="O20">
        <v>5</v>
      </c>
      <c r="P20">
        <v>25213.599999999999</v>
      </c>
      <c r="Q20">
        <v>24214.33</v>
      </c>
      <c r="R20">
        <v>999.27</v>
      </c>
      <c r="S20" t="s">
        <v>100</v>
      </c>
      <c r="T20" t="s">
        <v>140</v>
      </c>
      <c r="U20" t="s">
        <v>209</v>
      </c>
      <c r="V20" t="s">
        <v>210</v>
      </c>
      <c r="W20">
        <v>32</v>
      </c>
      <c r="X20" t="s">
        <v>53</v>
      </c>
      <c r="Y20">
        <v>0</v>
      </c>
    </row>
    <row r="21" spans="1:25" x14ac:dyDescent="0.35">
      <c r="A21" t="s">
        <v>211</v>
      </c>
      <c r="B21" s="1">
        <v>45364</v>
      </c>
      <c r="C21" s="1">
        <v>45365</v>
      </c>
      <c r="D21" t="s">
        <v>212</v>
      </c>
      <c r="E21" t="s">
        <v>213</v>
      </c>
      <c r="F21" t="s">
        <v>57</v>
      </c>
      <c r="G21" t="s">
        <v>214</v>
      </c>
      <c r="H21" t="s">
        <v>163</v>
      </c>
      <c r="I21" t="s">
        <v>108</v>
      </c>
      <c r="J21" t="s">
        <v>118</v>
      </c>
      <c r="K21" t="s">
        <v>78</v>
      </c>
      <c r="L21" t="s">
        <v>215</v>
      </c>
      <c r="M21">
        <v>5</v>
      </c>
      <c r="N21">
        <v>3243</v>
      </c>
      <c r="O21">
        <v>5</v>
      </c>
      <c r="P21">
        <v>16404.25</v>
      </c>
      <c r="Q21">
        <v>15404.89</v>
      </c>
      <c r="R21">
        <v>999.36</v>
      </c>
      <c r="S21" t="s">
        <v>80</v>
      </c>
      <c r="T21" t="s">
        <v>89</v>
      </c>
      <c r="U21" t="s">
        <v>216</v>
      </c>
      <c r="V21" t="s">
        <v>217</v>
      </c>
      <c r="W21">
        <v>50</v>
      </c>
      <c r="X21" t="s">
        <v>53</v>
      </c>
      <c r="Y21">
        <v>0</v>
      </c>
    </row>
    <row r="22" spans="1:25" x14ac:dyDescent="0.35">
      <c r="A22" t="s">
        <v>218</v>
      </c>
      <c r="B22" s="1">
        <v>45529</v>
      </c>
      <c r="C22" s="1">
        <v>45536</v>
      </c>
      <c r="D22" t="s">
        <v>219</v>
      </c>
      <c r="E22" t="s">
        <v>220</v>
      </c>
      <c r="F22" t="s">
        <v>28</v>
      </c>
      <c r="G22" t="s">
        <v>221</v>
      </c>
      <c r="H22" t="s">
        <v>206</v>
      </c>
      <c r="I22" t="s">
        <v>31</v>
      </c>
      <c r="J22" t="s">
        <v>32</v>
      </c>
      <c r="K22" t="s">
        <v>222</v>
      </c>
      <c r="L22" t="s">
        <v>223</v>
      </c>
      <c r="M22">
        <v>3</v>
      </c>
      <c r="N22">
        <v>928</v>
      </c>
      <c r="O22">
        <v>15</v>
      </c>
      <c r="P22">
        <v>3366.4</v>
      </c>
      <c r="Q22">
        <v>2367.2600000000002</v>
      </c>
      <c r="R22">
        <v>999.14</v>
      </c>
      <c r="S22" t="s">
        <v>100</v>
      </c>
      <c r="T22" t="s">
        <v>36</v>
      </c>
      <c r="U22" t="s">
        <v>224</v>
      </c>
      <c r="V22" t="s">
        <v>225</v>
      </c>
      <c r="W22">
        <v>36</v>
      </c>
      <c r="X22" t="s">
        <v>53</v>
      </c>
      <c r="Y22">
        <v>0</v>
      </c>
    </row>
    <row r="23" spans="1:25" x14ac:dyDescent="0.35">
      <c r="A23" t="s">
        <v>226</v>
      </c>
      <c r="B23" s="1">
        <v>45362</v>
      </c>
      <c r="C23" s="1">
        <v>45368</v>
      </c>
      <c r="D23" t="s">
        <v>227</v>
      </c>
      <c r="E23" t="s">
        <v>228</v>
      </c>
      <c r="F23" t="s">
        <v>57</v>
      </c>
      <c r="G23" t="s">
        <v>229</v>
      </c>
      <c r="H23" t="s">
        <v>230</v>
      </c>
      <c r="I23" t="s">
        <v>137</v>
      </c>
      <c r="J23" t="s">
        <v>46</v>
      </c>
      <c r="K23" t="s">
        <v>231</v>
      </c>
      <c r="L23" t="s">
        <v>232</v>
      </c>
      <c r="M23">
        <v>8</v>
      </c>
      <c r="N23">
        <v>3621</v>
      </c>
      <c r="O23">
        <v>15</v>
      </c>
      <c r="P23">
        <v>25622.799999999999</v>
      </c>
      <c r="Q23">
        <v>24623.48</v>
      </c>
      <c r="R23">
        <v>999.32</v>
      </c>
      <c r="S23" t="s">
        <v>80</v>
      </c>
      <c r="T23" t="s">
        <v>36</v>
      </c>
      <c r="U23" t="s">
        <v>233</v>
      </c>
      <c r="V23" t="s">
        <v>234</v>
      </c>
      <c r="W23">
        <v>46</v>
      </c>
      <c r="X23" t="s">
        <v>53</v>
      </c>
      <c r="Y23">
        <v>0</v>
      </c>
    </row>
    <row r="24" spans="1:25" x14ac:dyDescent="0.35">
      <c r="A24" t="s">
        <v>235</v>
      </c>
      <c r="B24" s="1">
        <v>45812</v>
      </c>
      <c r="C24" s="1">
        <v>45814</v>
      </c>
      <c r="D24" t="s">
        <v>236</v>
      </c>
      <c r="E24" t="s">
        <v>237</v>
      </c>
      <c r="F24" t="s">
        <v>95</v>
      </c>
      <c r="G24" t="s">
        <v>238</v>
      </c>
      <c r="H24" t="s">
        <v>59</v>
      </c>
      <c r="I24" t="s">
        <v>31</v>
      </c>
      <c r="J24" t="s">
        <v>32</v>
      </c>
      <c r="K24" t="s">
        <v>239</v>
      </c>
      <c r="L24" t="s">
        <v>240</v>
      </c>
      <c r="M24">
        <v>10</v>
      </c>
      <c r="N24">
        <v>1382</v>
      </c>
      <c r="O24">
        <v>5</v>
      </c>
      <c r="P24">
        <v>14129</v>
      </c>
      <c r="Q24">
        <v>13129.89</v>
      </c>
      <c r="R24">
        <v>999.11</v>
      </c>
      <c r="S24" t="s">
        <v>100</v>
      </c>
      <c r="T24" t="s">
        <v>140</v>
      </c>
      <c r="U24" t="s">
        <v>241</v>
      </c>
      <c r="V24" t="s">
        <v>242</v>
      </c>
      <c r="W24">
        <v>34</v>
      </c>
      <c r="X24" t="s">
        <v>53</v>
      </c>
      <c r="Y24">
        <v>0</v>
      </c>
    </row>
    <row r="25" spans="1:25" x14ac:dyDescent="0.35">
      <c r="A25" t="s">
        <v>243</v>
      </c>
      <c r="B25" s="1">
        <v>45475</v>
      </c>
      <c r="C25" s="1">
        <v>45482</v>
      </c>
      <c r="D25" t="s">
        <v>244</v>
      </c>
      <c r="E25" t="s">
        <v>245</v>
      </c>
      <c r="F25" t="s">
        <v>95</v>
      </c>
      <c r="G25" t="s">
        <v>246</v>
      </c>
      <c r="H25" t="s">
        <v>30</v>
      </c>
      <c r="I25" t="s">
        <v>31</v>
      </c>
      <c r="J25" t="s">
        <v>46</v>
      </c>
      <c r="K25" t="s">
        <v>247</v>
      </c>
      <c r="L25" t="s">
        <v>248</v>
      </c>
      <c r="M25">
        <v>6</v>
      </c>
      <c r="N25">
        <v>1507</v>
      </c>
      <c r="O25">
        <v>20</v>
      </c>
      <c r="P25">
        <v>8233.6</v>
      </c>
      <c r="Q25">
        <v>7234.46</v>
      </c>
      <c r="R25">
        <v>999.14</v>
      </c>
      <c r="S25" t="s">
        <v>35</v>
      </c>
      <c r="T25" t="s">
        <v>140</v>
      </c>
      <c r="U25" t="s">
        <v>249</v>
      </c>
      <c r="V25" t="s">
        <v>250</v>
      </c>
      <c r="W25">
        <v>35</v>
      </c>
      <c r="X25" t="s">
        <v>53</v>
      </c>
      <c r="Y25">
        <v>0</v>
      </c>
    </row>
    <row r="26" spans="1:25" x14ac:dyDescent="0.35">
      <c r="A26" t="s">
        <v>251</v>
      </c>
      <c r="B26" s="1">
        <v>45373</v>
      </c>
      <c r="C26" s="1">
        <v>45376</v>
      </c>
      <c r="D26" t="s">
        <v>252</v>
      </c>
      <c r="E26" t="s">
        <v>253</v>
      </c>
      <c r="F26" t="s">
        <v>57</v>
      </c>
      <c r="G26" t="s">
        <v>254</v>
      </c>
      <c r="H26" t="s">
        <v>136</v>
      </c>
      <c r="I26" t="s">
        <v>137</v>
      </c>
      <c r="J26" t="s">
        <v>97</v>
      </c>
      <c r="K26" t="s">
        <v>33</v>
      </c>
      <c r="L26" t="s">
        <v>255</v>
      </c>
      <c r="M26">
        <v>6</v>
      </c>
      <c r="N26">
        <v>3700</v>
      </c>
      <c r="O26">
        <v>10</v>
      </c>
      <c r="P26">
        <v>20980</v>
      </c>
      <c r="Q26">
        <v>19980.8</v>
      </c>
      <c r="R26">
        <v>999.2</v>
      </c>
      <c r="S26" t="s">
        <v>80</v>
      </c>
      <c r="T26" t="s">
        <v>89</v>
      </c>
      <c r="U26" t="s">
        <v>256</v>
      </c>
      <c r="V26" t="s">
        <v>257</v>
      </c>
      <c r="W26">
        <v>36</v>
      </c>
      <c r="X26" t="s">
        <v>53</v>
      </c>
      <c r="Y26">
        <v>0</v>
      </c>
    </row>
    <row r="27" spans="1:25" x14ac:dyDescent="0.35">
      <c r="A27" t="s">
        <v>258</v>
      </c>
      <c r="B27" s="1">
        <v>45486</v>
      </c>
      <c r="C27" s="1">
        <v>45493</v>
      </c>
      <c r="D27" t="s">
        <v>259</v>
      </c>
      <c r="E27" t="s">
        <v>260</v>
      </c>
      <c r="F27" t="s">
        <v>57</v>
      </c>
      <c r="G27" t="s">
        <v>261</v>
      </c>
      <c r="H27" t="s">
        <v>77</v>
      </c>
      <c r="I27" t="s">
        <v>45</v>
      </c>
      <c r="J27" t="s">
        <v>32</v>
      </c>
      <c r="K27" t="s">
        <v>199</v>
      </c>
      <c r="L27" t="s">
        <v>262</v>
      </c>
      <c r="M27">
        <v>9</v>
      </c>
      <c r="N27">
        <v>846</v>
      </c>
      <c r="O27">
        <v>0</v>
      </c>
      <c r="P27">
        <v>8614</v>
      </c>
      <c r="Q27">
        <v>7614.75</v>
      </c>
      <c r="R27">
        <v>999.25</v>
      </c>
      <c r="S27" t="s">
        <v>80</v>
      </c>
      <c r="T27" t="s">
        <v>36</v>
      </c>
      <c r="U27" t="s">
        <v>263</v>
      </c>
      <c r="V27" t="s">
        <v>264</v>
      </c>
      <c r="W27">
        <v>23</v>
      </c>
      <c r="X27" t="s">
        <v>53</v>
      </c>
      <c r="Y27">
        <v>0</v>
      </c>
    </row>
    <row r="28" spans="1:25" x14ac:dyDescent="0.35">
      <c r="A28" t="s">
        <v>265</v>
      </c>
      <c r="B28" s="1">
        <v>45502</v>
      </c>
      <c r="C28" s="1">
        <v>45509</v>
      </c>
      <c r="D28" t="s">
        <v>266</v>
      </c>
      <c r="E28" t="s">
        <v>267</v>
      </c>
      <c r="F28" t="s">
        <v>57</v>
      </c>
      <c r="G28" t="s">
        <v>268</v>
      </c>
      <c r="H28" t="s">
        <v>30</v>
      </c>
      <c r="I28" t="s">
        <v>31</v>
      </c>
      <c r="J28" t="s">
        <v>97</v>
      </c>
      <c r="K28" t="s">
        <v>138</v>
      </c>
      <c r="L28" t="s">
        <v>269</v>
      </c>
      <c r="M28">
        <v>9</v>
      </c>
      <c r="N28">
        <v>3917</v>
      </c>
      <c r="O28">
        <v>10</v>
      </c>
      <c r="P28">
        <v>32727.7</v>
      </c>
      <c r="Q28">
        <v>31728.5</v>
      </c>
      <c r="R28">
        <v>999.2</v>
      </c>
      <c r="S28" t="s">
        <v>80</v>
      </c>
      <c r="T28" t="s">
        <v>50</v>
      </c>
      <c r="U28" t="s">
        <v>270</v>
      </c>
      <c r="V28" t="s">
        <v>271</v>
      </c>
      <c r="W28">
        <v>11</v>
      </c>
      <c r="X28" t="s">
        <v>53</v>
      </c>
      <c r="Y28">
        <v>0</v>
      </c>
    </row>
    <row r="29" spans="1:25" x14ac:dyDescent="0.35">
      <c r="A29" t="s">
        <v>272</v>
      </c>
      <c r="B29" s="1">
        <v>45253</v>
      </c>
      <c r="C29" s="1">
        <v>45255</v>
      </c>
      <c r="D29" t="s">
        <v>273</v>
      </c>
      <c r="E29" t="s">
        <v>274</v>
      </c>
      <c r="F29" t="s">
        <v>57</v>
      </c>
      <c r="G29" t="s">
        <v>275</v>
      </c>
      <c r="H29" t="s">
        <v>136</v>
      </c>
      <c r="I29" t="s">
        <v>137</v>
      </c>
      <c r="J29" t="s">
        <v>46</v>
      </c>
      <c r="K29" t="s">
        <v>239</v>
      </c>
      <c r="L29" t="s">
        <v>276</v>
      </c>
      <c r="M29">
        <v>3</v>
      </c>
      <c r="N29">
        <v>2128</v>
      </c>
      <c r="O29">
        <v>10</v>
      </c>
      <c r="P29">
        <v>6745.6</v>
      </c>
      <c r="Q29">
        <v>5746.44</v>
      </c>
      <c r="R29">
        <v>999.16</v>
      </c>
      <c r="S29" t="s">
        <v>35</v>
      </c>
      <c r="T29" t="s">
        <v>36</v>
      </c>
      <c r="U29" t="s">
        <v>277</v>
      </c>
      <c r="V29" t="s">
        <v>278</v>
      </c>
      <c r="W29">
        <v>23</v>
      </c>
      <c r="X29" t="s">
        <v>53</v>
      </c>
      <c r="Y29">
        <v>0</v>
      </c>
    </row>
    <row r="30" spans="1:25" x14ac:dyDescent="0.35">
      <c r="A30" t="s">
        <v>279</v>
      </c>
      <c r="B30" s="1">
        <v>45536</v>
      </c>
      <c r="C30" s="1">
        <v>45540</v>
      </c>
      <c r="D30" t="s">
        <v>280</v>
      </c>
      <c r="E30" t="s">
        <v>281</v>
      </c>
      <c r="F30" t="s">
        <v>57</v>
      </c>
      <c r="G30" t="s">
        <v>282</v>
      </c>
      <c r="H30" t="s">
        <v>283</v>
      </c>
      <c r="I30" t="s">
        <v>45</v>
      </c>
      <c r="J30" t="s">
        <v>97</v>
      </c>
      <c r="K30" t="s">
        <v>47</v>
      </c>
      <c r="L30" t="s">
        <v>284</v>
      </c>
      <c r="M30">
        <v>2</v>
      </c>
      <c r="N30">
        <v>360</v>
      </c>
      <c r="O30">
        <v>20</v>
      </c>
      <c r="P30">
        <v>1576</v>
      </c>
      <c r="Q30">
        <v>576.65</v>
      </c>
      <c r="R30">
        <v>999.35</v>
      </c>
      <c r="S30" t="s">
        <v>80</v>
      </c>
      <c r="T30" t="s">
        <v>36</v>
      </c>
      <c r="U30" t="s">
        <v>285</v>
      </c>
      <c r="V30" t="s">
        <v>286</v>
      </c>
      <c r="W30">
        <v>43</v>
      </c>
      <c r="X30" t="s">
        <v>53</v>
      </c>
      <c r="Y30">
        <v>0</v>
      </c>
    </row>
    <row r="31" spans="1:25" x14ac:dyDescent="0.35">
      <c r="A31" t="s">
        <v>287</v>
      </c>
      <c r="B31" s="1">
        <v>45681</v>
      </c>
      <c r="C31" s="1">
        <v>45682</v>
      </c>
      <c r="D31" t="s">
        <v>288</v>
      </c>
      <c r="E31" t="s">
        <v>289</v>
      </c>
      <c r="F31" t="s">
        <v>95</v>
      </c>
      <c r="G31" t="s">
        <v>290</v>
      </c>
      <c r="H31" t="s">
        <v>172</v>
      </c>
      <c r="I31" t="s">
        <v>45</v>
      </c>
      <c r="J31" t="s">
        <v>32</v>
      </c>
      <c r="K31" t="s">
        <v>155</v>
      </c>
      <c r="L31" t="s">
        <v>291</v>
      </c>
      <c r="M31">
        <v>6</v>
      </c>
      <c r="N31">
        <v>4786</v>
      </c>
      <c r="O31">
        <v>5</v>
      </c>
      <c r="P31">
        <v>28280.2</v>
      </c>
      <c r="Q31">
        <v>27280.81</v>
      </c>
      <c r="R31">
        <v>999.39</v>
      </c>
      <c r="S31" t="s">
        <v>100</v>
      </c>
      <c r="T31" t="s">
        <v>140</v>
      </c>
      <c r="U31" t="s">
        <v>292</v>
      </c>
      <c r="V31" t="s">
        <v>293</v>
      </c>
      <c r="W31">
        <v>16</v>
      </c>
      <c r="X31" t="s">
        <v>53</v>
      </c>
      <c r="Y31">
        <v>0</v>
      </c>
    </row>
    <row r="32" spans="1:25" x14ac:dyDescent="0.35">
      <c r="A32" t="s">
        <v>294</v>
      </c>
      <c r="B32" s="1">
        <v>45751</v>
      </c>
      <c r="C32" s="1">
        <v>45753</v>
      </c>
      <c r="D32" t="s">
        <v>295</v>
      </c>
      <c r="E32" t="s">
        <v>296</v>
      </c>
      <c r="F32" t="s">
        <v>95</v>
      </c>
      <c r="G32" t="s">
        <v>297</v>
      </c>
      <c r="H32" t="s">
        <v>107</v>
      </c>
      <c r="I32" t="s">
        <v>108</v>
      </c>
      <c r="J32" t="s">
        <v>32</v>
      </c>
      <c r="K32" t="s">
        <v>155</v>
      </c>
      <c r="L32" t="s">
        <v>298</v>
      </c>
      <c r="M32">
        <v>10</v>
      </c>
      <c r="N32">
        <v>4649</v>
      </c>
      <c r="O32">
        <v>10</v>
      </c>
      <c r="P32">
        <v>42841</v>
      </c>
      <c r="Q32">
        <v>41841.699999999997</v>
      </c>
      <c r="R32">
        <v>999.3</v>
      </c>
      <c r="S32" t="s">
        <v>100</v>
      </c>
      <c r="T32" t="s">
        <v>36</v>
      </c>
      <c r="U32" t="s">
        <v>299</v>
      </c>
      <c r="V32" t="s">
        <v>300</v>
      </c>
      <c r="W32">
        <v>38</v>
      </c>
      <c r="X32" t="s">
        <v>53</v>
      </c>
      <c r="Y32">
        <v>0</v>
      </c>
    </row>
    <row r="33" spans="1:25" x14ac:dyDescent="0.35">
      <c r="A33" t="s">
        <v>301</v>
      </c>
      <c r="B33" s="1">
        <v>45880</v>
      </c>
      <c r="C33" s="1">
        <v>45885</v>
      </c>
      <c r="D33" t="s">
        <v>302</v>
      </c>
      <c r="E33" t="s">
        <v>303</v>
      </c>
      <c r="F33" t="s">
        <v>57</v>
      </c>
      <c r="G33" t="s">
        <v>304</v>
      </c>
      <c r="H33" t="s">
        <v>44</v>
      </c>
      <c r="I33" t="s">
        <v>45</v>
      </c>
      <c r="J33" t="s">
        <v>97</v>
      </c>
      <c r="K33" t="s">
        <v>173</v>
      </c>
      <c r="L33" t="s">
        <v>305</v>
      </c>
      <c r="M33">
        <v>10</v>
      </c>
      <c r="N33">
        <v>3855</v>
      </c>
      <c r="O33">
        <v>20</v>
      </c>
      <c r="P33">
        <v>31840</v>
      </c>
      <c r="Q33">
        <v>30840.84</v>
      </c>
      <c r="R33">
        <v>999.16</v>
      </c>
      <c r="S33" t="s">
        <v>80</v>
      </c>
      <c r="T33" t="s">
        <v>50</v>
      </c>
      <c r="U33" t="s">
        <v>306</v>
      </c>
      <c r="V33" t="s">
        <v>307</v>
      </c>
      <c r="W33">
        <v>8</v>
      </c>
      <c r="X33" t="s">
        <v>39</v>
      </c>
      <c r="Y33">
        <v>50</v>
      </c>
    </row>
    <row r="34" spans="1:25" x14ac:dyDescent="0.35">
      <c r="A34" t="s">
        <v>308</v>
      </c>
      <c r="B34" s="1">
        <v>45337</v>
      </c>
      <c r="C34" s="1">
        <v>45338</v>
      </c>
      <c r="D34" t="s">
        <v>309</v>
      </c>
      <c r="E34" t="s">
        <v>310</v>
      </c>
      <c r="F34" t="s">
        <v>57</v>
      </c>
      <c r="G34" t="s">
        <v>311</v>
      </c>
      <c r="H34" t="s">
        <v>107</v>
      </c>
      <c r="I34" t="s">
        <v>108</v>
      </c>
      <c r="J34" t="s">
        <v>46</v>
      </c>
      <c r="K34" t="s">
        <v>312</v>
      </c>
      <c r="L34" t="s">
        <v>313</v>
      </c>
      <c r="M34">
        <v>4</v>
      </c>
      <c r="N34">
        <v>2918</v>
      </c>
      <c r="O34">
        <v>5</v>
      </c>
      <c r="P34">
        <v>12088.4</v>
      </c>
      <c r="Q34">
        <v>11089.21</v>
      </c>
      <c r="R34">
        <v>999.19</v>
      </c>
      <c r="S34" t="s">
        <v>49</v>
      </c>
      <c r="T34" t="s">
        <v>140</v>
      </c>
      <c r="U34" t="s">
        <v>314</v>
      </c>
      <c r="V34" t="s">
        <v>315</v>
      </c>
      <c r="W34">
        <v>38</v>
      </c>
      <c r="X34" t="s">
        <v>53</v>
      </c>
      <c r="Y34">
        <v>0</v>
      </c>
    </row>
    <row r="35" spans="1:25" x14ac:dyDescent="0.35">
      <c r="A35" t="s">
        <v>316</v>
      </c>
      <c r="B35" s="1">
        <v>45451</v>
      </c>
      <c r="C35" s="1">
        <v>45453</v>
      </c>
      <c r="D35" t="s">
        <v>317</v>
      </c>
      <c r="E35" t="s">
        <v>318</v>
      </c>
      <c r="F35" t="s">
        <v>95</v>
      </c>
      <c r="G35" t="s">
        <v>319</v>
      </c>
      <c r="H35" t="s">
        <v>320</v>
      </c>
      <c r="I35" t="s">
        <v>137</v>
      </c>
      <c r="J35" t="s">
        <v>97</v>
      </c>
      <c r="K35" t="s">
        <v>98</v>
      </c>
      <c r="L35" t="s">
        <v>321</v>
      </c>
      <c r="M35">
        <v>10</v>
      </c>
      <c r="N35">
        <v>796</v>
      </c>
      <c r="O35">
        <v>10</v>
      </c>
      <c r="P35">
        <v>8164</v>
      </c>
      <c r="Q35">
        <v>7164.76</v>
      </c>
      <c r="R35">
        <v>999.24</v>
      </c>
      <c r="S35" t="s">
        <v>100</v>
      </c>
      <c r="T35" t="s">
        <v>50</v>
      </c>
      <c r="U35" t="s">
        <v>322</v>
      </c>
      <c r="V35" t="s">
        <v>323</v>
      </c>
      <c r="W35">
        <v>14</v>
      </c>
      <c r="X35" t="s">
        <v>53</v>
      </c>
      <c r="Y35">
        <v>0</v>
      </c>
    </row>
    <row r="36" spans="1:25" x14ac:dyDescent="0.35">
      <c r="A36" t="s">
        <v>324</v>
      </c>
      <c r="B36" s="1">
        <v>45488</v>
      </c>
      <c r="C36" s="1">
        <v>45492</v>
      </c>
      <c r="D36" t="s">
        <v>133</v>
      </c>
      <c r="E36" t="s">
        <v>325</v>
      </c>
      <c r="F36" t="s">
        <v>57</v>
      </c>
      <c r="G36" t="s">
        <v>326</v>
      </c>
      <c r="H36" t="s">
        <v>127</v>
      </c>
      <c r="I36" t="s">
        <v>45</v>
      </c>
      <c r="J36" t="s">
        <v>46</v>
      </c>
      <c r="K36" t="s">
        <v>231</v>
      </c>
      <c r="L36" t="s">
        <v>327</v>
      </c>
      <c r="M36">
        <v>1</v>
      </c>
      <c r="N36">
        <v>1795</v>
      </c>
      <c r="O36">
        <v>20</v>
      </c>
      <c r="P36">
        <v>2436</v>
      </c>
      <c r="Q36">
        <v>1436.67</v>
      </c>
      <c r="R36">
        <v>999.33</v>
      </c>
      <c r="S36" t="s">
        <v>35</v>
      </c>
      <c r="T36" t="s">
        <v>140</v>
      </c>
      <c r="U36" t="s">
        <v>328</v>
      </c>
      <c r="V36" t="s">
        <v>329</v>
      </c>
      <c r="W36">
        <v>17</v>
      </c>
      <c r="X36" t="s">
        <v>53</v>
      </c>
      <c r="Y36">
        <v>0</v>
      </c>
    </row>
    <row r="37" spans="1:25" x14ac:dyDescent="0.35">
      <c r="A37" t="s">
        <v>330</v>
      </c>
      <c r="B37" s="1">
        <v>45721</v>
      </c>
      <c r="C37" s="1">
        <v>45723</v>
      </c>
      <c r="D37" t="s">
        <v>331</v>
      </c>
      <c r="E37" t="s">
        <v>332</v>
      </c>
      <c r="F37" t="s">
        <v>57</v>
      </c>
      <c r="G37" t="s">
        <v>333</v>
      </c>
      <c r="H37" t="s">
        <v>334</v>
      </c>
      <c r="I37" t="s">
        <v>108</v>
      </c>
      <c r="J37" t="s">
        <v>32</v>
      </c>
      <c r="K37" t="s">
        <v>119</v>
      </c>
      <c r="L37" t="s">
        <v>335</v>
      </c>
      <c r="M37">
        <v>2</v>
      </c>
      <c r="N37">
        <v>532</v>
      </c>
      <c r="O37">
        <v>20</v>
      </c>
      <c r="P37">
        <v>1051.2</v>
      </c>
      <c r="Q37">
        <v>851.83</v>
      </c>
      <c r="R37">
        <v>199.37</v>
      </c>
      <c r="S37" t="s">
        <v>49</v>
      </c>
      <c r="T37" t="s">
        <v>140</v>
      </c>
      <c r="U37" t="s">
        <v>336</v>
      </c>
      <c r="V37" t="s">
        <v>337</v>
      </c>
      <c r="W37">
        <v>5</v>
      </c>
      <c r="X37" t="s">
        <v>39</v>
      </c>
      <c r="Y37">
        <v>46</v>
      </c>
    </row>
    <row r="38" spans="1:25" x14ac:dyDescent="0.35">
      <c r="A38" t="s">
        <v>338</v>
      </c>
      <c r="B38" s="1">
        <v>45274</v>
      </c>
      <c r="C38" s="1">
        <v>45277</v>
      </c>
      <c r="D38" t="s">
        <v>339</v>
      </c>
      <c r="E38" t="s">
        <v>340</v>
      </c>
      <c r="F38" t="s">
        <v>28</v>
      </c>
      <c r="G38" t="s">
        <v>341</v>
      </c>
      <c r="H38" t="s">
        <v>30</v>
      </c>
      <c r="I38" t="s">
        <v>31</v>
      </c>
      <c r="J38" t="s">
        <v>46</v>
      </c>
      <c r="K38" t="s">
        <v>222</v>
      </c>
      <c r="L38" t="s">
        <v>342</v>
      </c>
      <c r="M38">
        <v>8</v>
      </c>
      <c r="N38">
        <v>3589</v>
      </c>
      <c r="O38">
        <v>5</v>
      </c>
      <c r="P38">
        <v>27476.400000000001</v>
      </c>
      <c r="Q38">
        <v>27277.279999999999</v>
      </c>
      <c r="R38">
        <v>199.12</v>
      </c>
      <c r="S38" t="s">
        <v>80</v>
      </c>
      <c r="T38" t="s">
        <v>89</v>
      </c>
      <c r="U38" t="s">
        <v>343</v>
      </c>
      <c r="V38" t="s">
        <v>344</v>
      </c>
      <c r="W38">
        <v>40</v>
      </c>
      <c r="X38" t="s">
        <v>53</v>
      </c>
      <c r="Y38">
        <v>0</v>
      </c>
    </row>
    <row r="39" spans="1:25" x14ac:dyDescent="0.35">
      <c r="A39" t="s">
        <v>345</v>
      </c>
      <c r="B39" s="1">
        <v>45483</v>
      </c>
      <c r="C39" s="1">
        <v>45489</v>
      </c>
      <c r="D39" t="s">
        <v>346</v>
      </c>
      <c r="E39" t="s">
        <v>347</v>
      </c>
      <c r="F39" t="s">
        <v>28</v>
      </c>
      <c r="G39" t="s">
        <v>348</v>
      </c>
      <c r="H39" t="s">
        <v>136</v>
      </c>
      <c r="I39" t="s">
        <v>137</v>
      </c>
      <c r="J39" t="s">
        <v>46</v>
      </c>
      <c r="K39" t="s">
        <v>349</v>
      </c>
      <c r="L39" t="s">
        <v>350</v>
      </c>
      <c r="M39">
        <v>2</v>
      </c>
      <c r="N39">
        <v>2383</v>
      </c>
      <c r="O39">
        <v>15</v>
      </c>
      <c r="P39">
        <v>4251.1000000000004</v>
      </c>
      <c r="Q39">
        <v>4051.72</v>
      </c>
      <c r="R39">
        <v>199.38</v>
      </c>
      <c r="S39" t="s">
        <v>35</v>
      </c>
      <c r="T39" t="s">
        <v>50</v>
      </c>
      <c r="U39" t="s">
        <v>351</v>
      </c>
      <c r="V39" t="s">
        <v>352</v>
      </c>
      <c r="W39">
        <v>9</v>
      </c>
      <c r="X39" t="s">
        <v>39</v>
      </c>
      <c r="Y39">
        <v>48</v>
      </c>
    </row>
    <row r="40" spans="1:25" x14ac:dyDescent="0.35">
      <c r="A40" t="s">
        <v>353</v>
      </c>
      <c r="B40" s="1">
        <v>45263</v>
      </c>
      <c r="C40" s="1">
        <v>45264</v>
      </c>
      <c r="D40" t="s">
        <v>354</v>
      </c>
      <c r="E40" t="s">
        <v>355</v>
      </c>
      <c r="F40" t="s">
        <v>57</v>
      </c>
      <c r="G40" t="s">
        <v>356</v>
      </c>
      <c r="H40" t="s">
        <v>230</v>
      </c>
      <c r="I40" t="s">
        <v>137</v>
      </c>
      <c r="J40" t="s">
        <v>97</v>
      </c>
      <c r="K40" t="s">
        <v>47</v>
      </c>
      <c r="L40" t="s">
        <v>357</v>
      </c>
      <c r="M40">
        <v>3</v>
      </c>
      <c r="N40">
        <v>304</v>
      </c>
      <c r="O40">
        <v>0</v>
      </c>
      <c r="P40">
        <v>1112</v>
      </c>
      <c r="Q40">
        <v>912.75</v>
      </c>
      <c r="R40">
        <v>199.25</v>
      </c>
      <c r="S40" t="s">
        <v>100</v>
      </c>
      <c r="T40" t="s">
        <v>36</v>
      </c>
      <c r="U40" t="s">
        <v>358</v>
      </c>
      <c r="V40" t="s">
        <v>359</v>
      </c>
      <c r="W40">
        <v>34</v>
      </c>
      <c r="X40" t="s">
        <v>53</v>
      </c>
      <c r="Y40">
        <v>0</v>
      </c>
    </row>
    <row r="41" spans="1:25" x14ac:dyDescent="0.35">
      <c r="A41" t="s">
        <v>360</v>
      </c>
      <c r="B41" s="1">
        <v>45653</v>
      </c>
      <c r="C41" s="1">
        <v>45655</v>
      </c>
      <c r="D41" t="s">
        <v>361</v>
      </c>
      <c r="E41" t="s">
        <v>362</v>
      </c>
      <c r="F41" t="s">
        <v>57</v>
      </c>
      <c r="G41" t="s">
        <v>363</v>
      </c>
      <c r="H41" t="s">
        <v>364</v>
      </c>
      <c r="I41" t="s">
        <v>137</v>
      </c>
      <c r="J41" t="s">
        <v>32</v>
      </c>
      <c r="K41" t="s">
        <v>199</v>
      </c>
      <c r="L41" t="s">
        <v>365</v>
      </c>
      <c r="M41">
        <v>4</v>
      </c>
      <c r="N41">
        <v>490</v>
      </c>
      <c r="O41">
        <v>15</v>
      </c>
      <c r="P41">
        <v>1866</v>
      </c>
      <c r="Q41">
        <v>1666.63</v>
      </c>
      <c r="R41">
        <v>199.37</v>
      </c>
      <c r="S41" t="s">
        <v>35</v>
      </c>
      <c r="T41" t="s">
        <v>36</v>
      </c>
      <c r="U41" t="s">
        <v>366</v>
      </c>
      <c r="V41" t="s">
        <v>367</v>
      </c>
      <c r="W41">
        <v>25</v>
      </c>
      <c r="X41" t="s">
        <v>53</v>
      </c>
      <c r="Y41">
        <v>0</v>
      </c>
    </row>
    <row r="42" spans="1:25" x14ac:dyDescent="0.35">
      <c r="A42" t="s">
        <v>368</v>
      </c>
      <c r="B42" s="1">
        <v>45944</v>
      </c>
      <c r="C42" s="1">
        <v>45945</v>
      </c>
      <c r="D42" t="s">
        <v>369</v>
      </c>
      <c r="E42" t="s">
        <v>370</v>
      </c>
      <c r="F42" t="s">
        <v>57</v>
      </c>
      <c r="G42" t="s">
        <v>371</v>
      </c>
      <c r="H42" t="s">
        <v>127</v>
      </c>
      <c r="I42" t="s">
        <v>45</v>
      </c>
      <c r="J42" t="s">
        <v>32</v>
      </c>
      <c r="K42" t="s">
        <v>173</v>
      </c>
      <c r="L42" t="s">
        <v>372</v>
      </c>
      <c r="M42">
        <v>2</v>
      </c>
      <c r="N42">
        <v>2095</v>
      </c>
      <c r="O42">
        <v>0</v>
      </c>
      <c r="P42">
        <v>4390</v>
      </c>
      <c r="Q42">
        <v>4190.76</v>
      </c>
      <c r="R42">
        <v>199.24</v>
      </c>
      <c r="S42" t="s">
        <v>80</v>
      </c>
      <c r="T42" t="s">
        <v>89</v>
      </c>
      <c r="U42" t="s">
        <v>373</v>
      </c>
      <c r="V42" t="s">
        <v>374</v>
      </c>
      <c r="W42">
        <v>28</v>
      </c>
      <c r="X42" t="s">
        <v>53</v>
      </c>
      <c r="Y42">
        <v>0</v>
      </c>
    </row>
    <row r="43" spans="1:25" x14ac:dyDescent="0.35">
      <c r="A43" t="s">
        <v>375</v>
      </c>
      <c r="B43" s="1">
        <v>45611</v>
      </c>
      <c r="C43" s="1">
        <v>45616</v>
      </c>
      <c r="D43" t="s">
        <v>376</v>
      </c>
      <c r="E43" t="s">
        <v>377</v>
      </c>
      <c r="F43" t="s">
        <v>95</v>
      </c>
      <c r="G43" t="s">
        <v>378</v>
      </c>
      <c r="H43" t="s">
        <v>320</v>
      </c>
      <c r="I43" t="s">
        <v>137</v>
      </c>
      <c r="J43" t="s">
        <v>118</v>
      </c>
      <c r="K43" t="s">
        <v>60</v>
      </c>
      <c r="L43" t="s">
        <v>379</v>
      </c>
      <c r="M43">
        <v>9</v>
      </c>
      <c r="N43">
        <v>2719</v>
      </c>
      <c r="O43">
        <v>20</v>
      </c>
      <c r="P43">
        <v>19776.8</v>
      </c>
      <c r="Q43">
        <v>19577.62</v>
      </c>
      <c r="R43">
        <v>199.18</v>
      </c>
      <c r="S43" t="s">
        <v>49</v>
      </c>
      <c r="T43" t="s">
        <v>36</v>
      </c>
      <c r="U43" t="s">
        <v>380</v>
      </c>
      <c r="V43" t="s">
        <v>381</v>
      </c>
      <c r="W43">
        <v>19</v>
      </c>
      <c r="X43" t="s">
        <v>53</v>
      </c>
      <c r="Y43">
        <v>0</v>
      </c>
    </row>
    <row r="44" spans="1:25" x14ac:dyDescent="0.35">
      <c r="A44" t="s">
        <v>382</v>
      </c>
      <c r="B44" s="1">
        <v>45801</v>
      </c>
      <c r="C44" s="1">
        <v>45807</v>
      </c>
      <c r="D44" t="s">
        <v>383</v>
      </c>
      <c r="E44" t="s">
        <v>384</v>
      </c>
      <c r="F44" t="s">
        <v>28</v>
      </c>
      <c r="G44" t="s">
        <v>385</v>
      </c>
      <c r="H44" t="s">
        <v>68</v>
      </c>
      <c r="I44" t="s">
        <v>31</v>
      </c>
      <c r="J44" t="s">
        <v>32</v>
      </c>
      <c r="K44" t="s">
        <v>109</v>
      </c>
      <c r="L44" t="s">
        <v>386</v>
      </c>
      <c r="M44">
        <v>3</v>
      </c>
      <c r="N44">
        <v>544</v>
      </c>
      <c r="O44">
        <v>15</v>
      </c>
      <c r="P44">
        <v>1587.2</v>
      </c>
      <c r="Q44">
        <v>1387.84</v>
      </c>
      <c r="R44">
        <v>199.36</v>
      </c>
      <c r="S44" t="s">
        <v>35</v>
      </c>
      <c r="T44" t="s">
        <v>140</v>
      </c>
      <c r="U44" t="s">
        <v>387</v>
      </c>
      <c r="V44" t="s">
        <v>388</v>
      </c>
      <c r="W44">
        <v>29</v>
      </c>
      <c r="X44" t="s">
        <v>53</v>
      </c>
      <c r="Y44">
        <v>0</v>
      </c>
    </row>
    <row r="45" spans="1:25" x14ac:dyDescent="0.35">
      <c r="A45" t="s">
        <v>389</v>
      </c>
      <c r="B45" s="1">
        <v>45477</v>
      </c>
      <c r="C45" s="1">
        <v>45481</v>
      </c>
      <c r="D45" t="s">
        <v>390</v>
      </c>
      <c r="E45" t="s">
        <v>391</v>
      </c>
      <c r="F45" t="s">
        <v>57</v>
      </c>
      <c r="G45" t="s">
        <v>392</v>
      </c>
      <c r="H45" t="s">
        <v>30</v>
      </c>
      <c r="I45" t="s">
        <v>31</v>
      </c>
      <c r="J45" t="s">
        <v>97</v>
      </c>
      <c r="K45" t="s">
        <v>190</v>
      </c>
      <c r="L45" t="s">
        <v>393</v>
      </c>
      <c r="M45">
        <v>5</v>
      </c>
      <c r="N45">
        <v>2981</v>
      </c>
      <c r="O45">
        <v>20</v>
      </c>
      <c r="P45">
        <v>12124</v>
      </c>
      <c r="Q45">
        <v>11924.86</v>
      </c>
      <c r="R45">
        <v>199.14</v>
      </c>
      <c r="S45" t="s">
        <v>80</v>
      </c>
      <c r="T45" t="s">
        <v>89</v>
      </c>
      <c r="U45" t="s">
        <v>394</v>
      </c>
      <c r="V45" t="s">
        <v>395</v>
      </c>
      <c r="W45">
        <v>41</v>
      </c>
      <c r="X45" t="s">
        <v>53</v>
      </c>
      <c r="Y45">
        <v>0</v>
      </c>
    </row>
    <row r="46" spans="1:25" x14ac:dyDescent="0.35">
      <c r="A46" t="s">
        <v>396</v>
      </c>
      <c r="B46" s="1">
        <v>45610</v>
      </c>
      <c r="C46" s="1">
        <v>45614</v>
      </c>
      <c r="D46" t="s">
        <v>397</v>
      </c>
      <c r="E46" t="s">
        <v>398</v>
      </c>
      <c r="F46" t="s">
        <v>57</v>
      </c>
      <c r="G46" t="s">
        <v>399</v>
      </c>
      <c r="H46" t="s">
        <v>320</v>
      </c>
      <c r="I46" t="s">
        <v>137</v>
      </c>
      <c r="J46" t="s">
        <v>46</v>
      </c>
      <c r="K46" t="s">
        <v>400</v>
      </c>
      <c r="L46" t="s">
        <v>401</v>
      </c>
      <c r="M46">
        <v>2</v>
      </c>
      <c r="N46">
        <v>4396</v>
      </c>
      <c r="O46">
        <v>20</v>
      </c>
      <c r="P46">
        <v>7233.6</v>
      </c>
      <c r="Q46">
        <v>7034.28</v>
      </c>
      <c r="R46">
        <v>199.32</v>
      </c>
      <c r="S46" t="s">
        <v>100</v>
      </c>
      <c r="T46" t="s">
        <v>89</v>
      </c>
      <c r="U46" t="s">
        <v>402</v>
      </c>
      <c r="V46" t="s">
        <v>403</v>
      </c>
      <c r="W46">
        <v>3</v>
      </c>
      <c r="X46" t="s">
        <v>39</v>
      </c>
      <c r="Y46">
        <v>24</v>
      </c>
    </row>
    <row r="47" spans="1:25" x14ac:dyDescent="0.35">
      <c r="A47" t="s">
        <v>404</v>
      </c>
      <c r="B47" s="1">
        <v>45351</v>
      </c>
      <c r="C47" s="1">
        <v>45356</v>
      </c>
      <c r="D47" t="s">
        <v>405</v>
      </c>
      <c r="E47" t="s">
        <v>406</v>
      </c>
      <c r="F47" t="s">
        <v>28</v>
      </c>
      <c r="G47" t="s">
        <v>407</v>
      </c>
      <c r="H47" t="s">
        <v>77</v>
      </c>
      <c r="I47" t="s">
        <v>45</v>
      </c>
      <c r="J47" t="s">
        <v>97</v>
      </c>
      <c r="K47" t="s">
        <v>138</v>
      </c>
      <c r="L47" t="s">
        <v>408</v>
      </c>
      <c r="M47">
        <v>6</v>
      </c>
      <c r="N47">
        <v>3632</v>
      </c>
      <c r="O47">
        <v>10</v>
      </c>
      <c r="P47">
        <v>19812.8</v>
      </c>
      <c r="Q47">
        <v>19613.43</v>
      </c>
      <c r="R47">
        <v>199.37</v>
      </c>
      <c r="S47" t="s">
        <v>49</v>
      </c>
      <c r="T47" t="s">
        <v>36</v>
      </c>
      <c r="U47" t="s">
        <v>409</v>
      </c>
      <c r="V47" t="s">
        <v>410</v>
      </c>
      <c r="W47">
        <v>9</v>
      </c>
      <c r="X47" t="s">
        <v>39</v>
      </c>
      <c r="Y47">
        <v>20</v>
      </c>
    </row>
    <row r="48" spans="1:25" x14ac:dyDescent="0.35">
      <c r="A48" t="s">
        <v>411</v>
      </c>
      <c r="B48" s="1">
        <v>45592</v>
      </c>
      <c r="C48" s="1">
        <v>45596</v>
      </c>
      <c r="D48" t="s">
        <v>412</v>
      </c>
      <c r="E48" t="s">
        <v>413</v>
      </c>
      <c r="F48" t="s">
        <v>28</v>
      </c>
      <c r="G48" t="s">
        <v>414</v>
      </c>
      <c r="H48" t="s">
        <v>334</v>
      </c>
      <c r="I48" t="s">
        <v>108</v>
      </c>
      <c r="J48" t="s">
        <v>118</v>
      </c>
      <c r="K48" t="s">
        <v>415</v>
      </c>
      <c r="L48" t="s">
        <v>416</v>
      </c>
      <c r="M48">
        <v>1</v>
      </c>
      <c r="N48">
        <v>3468</v>
      </c>
      <c r="O48">
        <v>15</v>
      </c>
      <c r="P48">
        <v>3147.8</v>
      </c>
      <c r="Q48">
        <v>2948.68</v>
      </c>
      <c r="R48">
        <v>199.12</v>
      </c>
      <c r="S48" t="s">
        <v>49</v>
      </c>
      <c r="T48" t="s">
        <v>140</v>
      </c>
      <c r="U48" t="s">
        <v>417</v>
      </c>
      <c r="V48" t="s">
        <v>418</v>
      </c>
      <c r="W48">
        <v>50</v>
      </c>
      <c r="X48" t="s">
        <v>53</v>
      </c>
      <c r="Y48">
        <v>0</v>
      </c>
    </row>
    <row r="49" spans="1:25" x14ac:dyDescent="0.35">
      <c r="A49" t="s">
        <v>419</v>
      </c>
      <c r="B49" s="1">
        <v>45281</v>
      </c>
      <c r="C49" s="1">
        <v>45283</v>
      </c>
      <c r="D49" t="s">
        <v>420</v>
      </c>
      <c r="E49" t="s">
        <v>421</v>
      </c>
      <c r="F49" t="s">
        <v>95</v>
      </c>
      <c r="G49" t="s">
        <v>422</v>
      </c>
      <c r="H49" t="s">
        <v>163</v>
      </c>
      <c r="I49" t="s">
        <v>108</v>
      </c>
      <c r="J49" t="s">
        <v>97</v>
      </c>
      <c r="K49" t="s">
        <v>60</v>
      </c>
      <c r="L49" t="s">
        <v>423</v>
      </c>
      <c r="M49">
        <v>3</v>
      </c>
      <c r="N49">
        <v>4915</v>
      </c>
      <c r="O49">
        <v>5</v>
      </c>
      <c r="P49">
        <v>14207.75</v>
      </c>
      <c r="Q49">
        <v>14008.41</v>
      </c>
      <c r="R49">
        <v>199.34</v>
      </c>
      <c r="S49" t="s">
        <v>49</v>
      </c>
      <c r="T49" t="s">
        <v>140</v>
      </c>
      <c r="U49" t="s">
        <v>424</v>
      </c>
      <c r="V49" t="s">
        <v>425</v>
      </c>
      <c r="W49">
        <v>30</v>
      </c>
      <c r="X49" t="s">
        <v>53</v>
      </c>
      <c r="Y49">
        <v>0</v>
      </c>
    </row>
    <row r="50" spans="1:25" x14ac:dyDescent="0.35">
      <c r="A50" t="s">
        <v>426</v>
      </c>
      <c r="B50" s="1">
        <v>45815</v>
      </c>
      <c r="C50" s="1">
        <v>45821</v>
      </c>
      <c r="D50" t="s">
        <v>427</v>
      </c>
      <c r="E50" t="s">
        <v>428</v>
      </c>
      <c r="F50" t="s">
        <v>28</v>
      </c>
      <c r="G50" t="s">
        <v>429</v>
      </c>
      <c r="H50" t="s">
        <v>320</v>
      </c>
      <c r="I50" t="s">
        <v>137</v>
      </c>
      <c r="J50" t="s">
        <v>46</v>
      </c>
      <c r="K50" t="s">
        <v>430</v>
      </c>
      <c r="L50" t="s">
        <v>431</v>
      </c>
      <c r="M50">
        <v>6</v>
      </c>
      <c r="N50">
        <v>3529</v>
      </c>
      <c r="O50">
        <v>15</v>
      </c>
      <c r="P50">
        <v>18197.900000000001</v>
      </c>
      <c r="Q50">
        <v>17998.669999999998</v>
      </c>
      <c r="R50">
        <v>199.23</v>
      </c>
      <c r="S50" t="s">
        <v>49</v>
      </c>
      <c r="T50" t="s">
        <v>50</v>
      </c>
      <c r="U50" t="s">
        <v>432</v>
      </c>
      <c r="V50" t="s">
        <v>433</v>
      </c>
      <c r="W50">
        <v>24</v>
      </c>
      <c r="X50" t="s">
        <v>53</v>
      </c>
      <c r="Y50">
        <v>0</v>
      </c>
    </row>
    <row r="51" spans="1:25" x14ac:dyDescent="0.35">
      <c r="A51" t="s">
        <v>434</v>
      </c>
      <c r="B51" s="1">
        <v>45384</v>
      </c>
      <c r="C51" s="1">
        <v>45390</v>
      </c>
      <c r="D51" t="s">
        <v>435</v>
      </c>
      <c r="E51" t="s">
        <v>436</v>
      </c>
      <c r="F51" t="s">
        <v>57</v>
      </c>
      <c r="G51" t="s">
        <v>437</v>
      </c>
      <c r="H51" t="s">
        <v>320</v>
      </c>
      <c r="I51" t="s">
        <v>137</v>
      </c>
      <c r="J51" t="s">
        <v>32</v>
      </c>
      <c r="K51" t="s">
        <v>430</v>
      </c>
      <c r="L51" t="s">
        <v>438</v>
      </c>
      <c r="M51">
        <v>3</v>
      </c>
      <c r="N51">
        <v>3754</v>
      </c>
      <c r="O51">
        <v>20</v>
      </c>
      <c r="P51">
        <v>9209.6</v>
      </c>
      <c r="Q51">
        <v>9010.33</v>
      </c>
      <c r="R51">
        <v>199.27</v>
      </c>
      <c r="S51" t="s">
        <v>100</v>
      </c>
      <c r="T51" t="s">
        <v>50</v>
      </c>
      <c r="U51" t="s">
        <v>439</v>
      </c>
      <c r="V51" t="s">
        <v>440</v>
      </c>
      <c r="W51">
        <v>8</v>
      </c>
      <c r="X51" t="s">
        <v>39</v>
      </c>
      <c r="Y51">
        <v>27</v>
      </c>
    </row>
    <row r="52" spans="1:25" x14ac:dyDescent="0.35">
      <c r="A52" t="s">
        <v>441</v>
      </c>
      <c r="B52" s="1">
        <v>45362</v>
      </c>
      <c r="C52" s="1">
        <v>45367</v>
      </c>
      <c r="D52" t="s">
        <v>442</v>
      </c>
      <c r="E52" t="s">
        <v>443</v>
      </c>
      <c r="F52" t="s">
        <v>57</v>
      </c>
      <c r="G52" t="s">
        <v>444</v>
      </c>
      <c r="H52" t="s">
        <v>127</v>
      </c>
      <c r="I52" t="s">
        <v>45</v>
      </c>
      <c r="J52" t="s">
        <v>46</v>
      </c>
      <c r="K52" t="s">
        <v>190</v>
      </c>
      <c r="L52" t="s">
        <v>445</v>
      </c>
      <c r="M52">
        <v>3</v>
      </c>
      <c r="N52">
        <v>1242</v>
      </c>
      <c r="O52">
        <v>15</v>
      </c>
      <c r="P52">
        <v>3367.1</v>
      </c>
      <c r="Q52">
        <v>3167.98</v>
      </c>
      <c r="R52">
        <v>199.12</v>
      </c>
      <c r="S52" t="s">
        <v>49</v>
      </c>
      <c r="T52" t="s">
        <v>36</v>
      </c>
      <c r="U52" t="s">
        <v>446</v>
      </c>
      <c r="V52" t="s">
        <v>447</v>
      </c>
      <c r="W52">
        <v>47</v>
      </c>
      <c r="X52" t="s">
        <v>53</v>
      </c>
      <c r="Y52">
        <v>0</v>
      </c>
    </row>
    <row r="53" spans="1:25" x14ac:dyDescent="0.35">
      <c r="A53" t="s">
        <v>448</v>
      </c>
      <c r="B53" s="1">
        <v>45747</v>
      </c>
      <c r="C53" s="1">
        <v>45752</v>
      </c>
      <c r="D53" t="s">
        <v>449</v>
      </c>
      <c r="E53" t="s">
        <v>450</v>
      </c>
      <c r="F53" t="s">
        <v>28</v>
      </c>
      <c r="G53" t="s">
        <v>451</v>
      </c>
      <c r="H53" t="s">
        <v>163</v>
      </c>
      <c r="I53" t="s">
        <v>108</v>
      </c>
      <c r="J53" t="s">
        <v>32</v>
      </c>
      <c r="K53" t="s">
        <v>430</v>
      </c>
      <c r="L53" t="s">
        <v>452</v>
      </c>
      <c r="M53">
        <v>7</v>
      </c>
      <c r="N53">
        <v>4762</v>
      </c>
      <c r="O53">
        <v>20</v>
      </c>
      <c r="P53">
        <v>26867.200000000001</v>
      </c>
      <c r="Q53">
        <v>26668.080000000002</v>
      </c>
      <c r="R53">
        <v>199.12</v>
      </c>
      <c r="S53" t="s">
        <v>49</v>
      </c>
      <c r="T53" t="s">
        <v>36</v>
      </c>
      <c r="U53" t="s">
        <v>453</v>
      </c>
      <c r="V53" t="s">
        <v>454</v>
      </c>
      <c r="W53">
        <v>25</v>
      </c>
      <c r="X53" t="s">
        <v>53</v>
      </c>
      <c r="Y53">
        <v>0</v>
      </c>
    </row>
    <row r="54" spans="1:25" x14ac:dyDescent="0.35">
      <c r="A54" t="s">
        <v>455</v>
      </c>
      <c r="B54" s="1">
        <v>45361</v>
      </c>
      <c r="C54" s="1">
        <v>45362</v>
      </c>
      <c r="D54" t="s">
        <v>456</v>
      </c>
      <c r="E54" t="s">
        <v>457</v>
      </c>
      <c r="F54" t="s">
        <v>28</v>
      </c>
      <c r="G54" t="s">
        <v>458</v>
      </c>
      <c r="H54" t="s">
        <v>320</v>
      </c>
      <c r="I54" t="s">
        <v>137</v>
      </c>
      <c r="J54" t="s">
        <v>118</v>
      </c>
      <c r="K54" t="s">
        <v>190</v>
      </c>
      <c r="L54" t="s">
        <v>459</v>
      </c>
      <c r="M54">
        <v>6</v>
      </c>
      <c r="N54">
        <v>3008</v>
      </c>
      <c r="O54">
        <v>10</v>
      </c>
      <c r="P54">
        <v>16443.2</v>
      </c>
      <c r="Q54">
        <v>16243.83</v>
      </c>
      <c r="R54">
        <v>199.37</v>
      </c>
      <c r="S54" t="s">
        <v>100</v>
      </c>
      <c r="T54" t="s">
        <v>140</v>
      </c>
      <c r="U54" t="s">
        <v>460</v>
      </c>
      <c r="V54" t="s">
        <v>461</v>
      </c>
      <c r="W54">
        <v>16</v>
      </c>
      <c r="X54" t="s">
        <v>53</v>
      </c>
      <c r="Y54">
        <v>0</v>
      </c>
    </row>
    <row r="55" spans="1:25" x14ac:dyDescent="0.35">
      <c r="A55" t="s">
        <v>462</v>
      </c>
      <c r="B55" s="1">
        <v>45841</v>
      </c>
      <c r="C55" s="1">
        <v>45846</v>
      </c>
      <c r="D55" t="s">
        <v>463</v>
      </c>
      <c r="E55" t="s">
        <v>464</v>
      </c>
      <c r="F55" t="s">
        <v>95</v>
      </c>
      <c r="G55" t="s">
        <v>465</v>
      </c>
      <c r="H55" t="s">
        <v>206</v>
      </c>
      <c r="I55" t="s">
        <v>31</v>
      </c>
      <c r="J55" t="s">
        <v>32</v>
      </c>
      <c r="K55" t="s">
        <v>466</v>
      </c>
      <c r="L55" t="s">
        <v>467</v>
      </c>
      <c r="M55">
        <v>9</v>
      </c>
      <c r="N55">
        <v>2693</v>
      </c>
      <c r="O55">
        <v>20</v>
      </c>
      <c r="P55">
        <v>19589.599999999999</v>
      </c>
      <c r="Q55">
        <v>19390.48</v>
      </c>
      <c r="R55">
        <v>199.12</v>
      </c>
      <c r="S55" t="s">
        <v>35</v>
      </c>
      <c r="T55" t="s">
        <v>140</v>
      </c>
      <c r="U55" t="s">
        <v>468</v>
      </c>
      <c r="V55" t="s">
        <v>469</v>
      </c>
      <c r="W55">
        <v>49</v>
      </c>
      <c r="X55" t="s">
        <v>53</v>
      </c>
      <c r="Y55">
        <v>0</v>
      </c>
    </row>
    <row r="56" spans="1:25" x14ac:dyDescent="0.35">
      <c r="A56" t="s">
        <v>470</v>
      </c>
      <c r="B56" s="1">
        <v>45741</v>
      </c>
      <c r="C56" s="1">
        <v>45747</v>
      </c>
      <c r="D56" t="s">
        <v>471</v>
      </c>
      <c r="E56" t="s">
        <v>472</v>
      </c>
      <c r="F56" t="s">
        <v>95</v>
      </c>
      <c r="G56" t="s">
        <v>473</v>
      </c>
      <c r="H56" t="s">
        <v>334</v>
      </c>
      <c r="I56" t="s">
        <v>108</v>
      </c>
      <c r="J56" t="s">
        <v>46</v>
      </c>
      <c r="K56" t="s">
        <v>474</v>
      </c>
      <c r="L56" t="s">
        <v>475</v>
      </c>
      <c r="M56">
        <v>8</v>
      </c>
      <c r="N56">
        <v>2413</v>
      </c>
      <c r="O56">
        <v>20</v>
      </c>
      <c r="P56">
        <v>15643.2</v>
      </c>
      <c r="Q56">
        <v>15443.9</v>
      </c>
      <c r="R56">
        <v>199.3</v>
      </c>
      <c r="S56" t="s">
        <v>49</v>
      </c>
      <c r="T56" t="s">
        <v>89</v>
      </c>
      <c r="U56" t="s">
        <v>476</v>
      </c>
      <c r="V56" t="s">
        <v>477</v>
      </c>
      <c r="W56">
        <v>2</v>
      </c>
      <c r="X56" t="s">
        <v>39</v>
      </c>
      <c r="Y56">
        <v>35</v>
      </c>
    </row>
    <row r="57" spans="1:25" x14ac:dyDescent="0.35">
      <c r="A57" t="s">
        <v>478</v>
      </c>
      <c r="B57" s="1">
        <v>45712</v>
      </c>
      <c r="C57" s="1">
        <v>45717</v>
      </c>
      <c r="D57" t="s">
        <v>479</v>
      </c>
      <c r="E57" t="s">
        <v>480</v>
      </c>
      <c r="F57" t="s">
        <v>95</v>
      </c>
      <c r="G57" t="s">
        <v>481</v>
      </c>
      <c r="H57" t="s">
        <v>136</v>
      </c>
      <c r="I57" t="s">
        <v>137</v>
      </c>
      <c r="J57" t="s">
        <v>46</v>
      </c>
      <c r="K57" t="s">
        <v>482</v>
      </c>
      <c r="L57" t="s">
        <v>483</v>
      </c>
      <c r="M57">
        <v>5</v>
      </c>
      <c r="N57">
        <v>530</v>
      </c>
      <c r="O57">
        <v>15</v>
      </c>
      <c r="P57">
        <v>2452.5</v>
      </c>
      <c r="Q57">
        <v>2253.36</v>
      </c>
      <c r="R57">
        <v>199.14</v>
      </c>
      <c r="S57" t="s">
        <v>49</v>
      </c>
      <c r="T57" t="s">
        <v>140</v>
      </c>
      <c r="U57" t="s">
        <v>484</v>
      </c>
      <c r="V57" t="s">
        <v>485</v>
      </c>
      <c r="W57">
        <v>28</v>
      </c>
      <c r="X57" t="s">
        <v>53</v>
      </c>
      <c r="Y57">
        <v>0</v>
      </c>
    </row>
    <row r="58" spans="1:25" x14ac:dyDescent="0.35">
      <c r="A58" t="s">
        <v>486</v>
      </c>
      <c r="B58" s="1">
        <v>45431</v>
      </c>
      <c r="C58" s="1">
        <v>45433</v>
      </c>
      <c r="D58" t="s">
        <v>487</v>
      </c>
      <c r="E58" t="s">
        <v>488</v>
      </c>
      <c r="F58" t="s">
        <v>95</v>
      </c>
      <c r="G58" t="s">
        <v>489</v>
      </c>
      <c r="H58" t="s">
        <v>154</v>
      </c>
      <c r="I58" t="s">
        <v>137</v>
      </c>
      <c r="J58" t="s">
        <v>46</v>
      </c>
      <c r="K58" t="s">
        <v>98</v>
      </c>
      <c r="L58" t="s">
        <v>490</v>
      </c>
      <c r="M58">
        <v>2</v>
      </c>
      <c r="N58">
        <v>4948</v>
      </c>
      <c r="O58">
        <v>15</v>
      </c>
      <c r="P58">
        <v>8861.6</v>
      </c>
      <c r="Q58">
        <v>8412.24</v>
      </c>
      <c r="R58">
        <v>449.36</v>
      </c>
      <c r="S58" t="s">
        <v>100</v>
      </c>
      <c r="T58" t="s">
        <v>36</v>
      </c>
      <c r="U58" t="s">
        <v>491</v>
      </c>
      <c r="V58" t="s">
        <v>492</v>
      </c>
      <c r="W58">
        <v>35</v>
      </c>
      <c r="X58" t="s">
        <v>53</v>
      </c>
      <c r="Y58">
        <v>0</v>
      </c>
    </row>
    <row r="59" spans="1:25" x14ac:dyDescent="0.35">
      <c r="A59" t="s">
        <v>493</v>
      </c>
      <c r="B59" s="1">
        <v>45275</v>
      </c>
      <c r="C59" s="1">
        <v>45278</v>
      </c>
      <c r="D59" t="s">
        <v>114</v>
      </c>
      <c r="E59" t="s">
        <v>494</v>
      </c>
      <c r="F59" t="s">
        <v>28</v>
      </c>
      <c r="G59" t="s">
        <v>495</v>
      </c>
      <c r="H59" t="s">
        <v>117</v>
      </c>
      <c r="I59" t="s">
        <v>108</v>
      </c>
      <c r="J59" t="s">
        <v>118</v>
      </c>
      <c r="K59" t="s">
        <v>190</v>
      </c>
      <c r="L59" t="s">
        <v>496</v>
      </c>
      <c r="M59">
        <v>1</v>
      </c>
      <c r="N59">
        <v>3999</v>
      </c>
      <c r="O59">
        <v>10</v>
      </c>
      <c r="P59">
        <v>4049.1</v>
      </c>
      <c r="Q59">
        <v>3599.9</v>
      </c>
      <c r="R59">
        <v>449.2</v>
      </c>
      <c r="S59" t="s">
        <v>35</v>
      </c>
      <c r="T59" t="s">
        <v>36</v>
      </c>
      <c r="U59" t="s">
        <v>497</v>
      </c>
      <c r="V59" t="s">
        <v>498</v>
      </c>
      <c r="W59">
        <v>0</v>
      </c>
      <c r="X59" t="s">
        <v>39</v>
      </c>
      <c r="Y59">
        <v>48</v>
      </c>
    </row>
    <row r="60" spans="1:25" x14ac:dyDescent="0.35">
      <c r="A60" t="s">
        <v>499</v>
      </c>
      <c r="B60" s="1">
        <v>45579</v>
      </c>
      <c r="C60" s="1">
        <v>45582</v>
      </c>
      <c r="D60" t="s">
        <v>500</v>
      </c>
      <c r="E60" t="s">
        <v>501</v>
      </c>
      <c r="F60" t="s">
        <v>28</v>
      </c>
      <c r="G60" t="s">
        <v>502</v>
      </c>
      <c r="H60" t="s">
        <v>283</v>
      </c>
      <c r="I60" t="s">
        <v>45</v>
      </c>
      <c r="J60" t="s">
        <v>32</v>
      </c>
      <c r="K60" t="s">
        <v>98</v>
      </c>
      <c r="L60" t="s">
        <v>503</v>
      </c>
      <c r="M60">
        <v>7</v>
      </c>
      <c r="N60">
        <v>1973</v>
      </c>
      <c r="O60">
        <v>10</v>
      </c>
      <c r="P60">
        <v>12879.9</v>
      </c>
      <c r="Q60">
        <v>12430.51</v>
      </c>
      <c r="R60">
        <v>449.39</v>
      </c>
      <c r="S60" t="s">
        <v>49</v>
      </c>
      <c r="T60" t="s">
        <v>36</v>
      </c>
      <c r="U60" t="s">
        <v>504</v>
      </c>
      <c r="V60" t="s">
        <v>505</v>
      </c>
      <c r="W60">
        <v>38</v>
      </c>
      <c r="X60" t="s">
        <v>53</v>
      </c>
      <c r="Y60">
        <v>0</v>
      </c>
    </row>
    <row r="61" spans="1:25" x14ac:dyDescent="0.35">
      <c r="A61" t="s">
        <v>506</v>
      </c>
      <c r="B61" s="1">
        <v>45458</v>
      </c>
      <c r="C61" s="1">
        <v>45461</v>
      </c>
      <c r="D61" t="s">
        <v>507</v>
      </c>
      <c r="E61" t="s">
        <v>508</v>
      </c>
      <c r="F61" t="s">
        <v>95</v>
      </c>
      <c r="G61" t="s">
        <v>509</v>
      </c>
      <c r="H61" t="s">
        <v>172</v>
      </c>
      <c r="I61" t="s">
        <v>45</v>
      </c>
      <c r="J61" t="s">
        <v>118</v>
      </c>
      <c r="K61" t="s">
        <v>349</v>
      </c>
      <c r="L61" t="s">
        <v>510</v>
      </c>
      <c r="M61">
        <v>4</v>
      </c>
      <c r="N61">
        <v>3257</v>
      </c>
      <c r="O61">
        <v>20</v>
      </c>
      <c r="P61">
        <v>10872.4</v>
      </c>
      <c r="Q61">
        <v>10423.18</v>
      </c>
      <c r="R61">
        <v>449.22</v>
      </c>
      <c r="S61" t="s">
        <v>35</v>
      </c>
      <c r="T61" t="s">
        <v>50</v>
      </c>
      <c r="U61" t="s">
        <v>511</v>
      </c>
      <c r="V61" t="s">
        <v>512</v>
      </c>
      <c r="W61">
        <v>10</v>
      </c>
      <c r="X61" t="s">
        <v>53</v>
      </c>
      <c r="Y61">
        <v>0</v>
      </c>
    </row>
    <row r="62" spans="1:25" x14ac:dyDescent="0.35">
      <c r="A62" t="s">
        <v>513</v>
      </c>
      <c r="B62" s="1">
        <v>45511</v>
      </c>
      <c r="C62" s="1">
        <v>45517</v>
      </c>
      <c r="D62" t="s">
        <v>514</v>
      </c>
      <c r="E62" t="s">
        <v>515</v>
      </c>
      <c r="F62" t="s">
        <v>28</v>
      </c>
      <c r="G62" t="s">
        <v>516</v>
      </c>
      <c r="H62" t="s">
        <v>30</v>
      </c>
      <c r="I62" t="s">
        <v>31</v>
      </c>
      <c r="J62" t="s">
        <v>118</v>
      </c>
      <c r="K62" t="s">
        <v>138</v>
      </c>
      <c r="L62" t="s">
        <v>517</v>
      </c>
      <c r="M62">
        <v>1</v>
      </c>
      <c r="N62">
        <v>1520</v>
      </c>
      <c r="O62">
        <v>20</v>
      </c>
      <c r="P62">
        <v>1666</v>
      </c>
      <c r="Q62">
        <v>1216.77</v>
      </c>
      <c r="R62">
        <v>449.23</v>
      </c>
      <c r="S62" t="s">
        <v>49</v>
      </c>
      <c r="T62" t="s">
        <v>36</v>
      </c>
      <c r="U62" t="s">
        <v>518</v>
      </c>
      <c r="V62" t="s">
        <v>519</v>
      </c>
      <c r="W62">
        <v>6</v>
      </c>
      <c r="X62" t="s">
        <v>39</v>
      </c>
      <c r="Y62">
        <v>47</v>
      </c>
    </row>
    <row r="63" spans="1:25" x14ac:dyDescent="0.35">
      <c r="A63" t="s">
        <v>520</v>
      </c>
      <c r="B63" s="1">
        <v>45488</v>
      </c>
      <c r="C63" s="1">
        <v>45491</v>
      </c>
      <c r="D63" t="s">
        <v>521</v>
      </c>
      <c r="E63" t="s">
        <v>522</v>
      </c>
      <c r="F63" t="s">
        <v>57</v>
      </c>
      <c r="G63" t="s">
        <v>523</v>
      </c>
      <c r="H63" t="s">
        <v>127</v>
      </c>
      <c r="I63" t="s">
        <v>45</v>
      </c>
      <c r="J63" t="s">
        <v>46</v>
      </c>
      <c r="K63" t="s">
        <v>524</v>
      </c>
      <c r="L63" t="s">
        <v>525</v>
      </c>
      <c r="M63">
        <v>6</v>
      </c>
      <c r="N63">
        <v>4217</v>
      </c>
      <c r="O63">
        <v>5</v>
      </c>
      <c r="P63">
        <v>24486.9</v>
      </c>
      <c r="Q63">
        <v>24037.759999999998</v>
      </c>
      <c r="R63">
        <v>449.14</v>
      </c>
      <c r="S63" t="s">
        <v>35</v>
      </c>
      <c r="T63" t="s">
        <v>36</v>
      </c>
      <c r="U63" t="s">
        <v>526</v>
      </c>
      <c r="V63" t="s">
        <v>527</v>
      </c>
      <c r="W63">
        <v>8</v>
      </c>
      <c r="X63" t="s">
        <v>39</v>
      </c>
      <c r="Y63">
        <v>48</v>
      </c>
    </row>
    <row r="64" spans="1:25" x14ac:dyDescent="0.35">
      <c r="A64" t="s">
        <v>528</v>
      </c>
      <c r="B64" s="1">
        <v>45537</v>
      </c>
      <c r="C64" s="1">
        <v>45542</v>
      </c>
      <c r="D64" t="s">
        <v>529</v>
      </c>
      <c r="E64" t="s">
        <v>530</v>
      </c>
      <c r="F64" t="s">
        <v>95</v>
      </c>
      <c r="G64" t="s">
        <v>531</v>
      </c>
      <c r="H64" t="s">
        <v>127</v>
      </c>
      <c r="I64" t="s">
        <v>45</v>
      </c>
      <c r="J64" t="s">
        <v>46</v>
      </c>
      <c r="K64" t="s">
        <v>532</v>
      </c>
      <c r="L64" t="s">
        <v>533</v>
      </c>
      <c r="M64">
        <v>10</v>
      </c>
      <c r="N64">
        <v>828</v>
      </c>
      <c r="O64">
        <v>0</v>
      </c>
      <c r="P64">
        <v>8730</v>
      </c>
      <c r="Q64">
        <v>8280.68</v>
      </c>
      <c r="R64">
        <v>449.32</v>
      </c>
      <c r="S64" t="s">
        <v>80</v>
      </c>
      <c r="T64" t="s">
        <v>50</v>
      </c>
      <c r="U64" t="s">
        <v>534</v>
      </c>
      <c r="V64" t="s">
        <v>535</v>
      </c>
      <c r="W64">
        <v>17</v>
      </c>
      <c r="X64" t="s">
        <v>53</v>
      </c>
      <c r="Y64">
        <v>0</v>
      </c>
    </row>
    <row r="65" spans="1:25" x14ac:dyDescent="0.35">
      <c r="A65" t="s">
        <v>536</v>
      </c>
      <c r="B65" s="1">
        <v>45942</v>
      </c>
      <c r="C65" s="1">
        <v>45947</v>
      </c>
      <c r="D65" t="s">
        <v>537</v>
      </c>
      <c r="E65" t="s">
        <v>538</v>
      </c>
      <c r="F65" t="s">
        <v>57</v>
      </c>
      <c r="G65" t="s">
        <v>539</v>
      </c>
      <c r="H65" t="s">
        <v>283</v>
      </c>
      <c r="I65" t="s">
        <v>45</v>
      </c>
      <c r="J65" t="s">
        <v>118</v>
      </c>
      <c r="K65" t="s">
        <v>430</v>
      </c>
      <c r="L65" t="s">
        <v>540</v>
      </c>
      <c r="M65">
        <v>3</v>
      </c>
      <c r="N65">
        <v>3632</v>
      </c>
      <c r="O65">
        <v>5</v>
      </c>
      <c r="P65">
        <v>10801.2</v>
      </c>
      <c r="Q65">
        <v>10351.82</v>
      </c>
      <c r="R65">
        <v>449.38</v>
      </c>
      <c r="S65" t="s">
        <v>49</v>
      </c>
      <c r="T65" t="s">
        <v>140</v>
      </c>
      <c r="U65" t="s">
        <v>541</v>
      </c>
      <c r="V65" t="s">
        <v>542</v>
      </c>
      <c r="W65">
        <v>47</v>
      </c>
      <c r="X65" t="s">
        <v>53</v>
      </c>
      <c r="Y65">
        <v>0</v>
      </c>
    </row>
    <row r="66" spans="1:25" x14ac:dyDescent="0.35">
      <c r="A66" t="s">
        <v>543</v>
      </c>
      <c r="B66" s="1">
        <v>45577</v>
      </c>
      <c r="C66" s="1">
        <v>45582</v>
      </c>
      <c r="D66" t="s">
        <v>544</v>
      </c>
      <c r="E66" t="s">
        <v>545</v>
      </c>
      <c r="F66" t="s">
        <v>28</v>
      </c>
      <c r="G66" t="s">
        <v>546</v>
      </c>
      <c r="H66" t="s">
        <v>117</v>
      </c>
      <c r="I66" t="s">
        <v>108</v>
      </c>
      <c r="J66" t="s">
        <v>46</v>
      </c>
      <c r="K66" t="s">
        <v>547</v>
      </c>
      <c r="L66" t="s">
        <v>548</v>
      </c>
      <c r="M66">
        <v>10</v>
      </c>
      <c r="N66">
        <v>3332</v>
      </c>
      <c r="O66">
        <v>10</v>
      </c>
      <c r="P66">
        <v>30438</v>
      </c>
      <c r="Q66">
        <v>29988.83</v>
      </c>
      <c r="R66">
        <v>449.17</v>
      </c>
      <c r="S66" t="s">
        <v>35</v>
      </c>
      <c r="T66" t="s">
        <v>89</v>
      </c>
      <c r="U66" t="s">
        <v>549</v>
      </c>
      <c r="V66" t="s">
        <v>550</v>
      </c>
      <c r="W66">
        <v>25</v>
      </c>
      <c r="X66" t="s">
        <v>53</v>
      </c>
      <c r="Y66">
        <v>0</v>
      </c>
    </row>
    <row r="67" spans="1:25" x14ac:dyDescent="0.35">
      <c r="A67" t="s">
        <v>551</v>
      </c>
      <c r="B67" s="1">
        <v>45371</v>
      </c>
      <c r="C67" s="1">
        <v>45373</v>
      </c>
      <c r="D67" t="s">
        <v>552</v>
      </c>
      <c r="E67" t="s">
        <v>553</v>
      </c>
      <c r="F67" t="s">
        <v>95</v>
      </c>
      <c r="G67" t="s">
        <v>554</v>
      </c>
      <c r="H67" t="s">
        <v>44</v>
      </c>
      <c r="I67" t="s">
        <v>45</v>
      </c>
      <c r="J67" t="s">
        <v>118</v>
      </c>
      <c r="K67" t="s">
        <v>155</v>
      </c>
      <c r="L67" t="s">
        <v>555</v>
      </c>
      <c r="M67">
        <v>8</v>
      </c>
      <c r="N67">
        <v>1810</v>
      </c>
      <c r="O67">
        <v>10</v>
      </c>
      <c r="P67">
        <v>13482</v>
      </c>
      <c r="Q67">
        <v>13032.81</v>
      </c>
      <c r="R67">
        <v>449.19</v>
      </c>
      <c r="S67" t="s">
        <v>80</v>
      </c>
      <c r="T67" t="s">
        <v>89</v>
      </c>
      <c r="U67" t="s">
        <v>556</v>
      </c>
      <c r="V67" t="s">
        <v>557</v>
      </c>
      <c r="W67">
        <v>9</v>
      </c>
      <c r="X67" t="s">
        <v>39</v>
      </c>
      <c r="Y67">
        <v>24</v>
      </c>
    </row>
    <row r="68" spans="1:25" x14ac:dyDescent="0.35">
      <c r="A68" t="s">
        <v>558</v>
      </c>
      <c r="B68" s="1">
        <v>45850</v>
      </c>
      <c r="C68" s="1">
        <v>45853</v>
      </c>
      <c r="D68" t="s">
        <v>559</v>
      </c>
      <c r="E68" t="s">
        <v>560</v>
      </c>
      <c r="F68" t="s">
        <v>95</v>
      </c>
      <c r="G68" t="s">
        <v>561</v>
      </c>
      <c r="H68" t="s">
        <v>334</v>
      </c>
      <c r="I68" t="s">
        <v>108</v>
      </c>
      <c r="J68" t="s">
        <v>118</v>
      </c>
      <c r="K68" t="s">
        <v>562</v>
      </c>
      <c r="L68" t="s">
        <v>563</v>
      </c>
      <c r="M68">
        <v>1</v>
      </c>
      <c r="N68">
        <v>1677</v>
      </c>
      <c r="O68">
        <v>0</v>
      </c>
      <c r="P68">
        <v>2127</v>
      </c>
      <c r="Q68">
        <v>1677.63</v>
      </c>
      <c r="R68">
        <v>449.37</v>
      </c>
      <c r="S68" t="s">
        <v>100</v>
      </c>
      <c r="T68" t="s">
        <v>36</v>
      </c>
      <c r="U68" t="s">
        <v>564</v>
      </c>
      <c r="V68" t="s">
        <v>565</v>
      </c>
      <c r="W68">
        <v>30</v>
      </c>
      <c r="X68" t="s">
        <v>53</v>
      </c>
      <c r="Y68">
        <v>0</v>
      </c>
    </row>
    <row r="69" spans="1:25" x14ac:dyDescent="0.35">
      <c r="A69" t="s">
        <v>566</v>
      </c>
      <c r="B69" s="1">
        <v>45875</v>
      </c>
      <c r="C69" s="1">
        <v>45881</v>
      </c>
      <c r="D69" t="s">
        <v>567</v>
      </c>
      <c r="E69" t="s">
        <v>568</v>
      </c>
      <c r="F69" t="s">
        <v>95</v>
      </c>
      <c r="G69" t="s">
        <v>569</v>
      </c>
      <c r="H69" t="s">
        <v>68</v>
      </c>
      <c r="I69" t="s">
        <v>31</v>
      </c>
      <c r="J69" t="s">
        <v>46</v>
      </c>
      <c r="K69" t="s">
        <v>532</v>
      </c>
      <c r="L69" t="s">
        <v>570</v>
      </c>
      <c r="M69">
        <v>2</v>
      </c>
      <c r="N69">
        <v>4560</v>
      </c>
      <c r="O69">
        <v>5</v>
      </c>
      <c r="P69">
        <v>9114</v>
      </c>
      <c r="Q69">
        <v>8664.8700000000008</v>
      </c>
      <c r="R69">
        <v>449.13</v>
      </c>
      <c r="S69" t="s">
        <v>80</v>
      </c>
      <c r="T69" t="s">
        <v>36</v>
      </c>
      <c r="U69" t="s">
        <v>571</v>
      </c>
      <c r="V69" t="s">
        <v>572</v>
      </c>
      <c r="W69">
        <v>17</v>
      </c>
      <c r="X69" t="s">
        <v>53</v>
      </c>
      <c r="Y69">
        <v>0</v>
      </c>
    </row>
    <row r="70" spans="1:25" x14ac:dyDescent="0.35">
      <c r="A70" t="s">
        <v>573</v>
      </c>
      <c r="B70" s="1">
        <v>45246</v>
      </c>
      <c r="C70" s="1">
        <v>45250</v>
      </c>
      <c r="D70" t="s">
        <v>574</v>
      </c>
      <c r="E70" t="s">
        <v>575</v>
      </c>
      <c r="F70" t="s">
        <v>28</v>
      </c>
      <c r="G70" t="s">
        <v>576</v>
      </c>
      <c r="H70" t="s">
        <v>117</v>
      </c>
      <c r="I70" t="s">
        <v>108</v>
      </c>
      <c r="J70" t="s">
        <v>32</v>
      </c>
      <c r="K70" t="s">
        <v>222</v>
      </c>
      <c r="L70" t="s">
        <v>577</v>
      </c>
      <c r="M70">
        <v>3</v>
      </c>
      <c r="N70">
        <v>3871</v>
      </c>
      <c r="O70">
        <v>5</v>
      </c>
      <c r="P70">
        <v>11482.35</v>
      </c>
      <c r="Q70">
        <v>11033.02</v>
      </c>
      <c r="R70">
        <v>449.33</v>
      </c>
      <c r="S70" t="s">
        <v>35</v>
      </c>
      <c r="T70" t="s">
        <v>50</v>
      </c>
      <c r="U70" t="s">
        <v>578</v>
      </c>
      <c r="V70" t="s">
        <v>579</v>
      </c>
      <c r="W70">
        <v>1</v>
      </c>
      <c r="X70" t="s">
        <v>39</v>
      </c>
      <c r="Y70">
        <v>37</v>
      </c>
    </row>
    <row r="71" spans="1:25" x14ac:dyDescent="0.35">
      <c r="A71" t="s">
        <v>580</v>
      </c>
      <c r="B71" s="1">
        <v>45307</v>
      </c>
      <c r="C71" s="1">
        <v>45311</v>
      </c>
      <c r="D71" t="s">
        <v>581</v>
      </c>
      <c r="E71" t="s">
        <v>582</v>
      </c>
      <c r="F71" t="s">
        <v>28</v>
      </c>
      <c r="G71" t="s">
        <v>583</v>
      </c>
      <c r="H71" t="s">
        <v>334</v>
      </c>
      <c r="I71" t="s">
        <v>108</v>
      </c>
      <c r="J71" t="s">
        <v>97</v>
      </c>
      <c r="K71" t="s">
        <v>466</v>
      </c>
      <c r="L71" t="s">
        <v>584</v>
      </c>
      <c r="M71">
        <v>3</v>
      </c>
      <c r="N71">
        <v>4991</v>
      </c>
      <c r="O71">
        <v>10</v>
      </c>
      <c r="P71">
        <v>13925.7</v>
      </c>
      <c r="Q71">
        <v>13476.36</v>
      </c>
      <c r="R71">
        <v>449.34</v>
      </c>
      <c r="S71" t="s">
        <v>100</v>
      </c>
      <c r="T71" t="s">
        <v>36</v>
      </c>
      <c r="U71" t="s">
        <v>585</v>
      </c>
      <c r="V71" t="s">
        <v>586</v>
      </c>
      <c r="W71">
        <v>19</v>
      </c>
      <c r="X71" t="s">
        <v>53</v>
      </c>
      <c r="Y71">
        <v>0</v>
      </c>
    </row>
    <row r="72" spans="1:25" x14ac:dyDescent="0.35">
      <c r="A72" t="s">
        <v>587</v>
      </c>
      <c r="B72" s="1">
        <v>45954</v>
      </c>
      <c r="C72" s="1">
        <v>45956</v>
      </c>
      <c r="D72" t="s">
        <v>588</v>
      </c>
      <c r="E72" t="s">
        <v>589</v>
      </c>
      <c r="F72" t="s">
        <v>57</v>
      </c>
      <c r="G72" t="s">
        <v>590</v>
      </c>
      <c r="H72" t="s">
        <v>117</v>
      </c>
      <c r="I72" t="s">
        <v>108</v>
      </c>
      <c r="J72" t="s">
        <v>46</v>
      </c>
      <c r="K72" t="s">
        <v>532</v>
      </c>
      <c r="L72" t="s">
        <v>591</v>
      </c>
      <c r="M72">
        <v>7</v>
      </c>
      <c r="N72">
        <v>2221</v>
      </c>
      <c r="O72">
        <v>15</v>
      </c>
      <c r="P72">
        <v>13664.95</v>
      </c>
      <c r="Q72">
        <v>13215.71</v>
      </c>
      <c r="R72">
        <v>449.24</v>
      </c>
      <c r="S72" t="s">
        <v>80</v>
      </c>
      <c r="T72" t="s">
        <v>50</v>
      </c>
      <c r="U72" t="s">
        <v>592</v>
      </c>
      <c r="V72" t="s">
        <v>593</v>
      </c>
      <c r="W72">
        <v>10</v>
      </c>
      <c r="X72" t="s">
        <v>53</v>
      </c>
      <c r="Y72">
        <v>0</v>
      </c>
    </row>
    <row r="73" spans="1:25" x14ac:dyDescent="0.35">
      <c r="A73" t="s">
        <v>594</v>
      </c>
      <c r="B73" s="1">
        <v>45453</v>
      </c>
      <c r="C73" s="1">
        <v>45458</v>
      </c>
      <c r="D73" t="s">
        <v>595</v>
      </c>
      <c r="E73" t="s">
        <v>596</v>
      </c>
      <c r="F73" t="s">
        <v>28</v>
      </c>
      <c r="G73" t="s">
        <v>597</v>
      </c>
      <c r="H73" t="s">
        <v>44</v>
      </c>
      <c r="I73" t="s">
        <v>45</v>
      </c>
      <c r="J73" t="s">
        <v>46</v>
      </c>
      <c r="K73" t="s">
        <v>598</v>
      </c>
      <c r="L73" t="s">
        <v>599</v>
      </c>
      <c r="M73">
        <v>3</v>
      </c>
      <c r="N73">
        <v>3409</v>
      </c>
      <c r="O73">
        <v>0</v>
      </c>
      <c r="P73">
        <v>10677</v>
      </c>
      <c r="Q73">
        <v>10227.709999999999</v>
      </c>
      <c r="R73">
        <v>449.29</v>
      </c>
      <c r="S73" t="s">
        <v>35</v>
      </c>
      <c r="T73" t="s">
        <v>50</v>
      </c>
      <c r="U73" t="s">
        <v>600</v>
      </c>
      <c r="V73" t="s">
        <v>601</v>
      </c>
      <c r="W73">
        <v>26</v>
      </c>
      <c r="X73" t="s">
        <v>53</v>
      </c>
      <c r="Y73">
        <v>0</v>
      </c>
    </row>
    <row r="74" spans="1:25" x14ac:dyDescent="0.35">
      <c r="A74" t="s">
        <v>602</v>
      </c>
      <c r="B74" s="1">
        <v>45724</v>
      </c>
      <c r="C74" s="1">
        <v>45726</v>
      </c>
      <c r="D74" t="s">
        <v>603</v>
      </c>
      <c r="E74" t="s">
        <v>604</v>
      </c>
      <c r="F74" t="s">
        <v>95</v>
      </c>
      <c r="G74" t="s">
        <v>605</v>
      </c>
      <c r="H74" t="s">
        <v>334</v>
      </c>
      <c r="I74" t="s">
        <v>108</v>
      </c>
      <c r="J74" t="s">
        <v>32</v>
      </c>
      <c r="K74" t="s">
        <v>155</v>
      </c>
      <c r="L74" t="s">
        <v>606</v>
      </c>
      <c r="M74">
        <v>9</v>
      </c>
      <c r="N74">
        <v>4121</v>
      </c>
      <c r="O74">
        <v>20</v>
      </c>
      <c r="P74">
        <v>30121.200000000001</v>
      </c>
      <c r="Q74">
        <v>29671.83</v>
      </c>
      <c r="R74">
        <v>449.37</v>
      </c>
      <c r="S74" t="s">
        <v>49</v>
      </c>
      <c r="T74" t="s">
        <v>140</v>
      </c>
      <c r="U74" t="s">
        <v>607</v>
      </c>
      <c r="V74" t="s">
        <v>608</v>
      </c>
      <c r="W74">
        <v>15</v>
      </c>
      <c r="X74" t="s">
        <v>53</v>
      </c>
      <c r="Y74">
        <v>0</v>
      </c>
    </row>
    <row r="75" spans="1:25" x14ac:dyDescent="0.35">
      <c r="A75" t="s">
        <v>609</v>
      </c>
      <c r="B75" s="1">
        <v>45830</v>
      </c>
      <c r="C75" s="1">
        <v>45834</v>
      </c>
      <c r="D75" t="s">
        <v>610</v>
      </c>
      <c r="E75" t="s">
        <v>611</v>
      </c>
      <c r="F75" t="s">
        <v>57</v>
      </c>
      <c r="G75" t="s">
        <v>612</v>
      </c>
      <c r="H75" t="s">
        <v>59</v>
      </c>
      <c r="I75" t="s">
        <v>31</v>
      </c>
      <c r="J75" t="s">
        <v>32</v>
      </c>
      <c r="K75" t="s">
        <v>400</v>
      </c>
      <c r="L75" t="s">
        <v>613</v>
      </c>
      <c r="M75">
        <v>8</v>
      </c>
      <c r="N75">
        <v>1247</v>
      </c>
      <c r="O75">
        <v>15</v>
      </c>
      <c r="P75">
        <v>8929.6</v>
      </c>
      <c r="Q75">
        <v>8480.34</v>
      </c>
      <c r="R75">
        <v>449.26</v>
      </c>
      <c r="S75" t="s">
        <v>100</v>
      </c>
      <c r="T75" t="s">
        <v>89</v>
      </c>
      <c r="U75" t="s">
        <v>614</v>
      </c>
      <c r="V75" t="s">
        <v>615</v>
      </c>
      <c r="W75">
        <v>32</v>
      </c>
      <c r="X75" t="s">
        <v>53</v>
      </c>
      <c r="Y75">
        <v>0</v>
      </c>
    </row>
    <row r="76" spans="1:25" x14ac:dyDescent="0.35">
      <c r="A76" t="s">
        <v>616</v>
      </c>
      <c r="B76" s="1">
        <v>45890</v>
      </c>
      <c r="C76" s="1">
        <v>45895</v>
      </c>
      <c r="D76" t="s">
        <v>617</v>
      </c>
      <c r="E76" t="s">
        <v>618</v>
      </c>
      <c r="F76" t="s">
        <v>57</v>
      </c>
      <c r="G76" t="s">
        <v>619</v>
      </c>
      <c r="H76" t="s">
        <v>230</v>
      </c>
      <c r="I76" t="s">
        <v>137</v>
      </c>
      <c r="J76" t="s">
        <v>46</v>
      </c>
      <c r="K76" t="s">
        <v>155</v>
      </c>
      <c r="L76" t="s">
        <v>620</v>
      </c>
      <c r="M76">
        <v>5</v>
      </c>
      <c r="N76">
        <v>3724</v>
      </c>
      <c r="O76">
        <v>15</v>
      </c>
      <c r="P76">
        <v>16277</v>
      </c>
      <c r="Q76">
        <v>15827.68</v>
      </c>
      <c r="R76">
        <v>449.32</v>
      </c>
      <c r="S76" t="s">
        <v>35</v>
      </c>
      <c r="T76" t="s">
        <v>36</v>
      </c>
      <c r="U76" t="s">
        <v>621</v>
      </c>
      <c r="V76" t="s">
        <v>622</v>
      </c>
      <c r="W76">
        <v>48</v>
      </c>
      <c r="X76" t="s">
        <v>53</v>
      </c>
      <c r="Y76">
        <v>0</v>
      </c>
    </row>
    <row r="77" spans="1:25" x14ac:dyDescent="0.35">
      <c r="A77" t="s">
        <v>623</v>
      </c>
      <c r="B77" s="1">
        <v>45744</v>
      </c>
      <c r="C77" s="1">
        <v>45750</v>
      </c>
      <c r="D77" t="s">
        <v>624</v>
      </c>
      <c r="E77" t="s">
        <v>625</v>
      </c>
      <c r="F77" t="s">
        <v>57</v>
      </c>
      <c r="G77" t="s">
        <v>626</v>
      </c>
      <c r="H77" t="s">
        <v>68</v>
      </c>
      <c r="I77" t="s">
        <v>31</v>
      </c>
      <c r="J77" t="s">
        <v>97</v>
      </c>
      <c r="K77" t="s">
        <v>173</v>
      </c>
      <c r="L77" t="s">
        <v>627</v>
      </c>
      <c r="M77">
        <v>9</v>
      </c>
      <c r="N77">
        <v>1133</v>
      </c>
      <c r="O77">
        <v>5</v>
      </c>
      <c r="P77">
        <v>10137.15</v>
      </c>
      <c r="Q77">
        <v>9687.89</v>
      </c>
      <c r="R77">
        <v>449.26</v>
      </c>
      <c r="S77" t="s">
        <v>49</v>
      </c>
      <c r="T77" t="s">
        <v>140</v>
      </c>
      <c r="U77" t="s">
        <v>628</v>
      </c>
      <c r="V77" t="s">
        <v>629</v>
      </c>
      <c r="W77">
        <v>13</v>
      </c>
      <c r="X77" t="s">
        <v>53</v>
      </c>
      <c r="Y77">
        <v>0</v>
      </c>
    </row>
    <row r="78" spans="1:25" x14ac:dyDescent="0.35">
      <c r="A78" t="s">
        <v>630</v>
      </c>
      <c r="B78" s="1">
        <v>45362</v>
      </c>
      <c r="C78" s="1">
        <v>45363</v>
      </c>
      <c r="D78" t="s">
        <v>631</v>
      </c>
      <c r="E78" t="s">
        <v>632</v>
      </c>
      <c r="F78" t="s">
        <v>57</v>
      </c>
      <c r="G78" t="s">
        <v>633</v>
      </c>
      <c r="H78" t="s">
        <v>30</v>
      </c>
      <c r="I78" t="s">
        <v>31</v>
      </c>
      <c r="J78" t="s">
        <v>118</v>
      </c>
      <c r="K78" t="s">
        <v>190</v>
      </c>
      <c r="L78" t="s">
        <v>634</v>
      </c>
      <c r="M78">
        <v>8</v>
      </c>
      <c r="N78">
        <v>2068</v>
      </c>
      <c r="O78">
        <v>20</v>
      </c>
      <c r="P78">
        <v>13685.2</v>
      </c>
      <c r="Q78">
        <v>13235.96</v>
      </c>
      <c r="R78">
        <v>449.24</v>
      </c>
      <c r="S78" t="s">
        <v>35</v>
      </c>
      <c r="T78" t="s">
        <v>89</v>
      </c>
      <c r="U78" t="s">
        <v>635</v>
      </c>
      <c r="V78" t="s">
        <v>636</v>
      </c>
      <c r="W78">
        <v>40</v>
      </c>
      <c r="X78" t="s">
        <v>53</v>
      </c>
      <c r="Y78">
        <v>0</v>
      </c>
    </row>
    <row r="79" spans="1:25" x14ac:dyDescent="0.35">
      <c r="A79" t="s">
        <v>637</v>
      </c>
      <c r="B79" s="1">
        <v>45547</v>
      </c>
      <c r="C79" s="1">
        <v>45552</v>
      </c>
      <c r="D79" t="s">
        <v>638</v>
      </c>
      <c r="E79" t="s">
        <v>639</v>
      </c>
      <c r="F79" t="s">
        <v>28</v>
      </c>
      <c r="G79" t="s">
        <v>640</v>
      </c>
      <c r="H79" t="s">
        <v>230</v>
      </c>
      <c r="I79" t="s">
        <v>137</v>
      </c>
      <c r="J79" t="s">
        <v>118</v>
      </c>
      <c r="K79" t="s">
        <v>430</v>
      </c>
      <c r="L79" t="s">
        <v>641</v>
      </c>
      <c r="M79">
        <v>4</v>
      </c>
      <c r="N79">
        <v>1531</v>
      </c>
      <c r="O79">
        <v>0</v>
      </c>
      <c r="P79">
        <v>6574</v>
      </c>
      <c r="Q79">
        <v>6124.72</v>
      </c>
      <c r="R79">
        <v>449.28</v>
      </c>
      <c r="S79" t="s">
        <v>35</v>
      </c>
      <c r="T79" t="s">
        <v>36</v>
      </c>
      <c r="U79" t="s">
        <v>642</v>
      </c>
      <c r="V79" t="s">
        <v>643</v>
      </c>
      <c r="W79">
        <v>26</v>
      </c>
      <c r="X79" t="s">
        <v>53</v>
      </c>
      <c r="Y79">
        <v>0</v>
      </c>
    </row>
    <row r="80" spans="1:25" x14ac:dyDescent="0.35">
      <c r="A80" t="s">
        <v>644</v>
      </c>
      <c r="B80" s="1">
        <v>45310</v>
      </c>
      <c r="C80" s="1">
        <v>45314</v>
      </c>
      <c r="D80" t="s">
        <v>645</v>
      </c>
      <c r="E80" t="s">
        <v>646</v>
      </c>
      <c r="F80" t="s">
        <v>57</v>
      </c>
      <c r="G80" t="s">
        <v>647</v>
      </c>
      <c r="H80" t="s">
        <v>283</v>
      </c>
      <c r="I80" t="s">
        <v>45</v>
      </c>
      <c r="J80" t="s">
        <v>46</v>
      </c>
      <c r="K80" t="s">
        <v>648</v>
      </c>
      <c r="L80" t="s">
        <v>649</v>
      </c>
      <c r="M80">
        <v>2</v>
      </c>
      <c r="N80">
        <v>3553</v>
      </c>
      <c r="O80">
        <v>15</v>
      </c>
      <c r="P80">
        <v>6490.1</v>
      </c>
      <c r="Q80">
        <v>6040.96</v>
      </c>
      <c r="R80">
        <v>449.14</v>
      </c>
      <c r="S80" t="s">
        <v>100</v>
      </c>
      <c r="T80" t="s">
        <v>140</v>
      </c>
      <c r="U80" t="s">
        <v>650</v>
      </c>
      <c r="V80" t="s">
        <v>651</v>
      </c>
      <c r="W80">
        <v>5</v>
      </c>
      <c r="X80" t="s">
        <v>39</v>
      </c>
      <c r="Y80">
        <v>33</v>
      </c>
    </row>
    <row r="81" spans="1:25" x14ac:dyDescent="0.35">
      <c r="A81" t="s">
        <v>652</v>
      </c>
      <c r="B81" s="1">
        <v>45399</v>
      </c>
      <c r="C81" s="1">
        <v>45404</v>
      </c>
      <c r="D81" t="s">
        <v>653</v>
      </c>
      <c r="E81" t="s">
        <v>654</v>
      </c>
      <c r="F81" t="s">
        <v>57</v>
      </c>
      <c r="G81" t="s">
        <v>655</v>
      </c>
      <c r="H81" t="s">
        <v>364</v>
      </c>
      <c r="I81" t="s">
        <v>137</v>
      </c>
      <c r="J81" t="s">
        <v>46</v>
      </c>
      <c r="K81" t="s">
        <v>222</v>
      </c>
      <c r="L81" t="s">
        <v>656</v>
      </c>
      <c r="M81">
        <v>3</v>
      </c>
      <c r="N81">
        <v>259</v>
      </c>
      <c r="O81">
        <v>10</v>
      </c>
      <c r="P81">
        <v>1149.3</v>
      </c>
      <c r="Q81">
        <v>700.11</v>
      </c>
      <c r="R81">
        <v>449.19</v>
      </c>
      <c r="S81" t="s">
        <v>100</v>
      </c>
      <c r="T81" t="s">
        <v>36</v>
      </c>
      <c r="U81" t="s">
        <v>657</v>
      </c>
      <c r="V81" t="s">
        <v>658</v>
      </c>
      <c r="W81">
        <v>21</v>
      </c>
      <c r="X81" t="s">
        <v>53</v>
      </c>
      <c r="Y81">
        <v>0</v>
      </c>
    </row>
    <row r="82" spans="1:25" x14ac:dyDescent="0.35">
      <c r="A82" t="s">
        <v>659</v>
      </c>
      <c r="B82" s="1">
        <v>45833</v>
      </c>
      <c r="C82" s="1">
        <v>45838</v>
      </c>
      <c r="D82" t="s">
        <v>427</v>
      </c>
      <c r="E82" t="s">
        <v>660</v>
      </c>
      <c r="F82" t="s">
        <v>95</v>
      </c>
      <c r="G82" t="s">
        <v>661</v>
      </c>
      <c r="H82" t="s">
        <v>163</v>
      </c>
      <c r="I82" t="s">
        <v>108</v>
      </c>
      <c r="J82" t="s">
        <v>97</v>
      </c>
      <c r="K82" t="s">
        <v>662</v>
      </c>
      <c r="L82" t="s">
        <v>663</v>
      </c>
      <c r="M82">
        <v>8</v>
      </c>
      <c r="N82">
        <v>1506</v>
      </c>
      <c r="O82">
        <v>15</v>
      </c>
      <c r="P82">
        <v>10690.8</v>
      </c>
      <c r="Q82">
        <v>10241.51</v>
      </c>
      <c r="R82">
        <v>449.29</v>
      </c>
      <c r="S82" t="s">
        <v>49</v>
      </c>
      <c r="T82" t="s">
        <v>36</v>
      </c>
      <c r="U82" t="s">
        <v>664</v>
      </c>
      <c r="V82" t="s">
        <v>665</v>
      </c>
      <c r="W82">
        <v>19</v>
      </c>
      <c r="X82" t="s">
        <v>53</v>
      </c>
      <c r="Y82">
        <v>0</v>
      </c>
    </row>
    <row r="83" spans="1:25" x14ac:dyDescent="0.35">
      <c r="A83" t="s">
        <v>666</v>
      </c>
      <c r="B83" s="1">
        <v>45830</v>
      </c>
      <c r="C83" s="1">
        <v>45835</v>
      </c>
      <c r="D83" t="s">
        <v>667</v>
      </c>
      <c r="E83" t="s">
        <v>668</v>
      </c>
      <c r="F83" t="s">
        <v>57</v>
      </c>
      <c r="G83" t="s">
        <v>669</v>
      </c>
      <c r="H83" t="s">
        <v>334</v>
      </c>
      <c r="I83" t="s">
        <v>108</v>
      </c>
      <c r="J83" t="s">
        <v>32</v>
      </c>
      <c r="K83" t="s">
        <v>128</v>
      </c>
      <c r="L83" t="s">
        <v>670</v>
      </c>
      <c r="M83">
        <v>4</v>
      </c>
      <c r="N83">
        <v>1395</v>
      </c>
      <c r="O83">
        <v>15</v>
      </c>
      <c r="P83">
        <v>5193</v>
      </c>
      <c r="Q83">
        <v>4743.6099999999997</v>
      </c>
      <c r="R83">
        <v>449.39</v>
      </c>
      <c r="S83" t="s">
        <v>100</v>
      </c>
      <c r="T83" t="s">
        <v>50</v>
      </c>
      <c r="U83" t="s">
        <v>671</v>
      </c>
      <c r="V83" t="s">
        <v>672</v>
      </c>
      <c r="W83">
        <v>45</v>
      </c>
      <c r="X83" t="s">
        <v>53</v>
      </c>
      <c r="Y83">
        <v>0</v>
      </c>
    </row>
    <row r="84" spans="1:25" x14ac:dyDescent="0.35">
      <c r="A84" t="s">
        <v>673</v>
      </c>
      <c r="B84" s="1">
        <v>45538</v>
      </c>
      <c r="C84" s="1">
        <v>45539</v>
      </c>
      <c r="D84" t="s">
        <v>674</v>
      </c>
      <c r="E84" t="s">
        <v>675</v>
      </c>
      <c r="F84" t="s">
        <v>28</v>
      </c>
      <c r="G84" t="s">
        <v>676</v>
      </c>
      <c r="H84" t="s">
        <v>172</v>
      </c>
      <c r="I84" t="s">
        <v>45</v>
      </c>
      <c r="J84" t="s">
        <v>46</v>
      </c>
      <c r="K84" t="s">
        <v>430</v>
      </c>
      <c r="L84" t="s">
        <v>677</v>
      </c>
      <c r="M84">
        <v>6</v>
      </c>
      <c r="N84">
        <v>1909</v>
      </c>
      <c r="O84">
        <v>15</v>
      </c>
      <c r="P84">
        <v>10185.9</v>
      </c>
      <c r="Q84">
        <v>9736.6200000000008</v>
      </c>
      <c r="R84">
        <v>449.28</v>
      </c>
      <c r="S84" t="s">
        <v>49</v>
      </c>
      <c r="T84" t="s">
        <v>36</v>
      </c>
      <c r="U84" t="s">
        <v>678</v>
      </c>
      <c r="V84" t="s">
        <v>679</v>
      </c>
      <c r="W84">
        <v>12</v>
      </c>
      <c r="X84" t="s">
        <v>53</v>
      </c>
      <c r="Y84">
        <v>0</v>
      </c>
    </row>
    <row r="85" spans="1:25" x14ac:dyDescent="0.35">
      <c r="A85" t="s">
        <v>680</v>
      </c>
      <c r="B85" s="1">
        <v>45514</v>
      </c>
      <c r="C85" s="1">
        <v>45518</v>
      </c>
      <c r="D85" t="s">
        <v>681</v>
      </c>
      <c r="E85" t="s">
        <v>682</v>
      </c>
      <c r="F85" t="s">
        <v>57</v>
      </c>
      <c r="G85" t="s">
        <v>683</v>
      </c>
      <c r="H85" t="s">
        <v>77</v>
      </c>
      <c r="I85" t="s">
        <v>45</v>
      </c>
      <c r="J85" t="s">
        <v>118</v>
      </c>
      <c r="K85" t="s">
        <v>474</v>
      </c>
      <c r="L85" t="s">
        <v>684</v>
      </c>
      <c r="M85">
        <v>8</v>
      </c>
      <c r="N85">
        <v>3695</v>
      </c>
      <c r="O85">
        <v>15</v>
      </c>
      <c r="P85">
        <v>25576</v>
      </c>
      <c r="Q85">
        <v>25126.61</v>
      </c>
      <c r="R85">
        <v>449.39</v>
      </c>
      <c r="S85" t="s">
        <v>35</v>
      </c>
      <c r="T85" t="s">
        <v>140</v>
      </c>
      <c r="U85" t="s">
        <v>685</v>
      </c>
      <c r="V85" t="s">
        <v>686</v>
      </c>
      <c r="W85">
        <v>40</v>
      </c>
      <c r="X85" t="s">
        <v>53</v>
      </c>
      <c r="Y85">
        <v>0</v>
      </c>
    </row>
    <row r="86" spans="1:25" x14ac:dyDescent="0.35">
      <c r="A86" t="s">
        <v>687</v>
      </c>
      <c r="B86" s="1">
        <v>45880</v>
      </c>
      <c r="C86" s="1">
        <v>45883</v>
      </c>
      <c r="D86" t="s">
        <v>688</v>
      </c>
      <c r="E86" t="s">
        <v>689</v>
      </c>
      <c r="F86" t="s">
        <v>28</v>
      </c>
      <c r="G86" t="s">
        <v>690</v>
      </c>
      <c r="H86" t="s">
        <v>334</v>
      </c>
      <c r="I86" t="s">
        <v>108</v>
      </c>
      <c r="J86" t="s">
        <v>97</v>
      </c>
      <c r="K86" t="s">
        <v>691</v>
      </c>
      <c r="L86" t="s">
        <v>692</v>
      </c>
      <c r="M86">
        <v>3</v>
      </c>
      <c r="N86">
        <v>2151</v>
      </c>
      <c r="O86">
        <v>20</v>
      </c>
      <c r="P86">
        <v>5612.4</v>
      </c>
      <c r="Q86">
        <v>5163</v>
      </c>
      <c r="R86">
        <v>449.4</v>
      </c>
      <c r="S86" t="s">
        <v>100</v>
      </c>
      <c r="T86" t="s">
        <v>36</v>
      </c>
      <c r="U86" t="s">
        <v>693</v>
      </c>
      <c r="V86" t="s">
        <v>694</v>
      </c>
      <c r="W86">
        <v>27</v>
      </c>
      <c r="X86" t="s">
        <v>53</v>
      </c>
      <c r="Y86">
        <v>0</v>
      </c>
    </row>
    <row r="87" spans="1:25" x14ac:dyDescent="0.35">
      <c r="A87" t="s">
        <v>695</v>
      </c>
      <c r="B87" s="1">
        <v>45612</v>
      </c>
      <c r="C87" s="1">
        <v>45616</v>
      </c>
      <c r="D87" t="s">
        <v>696</v>
      </c>
      <c r="E87" t="s">
        <v>697</v>
      </c>
      <c r="F87" t="s">
        <v>95</v>
      </c>
      <c r="G87" t="s">
        <v>698</v>
      </c>
      <c r="H87" t="s">
        <v>44</v>
      </c>
      <c r="I87" t="s">
        <v>45</v>
      </c>
      <c r="J87" t="s">
        <v>97</v>
      </c>
      <c r="K87" t="s">
        <v>699</v>
      </c>
      <c r="L87" t="s">
        <v>700</v>
      </c>
      <c r="M87">
        <v>10</v>
      </c>
      <c r="N87">
        <v>1372</v>
      </c>
      <c r="O87">
        <v>20</v>
      </c>
      <c r="P87">
        <v>11426</v>
      </c>
      <c r="Q87">
        <v>10976.77</v>
      </c>
      <c r="R87">
        <v>449.23</v>
      </c>
      <c r="S87" t="s">
        <v>35</v>
      </c>
      <c r="T87" t="s">
        <v>36</v>
      </c>
      <c r="U87" t="s">
        <v>701</v>
      </c>
      <c r="V87" t="s">
        <v>702</v>
      </c>
      <c r="W87">
        <v>23</v>
      </c>
      <c r="X87" t="s">
        <v>53</v>
      </c>
      <c r="Y87">
        <v>0</v>
      </c>
    </row>
    <row r="88" spans="1:25" x14ac:dyDescent="0.35">
      <c r="A88" t="s">
        <v>703</v>
      </c>
      <c r="B88" s="1">
        <v>45294</v>
      </c>
      <c r="C88" s="1">
        <v>45301</v>
      </c>
      <c r="D88" t="s">
        <v>581</v>
      </c>
      <c r="E88" t="s">
        <v>704</v>
      </c>
      <c r="F88" t="s">
        <v>95</v>
      </c>
      <c r="G88" t="s">
        <v>705</v>
      </c>
      <c r="H88" t="s">
        <v>163</v>
      </c>
      <c r="I88" t="s">
        <v>108</v>
      </c>
      <c r="J88" t="s">
        <v>118</v>
      </c>
      <c r="K88" t="s">
        <v>706</v>
      </c>
      <c r="L88" t="s">
        <v>707</v>
      </c>
      <c r="M88">
        <v>1</v>
      </c>
      <c r="N88">
        <v>3908</v>
      </c>
      <c r="O88">
        <v>20</v>
      </c>
      <c r="P88">
        <v>3576.4</v>
      </c>
      <c r="Q88">
        <v>3127.07</v>
      </c>
      <c r="R88">
        <v>449.33</v>
      </c>
      <c r="S88" t="s">
        <v>35</v>
      </c>
      <c r="T88" t="s">
        <v>140</v>
      </c>
      <c r="U88" t="s">
        <v>708</v>
      </c>
      <c r="V88" t="s">
        <v>709</v>
      </c>
      <c r="W88">
        <v>31</v>
      </c>
      <c r="X88" t="s">
        <v>53</v>
      </c>
      <c r="Y88">
        <v>0</v>
      </c>
    </row>
    <row r="89" spans="1:25" x14ac:dyDescent="0.35">
      <c r="A89" t="s">
        <v>710</v>
      </c>
      <c r="B89" s="1">
        <v>45600</v>
      </c>
      <c r="C89" s="1">
        <v>45602</v>
      </c>
      <c r="D89" t="s">
        <v>711</v>
      </c>
      <c r="E89" t="s">
        <v>712</v>
      </c>
      <c r="F89" t="s">
        <v>28</v>
      </c>
      <c r="G89" t="s">
        <v>713</v>
      </c>
      <c r="H89" t="s">
        <v>364</v>
      </c>
      <c r="I89" t="s">
        <v>137</v>
      </c>
      <c r="J89" t="s">
        <v>118</v>
      </c>
      <c r="K89" t="s">
        <v>714</v>
      </c>
      <c r="L89" t="s">
        <v>715</v>
      </c>
      <c r="M89">
        <v>2</v>
      </c>
      <c r="N89">
        <v>2113</v>
      </c>
      <c r="O89">
        <v>10</v>
      </c>
      <c r="P89">
        <v>4253.3999999999996</v>
      </c>
      <c r="Q89">
        <v>3804.1</v>
      </c>
      <c r="R89">
        <v>449.3</v>
      </c>
      <c r="S89" t="s">
        <v>49</v>
      </c>
      <c r="T89" t="s">
        <v>36</v>
      </c>
      <c r="U89" t="s">
        <v>716</v>
      </c>
      <c r="V89" t="s">
        <v>717</v>
      </c>
      <c r="W89">
        <v>2</v>
      </c>
      <c r="X89" t="s">
        <v>39</v>
      </c>
      <c r="Y89">
        <v>41</v>
      </c>
    </row>
    <row r="90" spans="1:25" x14ac:dyDescent="0.35">
      <c r="A90" t="s">
        <v>718</v>
      </c>
      <c r="B90" s="1">
        <v>45942</v>
      </c>
      <c r="C90" s="1">
        <v>45946</v>
      </c>
      <c r="D90" t="s">
        <v>719</v>
      </c>
      <c r="E90" t="s">
        <v>720</v>
      </c>
      <c r="F90" t="s">
        <v>57</v>
      </c>
      <c r="G90" t="s">
        <v>721</v>
      </c>
      <c r="H90" t="s">
        <v>189</v>
      </c>
      <c r="I90" t="s">
        <v>108</v>
      </c>
      <c r="J90" t="s">
        <v>118</v>
      </c>
      <c r="K90" t="s">
        <v>349</v>
      </c>
      <c r="L90" t="s">
        <v>722</v>
      </c>
      <c r="M90">
        <v>1</v>
      </c>
      <c r="N90">
        <v>1080</v>
      </c>
      <c r="O90">
        <v>0</v>
      </c>
      <c r="P90">
        <v>1530</v>
      </c>
      <c r="Q90">
        <v>1080.8699999999999</v>
      </c>
      <c r="R90">
        <v>449.13</v>
      </c>
      <c r="S90" t="s">
        <v>100</v>
      </c>
      <c r="T90" t="s">
        <v>50</v>
      </c>
      <c r="U90" t="s">
        <v>723</v>
      </c>
      <c r="V90" t="s">
        <v>724</v>
      </c>
      <c r="W90">
        <v>48</v>
      </c>
      <c r="X90" t="s">
        <v>53</v>
      </c>
      <c r="Y90">
        <v>0</v>
      </c>
    </row>
    <row r="91" spans="1:25" x14ac:dyDescent="0.35">
      <c r="A91" t="s">
        <v>725</v>
      </c>
      <c r="B91" s="1">
        <v>45871</v>
      </c>
      <c r="C91" s="1">
        <v>45878</v>
      </c>
      <c r="D91" t="s">
        <v>726</v>
      </c>
      <c r="E91" t="s">
        <v>727</v>
      </c>
      <c r="F91" t="s">
        <v>28</v>
      </c>
      <c r="G91" t="s">
        <v>728</v>
      </c>
      <c r="H91" t="s">
        <v>117</v>
      </c>
      <c r="I91" t="s">
        <v>108</v>
      </c>
      <c r="J91" t="s">
        <v>97</v>
      </c>
      <c r="K91" t="s">
        <v>109</v>
      </c>
      <c r="L91" t="s">
        <v>729</v>
      </c>
      <c r="M91">
        <v>7</v>
      </c>
      <c r="N91">
        <v>222</v>
      </c>
      <c r="O91">
        <v>0</v>
      </c>
      <c r="P91">
        <v>2004</v>
      </c>
      <c r="Q91">
        <v>1554.64</v>
      </c>
      <c r="R91">
        <v>449.36</v>
      </c>
      <c r="S91" t="s">
        <v>100</v>
      </c>
      <c r="T91" t="s">
        <v>36</v>
      </c>
      <c r="U91" t="s">
        <v>730</v>
      </c>
      <c r="V91" t="s">
        <v>731</v>
      </c>
      <c r="W91">
        <v>22</v>
      </c>
      <c r="X91" t="s">
        <v>53</v>
      </c>
      <c r="Y91">
        <v>0</v>
      </c>
    </row>
    <row r="92" spans="1:25" x14ac:dyDescent="0.35">
      <c r="A92" t="s">
        <v>732</v>
      </c>
      <c r="B92" s="1">
        <v>45550</v>
      </c>
      <c r="C92" s="1">
        <v>45557</v>
      </c>
      <c r="D92" t="s">
        <v>733</v>
      </c>
      <c r="E92" t="s">
        <v>734</v>
      </c>
      <c r="F92" t="s">
        <v>28</v>
      </c>
      <c r="G92" t="s">
        <v>735</v>
      </c>
      <c r="H92" t="s">
        <v>320</v>
      </c>
      <c r="I92" t="s">
        <v>137</v>
      </c>
      <c r="J92" t="s">
        <v>46</v>
      </c>
      <c r="K92" t="s">
        <v>138</v>
      </c>
      <c r="L92" t="s">
        <v>736</v>
      </c>
      <c r="M92">
        <v>8</v>
      </c>
      <c r="N92">
        <v>3089</v>
      </c>
      <c r="O92">
        <v>20</v>
      </c>
      <c r="P92">
        <v>20219.599999999999</v>
      </c>
      <c r="Q92">
        <v>19770.310000000001</v>
      </c>
      <c r="R92">
        <v>449.29</v>
      </c>
      <c r="S92" t="s">
        <v>35</v>
      </c>
      <c r="T92" t="s">
        <v>140</v>
      </c>
      <c r="U92" t="s">
        <v>737</v>
      </c>
      <c r="V92" t="s">
        <v>738</v>
      </c>
      <c r="W92">
        <v>49</v>
      </c>
      <c r="X92" t="s">
        <v>53</v>
      </c>
      <c r="Y92">
        <v>0</v>
      </c>
    </row>
    <row r="93" spans="1:25" x14ac:dyDescent="0.35">
      <c r="A93" t="s">
        <v>739</v>
      </c>
      <c r="B93" s="1">
        <v>45648</v>
      </c>
      <c r="C93" s="1">
        <v>45650</v>
      </c>
      <c r="D93" t="s">
        <v>740</v>
      </c>
      <c r="E93" t="s">
        <v>741</v>
      </c>
      <c r="F93" t="s">
        <v>57</v>
      </c>
      <c r="G93" t="s">
        <v>742</v>
      </c>
      <c r="H93" t="s">
        <v>334</v>
      </c>
      <c r="I93" t="s">
        <v>108</v>
      </c>
      <c r="J93" t="s">
        <v>118</v>
      </c>
      <c r="K93" t="s">
        <v>532</v>
      </c>
      <c r="L93" t="s">
        <v>743</v>
      </c>
      <c r="M93">
        <v>9</v>
      </c>
      <c r="N93">
        <v>3888</v>
      </c>
      <c r="O93">
        <v>20</v>
      </c>
      <c r="P93">
        <v>28443.599999999999</v>
      </c>
      <c r="Q93">
        <v>27994.31</v>
      </c>
      <c r="R93">
        <v>449.29</v>
      </c>
      <c r="S93" t="s">
        <v>80</v>
      </c>
      <c r="T93" t="s">
        <v>36</v>
      </c>
      <c r="U93" t="s">
        <v>744</v>
      </c>
      <c r="V93" t="s">
        <v>745</v>
      </c>
      <c r="W93">
        <v>15</v>
      </c>
      <c r="X93" t="s">
        <v>53</v>
      </c>
      <c r="Y93">
        <v>0</v>
      </c>
    </row>
    <row r="94" spans="1:25" x14ac:dyDescent="0.35">
      <c r="A94" t="s">
        <v>746</v>
      </c>
      <c r="B94" s="1">
        <v>45931</v>
      </c>
      <c r="C94" s="1">
        <v>45932</v>
      </c>
      <c r="D94" t="s">
        <v>747</v>
      </c>
      <c r="E94" t="s">
        <v>748</v>
      </c>
      <c r="F94" t="s">
        <v>57</v>
      </c>
      <c r="G94" t="s">
        <v>749</v>
      </c>
      <c r="H94" t="s">
        <v>77</v>
      </c>
      <c r="I94" t="s">
        <v>45</v>
      </c>
      <c r="J94" t="s">
        <v>118</v>
      </c>
      <c r="K94" t="s">
        <v>750</v>
      </c>
      <c r="L94" t="s">
        <v>751</v>
      </c>
      <c r="M94">
        <v>7</v>
      </c>
      <c r="N94">
        <v>183</v>
      </c>
      <c r="O94">
        <v>0</v>
      </c>
      <c r="P94">
        <v>1731</v>
      </c>
      <c r="Q94">
        <v>1281.76</v>
      </c>
      <c r="R94">
        <v>449.24</v>
      </c>
      <c r="S94" t="s">
        <v>100</v>
      </c>
      <c r="T94" t="s">
        <v>140</v>
      </c>
      <c r="U94" t="s">
        <v>752</v>
      </c>
      <c r="V94" t="s">
        <v>753</v>
      </c>
      <c r="W94">
        <v>10</v>
      </c>
      <c r="X94" t="s">
        <v>53</v>
      </c>
      <c r="Y94">
        <v>0</v>
      </c>
    </row>
    <row r="95" spans="1:25" x14ac:dyDescent="0.35">
      <c r="A95" t="s">
        <v>754</v>
      </c>
      <c r="B95" s="1">
        <v>45610</v>
      </c>
      <c r="C95" s="1">
        <v>45617</v>
      </c>
      <c r="D95" t="s">
        <v>755</v>
      </c>
      <c r="E95" t="s">
        <v>756</v>
      </c>
      <c r="F95" t="s">
        <v>28</v>
      </c>
      <c r="G95" t="s">
        <v>757</v>
      </c>
      <c r="H95" t="s">
        <v>198</v>
      </c>
      <c r="I95" t="s">
        <v>31</v>
      </c>
      <c r="J95" t="s">
        <v>97</v>
      </c>
      <c r="K95" t="s">
        <v>239</v>
      </c>
      <c r="L95" t="s">
        <v>758</v>
      </c>
      <c r="M95">
        <v>2</v>
      </c>
      <c r="N95">
        <v>1061</v>
      </c>
      <c r="O95">
        <v>5</v>
      </c>
      <c r="P95">
        <v>2465.9</v>
      </c>
      <c r="Q95">
        <v>2016.57</v>
      </c>
      <c r="R95">
        <v>449.33</v>
      </c>
      <c r="S95" t="s">
        <v>80</v>
      </c>
      <c r="T95" t="s">
        <v>89</v>
      </c>
      <c r="U95" t="s">
        <v>759</v>
      </c>
      <c r="V95" t="s">
        <v>760</v>
      </c>
      <c r="W95">
        <v>15</v>
      </c>
      <c r="X95" t="s">
        <v>53</v>
      </c>
      <c r="Y95">
        <v>0</v>
      </c>
    </row>
    <row r="96" spans="1:25" x14ac:dyDescent="0.35">
      <c r="A96" t="s">
        <v>761</v>
      </c>
      <c r="B96" s="1">
        <v>45275</v>
      </c>
      <c r="C96" s="1">
        <v>45278</v>
      </c>
      <c r="D96" t="s">
        <v>762</v>
      </c>
      <c r="E96" t="s">
        <v>763</v>
      </c>
      <c r="F96" t="s">
        <v>57</v>
      </c>
      <c r="G96" t="s">
        <v>764</v>
      </c>
      <c r="H96" t="s">
        <v>154</v>
      </c>
      <c r="I96" t="s">
        <v>137</v>
      </c>
      <c r="J96" t="s">
        <v>118</v>
      </c>
      <c r="K96" t="s">
        <v>706</v>
      </c>
      <c r="L96" t="s">
        <v>765</v>
      </c>
      <c r="M96">
        <v>9</v>
      </c>
      <c r="N96">
        <v>4554</v>
      </c>
      <c r="O96">
        <v>10</v>
      </c>
      <c r="P96">
        <v>37337.4</v>
      </c>
      <c r="Q96">
        <v>36888.21</v>
      </c>
      <c r="R96">
        <v>449.19</v>
      </c>
      <c r="S96" t="s">
        <v>35</v>
      </c>
      <c r="T96" t="s">
        <v>140</v>
      </c>
      <c r="U96" t="s">
        <v>766</v>
      </c>
      <c r="V96" t="s">
        <v>767</v>
      </c>
      <c r="W96">
        <v>43</v>
      </c>
      <c r="X96" t="s">
        <v>53</v>
      </c>
      <c r="Y96">
        <v>0</v>
      </c>
    </row>
    <row r="97" spans="1:25" x14ac:dyDescent="0.35">
      <c r="A97" t="s">
        <v>768</v>
      </c>
      <c r="B97" s="1">
        <v>45299</v>
      </c>
      <c r="C97" s="1">
        <v>45306</v>
      </c>
      <c r="D97" t="s">
        <v>769</v>
      </c>
      <c r="E97" t="s">
        <v>770</v>
      </c>
      <c r="F97" t="s">
        <v>28</v>
      </c>
      <c r="G97" t="s">
        <v>771</v>
      </c>
      <c r="H97" t="s">
        <v>163</v>
      </c>
      <c r="I97" t="s">
        <v>108</v>
      </c>
      <c r="J97" t="s">
        <v>97</v>
      </c>
      <c r="K97" t="s">
        <v>714</v>
      </c>
      <c r="L97" t="s">
        <v>772</v>
      </c>
      <c r="M97">
        <v>2</v>
      </c>
      <c r="N97">
        <v>2544</v>
      </c>
      <c r="O97">
        <v>5</v>
      </c>
      <c r="P97">
        <v>5283.6</v>
      </c>
      <c r="Q97">
        <v>4834.4799999999996</v>
      </c>
      <c r="R97">
        <v>449.12</v>
      </c>
      <c r="S97" t="s">
        <v>49</v>
      </c>
      <c r="T97" t="s">
        <v>140</v>
      </c>
      <c r="U97" t="s">
        <v>773</v>
      </c>
      <c r="V97" t="s">
        <v>774</v>
      </c>
      <c r="W97">
        <v>6</v>
      </c>
      <c r="X97" t="s">
        <v>39</v>
      </c>
      <c r="Y97">
        <v>36</v>
      </c>
    </row>
    <row r="98" spans="1:25" x14ac:dyDescent="0.35">
      <c r="A98" t="s">
        <v>775</v>
      </c>
      <c r="B98" s="1">
        <v>45693</v>
      </c>
      <c r="C98" s="1">
        <v>45698</v>
      </c>
      <c r="D98" t="s">
        <v>776</v>
      </c>
      <c r="E98" t="s">
        <v>777</v>
      </c>
      <c r="F98" t="s">
        <v>28</v>
      </c>
      <c r="G98" t="s">
        <v>778</v>
      </c>
      <c r="H98" t="s">
        <v>154</v>
      </c>
      <c r="I98" t="s">
        <v>137</v>
      </c>
      <c r="J98" t="s">
        <v>97</v>
      </c>
      <c r="K98" t="s">
        <v>222</v>
      </c>
      <c r="L98" t="s">
        <v>779</v>
      </c>
      <c r="M98">
        <v>10</v>
      </c>
      <c r="N98">
        <v>1151</v>
      </c>
      <c r="O98">
        <v>15</v>
      </c>
      <c r="P98">
        <v>10233.5</v>
      </c>
      <c r="Q98">
        <v>9784.15</v>
      </c>
      <c r="R98">
        <v>449.35</v>
      </c>
      <c r="S98" t="s">
        <v>35</v>
      </c>
      <c r="T98" t="s">
        <v>89</v>
      </c>
      <c r="U98" t="s">
        <v>780</v>
      </c>
      <c r="V98" t="s">
        <v>781</v>
      </c>
      <c r="W98">
        <v>41</v>
      </c>
      <c r="X98" t="s">
        <v>53</v>
      </c>
      <c r="Y98">
        <v>0</v>
      </c>
    </row>
    <row r="99" spans="1:25" x14ac:dyDescent="0.35">
      <c r="A99" t="s">
        <v>782</v>
      </c>
      <c r="B99" s="1">
        <v>45762</v>
      </c>
      <c r="C99" s="1">
        <v>45767</v>
      </c>
      <c r="D99" t="s">
        <v>783</v>
      </c>
      <c r="E99" t="s">
        <v>784</v>
      </c>
      <c r="F99" t="s">
        <v>57</v>
      </c>
      <c r="G99" t="s">
        <v>785</v>
      </c>
      <c r="H99" t="s">
        <v>163</v>
      </c>
      <c r="I99" t="s">
        <v>108</v>
      </c>
      <c r="J99" t="s">
        <v>46</v>
      </c>
      <c r="K99" t="s">
        <v>786</v>
      </c>
      <c r="L99" t="s">
        <v>787</v>
      </c>
      <c r="M99">
        <v>2</v>
      </c>
      <c r="N99">
        <v>4591</v>
      </c>
      <c r="O99">
        <v>0</v>
      </c>
      <c r="P99">
        <v>9632</v>
      </c>
      <c r="Q99">
        <v>9182.89</v>
      </c>
      <c r="R99">
        <v>449.11</v>
      </c>
      <c r="S99" t="s">
        <v>49</v>
      </c>
      <c r="T99" t="s">
        <v>89</v>
      </c>
      <c r="U99" t="s">
        <v>788</v>
      </c>
      <c r="V99" t="s">
        <v>789</v>
      </c>
      <c r="W99">
        <v>32</v>
      </c>
      <c r="X99" t="s">
        <v>53</v>
      </c>
      <c r="Y99">
        <v>0</v>
      </c>
    </row>
    <row r="100" spans="1:25" x14ac:dyDescent="0.35">
      <c r="A100" t="s">
        <v>790</v>
      </c>
      <c r="B100" s="1">
        <v>45652</v>
      </c>
      <c r="C100" s="1">
        <v>45655</v>
      </c>
      <c r="D100" t="s">
        <v>791</v>
      </c>
      <c r="E100" t="s">
        <v>792</v>
      </c>
      <c r="F100" t="s">
        <v>28</v>
      </c>
      <c r="G100" t="s">
        <v>793</v>
      </c>
      <c r="H100" t="s">
        <v>68</v>
      </c>
      <c r="I100" t="s">
        <v>31</v>
      </c>
      <c r="J100" t="s">
        <v>97</v>
      </c>
      <c r="K100" t="s">
        <v>247</v>
      </c>
      <c r="L100" t="s">
        <v>794</v>
      </c>
      <c r="M100">
        <v>5</v>
      </c>
      <c r="N100">
        <v>2576</v>
      </c>
      <c r="O100">
        <v>0</v>
      </c>
      <c r="P100">
        <v>13330</v>
      </c>
      <c r="Q100">
        <v>12880.78</v>
      </c>
      <c r="R100">
        <v>449.22</v>
      </c>
      <c r="S100" t="s">
        <v>80</v>
      </c>
      <c r="T100" t="s">
        <v>140</v>
      </c>
      <c r="U100" t="s">
        <v>795</v>
      </c>
      <c r="V100" t="s">
        <v>796</v>
      </c>
      <c r="W100">
        <v>47</v>
      </c>
      <c r="X100" t="s">
        <v>53</v>
      </c>
      <c r="Y100">
        <v>0</v>
      </c>
    </row>
    <row r="101" spans="1:25" x14ac:dyDescent="0.35">
      <c r="A101" t="s">
        <v>797</v>
      </c>
      <c r="B101" s="1">
        <v>45653</v>
      </c>
      <c r="C101" s="1">
        <v>45654</v>
      </c>
      <c r="D101" t="s">
        <v>798</v>
      </c>
      <c r="E101" t="s">
        <v>799</v>
      </c>
      <c r="F101" t="s">
        <v>57</v>
      </c>
      <c r="G101" t="s">
        <v>800</v>
      </c>
      <c r="H101" t="s">
        <v>320</v>
      </c>
      <c r="I101" t="s">
        <v>137</v>
      </c>
      <c r="J101" t="s">
        <v>118</v>
      </c>
      <c r="K101" t="s">
        <v>349</v>
      </c>
      <c r="L101" t="s">
        <v>801</v>
      </c>
      <c r="M101">
        <v>3</v>
      </c>
      <c r="N101">
        <v>1261</v>
      </c>
      <c r="O101">
        <v>10</v>
      </c>
      <c r="P101">
        <v>3854.7</v>
      </c>
      <c r="Q101">
        <v>3405.58</v>
      </c>
      <c r="R101">
        <v>449.12</v>
      </c>
      <c r="S101" t="s">
        <v>100</v>
      </c>
      <c r="T101" t="s">
        <v>50</v>
      </c>
      <c r="U101" t="s">
        <v>802</v>
      </c>
      <c r="V101" t="s">
        <v>803</v>
      </c>
      <c r="W101">
        <v>32</v>
      </c>
      <c r="X101" t="s">
        <v>53</v>
      </c>
      <c r="Y101">
        <v>0</v>
      </c>
    </row>
    <row r="102" spans="1:25" x14ac:dyDescent="0.35">
      <c r="A102" t="s">
        <v>804</v>
      </c>
      <c r="B102" s="1">
        <v>45745</v>
      </c>
      <c r="C102" s="1">
        <v>45748</v>
      </c>
      <c r="D102" t="s">
        <v>805</v>
      </c>
      <c r="E102" t="s">
        <v>806</v>
      </c>
      <c r="F102" t="s">
        <v>28</v>
      </c>
      <c r="G102" t="s">
        <v>807</v>
      </c>
      <c r="H102" t="s">
        <v>189</v>
      </c>
      <c r="I102" t="s">
        <v>108</v>
      </c>
      <c r="J102" t="s">
        <v>118</v>
      </c>
      <c r="K102" t="s">
        <v>648</v>
      </c>
      <c r="L102" t="s">
        <v>808</v>
      </c>
      <c r="M102">
        <v>1</v>
      </c>
      <c r="N102">
        <v>1535</v>
      </c>
      <c r="O102">
        <v>15</v>
      </c>
      <c r="P102">
        <v>1754.75</v>
      </c>
      <c r="Q102">
        <v>1305.6300000000001</v>
      </c>
      <c r="R102">
        <v>449.12</v>
      </c>
      <c r="S102" t="s">
        <v>80</v>
      </c>
      <c r="T102" t="s">
        <v>36</v>
      </c>
      <c r="U102" t="s">
        <v>809</v>
      </c>
      <c r="V102" t="s">
        <v>810</v>
      </c>
      <c r="W102">
        <v>29</v>
      </c>
      <c r="X102" t="s">
        <v>53</v>
      </c>
      <c r="Y102">
        <v>0</v>
      </c>
    </row>
    <row r="103" spans="1:25" x14ac:dyDescent="0.35">
      <c r="A103" t="s">
        <v>811</v>
      </c>
      <c r="B103" s="1">
        <v>45237</v>
      </c>
      <c r="C103" s="1">
        <v>45238</v>
      </c>
      <c r="D103" t="s">
        <v>812</v>
      </c>
      <c r="E103" t="s">
        <v>813</v>
      </c>
      <c r="F103" t="s">
        <v>95</v>
      </c>
      <c r="G103" t="s">
        <v>814</v>
      </c>
      <c r="H103" t="s">
        <v>172</v>
      </c>
      <c r="I103" t="s">
        <v>45</v>
      </c>
      <c r="J103" t="s">
        <v>97</v>
      </c>
      <c r="K103" t="s">
        <v>706</v>
      </c>
      <c r="L103" t="s">
        <v>815</v>
      </c>
      <c r="M103">
        <v>7</v>
      </c>
      <c r="N103">
        <v>4146</v>
      </c>
      <c r="O103">
        <v>20</v>
      </c>
      <c r="P103">
        <v>23667.599999999999</v>
      </c>
      <c r="Q103">
        <v>23218.46</v>
      </c>
      <c r="R103">
        <v>449.14</v>
      </c>
      <c r="S103" t="s">
        <v>80</v>
      </c>
      <c r="T103" t="s">
        <v>89</v>
      </c>
      <c r="U103" t="s">
        <v>816</v>
      </c>
      <c r="V103" t="s">
        <v>817</v>
      </c>
      <c r="W103">
        <v>25</v>
      </c>
      <c r="X103" t="s">
        <v>53</v>
      </c>
      <c r="Y103">
        <v>0</v>
      </c>
    </row>
    <row r="104" spans="1:25" x14ac:dyDescent="0.35">
      <c r="A104" t="s">
        <v>818</v>
      </c>
      <c r="B104" s="1">
        <v>45262</v>
      </c>
      <c r="C104" s="1">
        <v>45265</v>
      </c>
      <c r="D104" t="s">
        <v>819</v>
      </c>
      <c r="E104" t="s">
        <v>820</v>
      </c>
      <c r="F104" t="s">
        <v>57</v>
      </c>
      <c r="G104" t="s">
        <v>821</v>
      </c>
      <c r="H104" t="s">
        <v>172</v>
      </c>
      <c r="I104" t="s">
        <v>45</v>
      </c>
      <c r="J104" t="s">
        <v>46</v>
      </c>
      <c r="K104" t="s">
        <v>47</v>
      </c>
      <c r="L104" t="s">
        <v>822</v>
      </c>
      <c r="M104">
        <v>4</v>
      </c>
      <c r="N104">
        <v>233</v>
      </c>
      <c r="O104">
        <v>5</v>
      </c>
      <c r="P104">
        <v>1335.4</v>
      </c>
      <c r="Q104">
        <v>886.2</v>
      </c>
      <c r="R104">
        <v>449.2</v>
      </c>
      <c r="S104" t="s">
        <v>100</v>
      </c>
      <c r="T104" t="s">
        <v>36</v>
      </c>
      <c r="U104" t="s">
        <v>823</v>
      </c>
      <c r="V104" t="s">
        <v>824</v>
      </c>
      <c r="W104">
        <v>3</v>
      </c>
      <c r="X104" t="s">
        <v>39</v>
      </c>
      <c r="Y104">
        <v>23</v>
      </c>
    </row>
    <row r="105" spans="1:25" x14ac:dyDescent="0.35">
      <c r="A105" t="s">
        <v>825</v>
      </c>
      <c r="B105" s="1">
        <v>45857</v>
      </c>
      <c r="C105" s="1">
        <v>45864</v>
      </c>
      <c r="D105" t="s">
        <v>826</v>
      </c>
      <c r="E105" t="s">
        <v>827</v>
      </c>
      <c r="F105" t="s">
        <v>95</v>
      </c>
      <c r="G105" t="s">
        <v>828</v>
      </c>
      <c r="H105" t="s">
        <v>198</v>
      </c>
      <c r="I105" t="s">
        <v>31</v>
      </c>
      <c r="J105" t="s">
        <v>32</v>
      </c>
      <c r="K105" t="s">
        <v>119</v>
      </c>
      <c r="L105" t="s">
        <v>829</v>
      </c>
      <c r="M105">
        <v>9</v>
      </c>
      <c r="N105">
        <v>2171</v>
      </c>
      <c r="O105">
        <v>0</v>
      </c>
      <c r="P105">
        <v>19989</v>
      </c>
      <c r="Q105">
        <v>19539.740000000002</v>
      </c>
      <c r="R105">
        <v>449.26</v>
      </c>
      <c r="S105" t="s">
        <v>49</v>
      </c>
      <c r="T105" t="s">
        <v>140</v>
      </c>
      <c r="U105" t="s">
        <v>830</v>
      </c>
      <c r="V105" t="s">
        <v>831</v>
      </c>
      <c r="W105">
        <v>33</v>
      </c>
      <c r="X105" t="s">
        <v>53</v>
      </c>
      <c r="Y105">
        <v>0</v>
      </c>
    </row>
    <row r="106" spans="1:25" x14ac:dyDescent="0.35">
      <c r="A106" t="s">
        <v>832</v>
      </c>
      <c r="B106" s="1">
        <v>45413</v>
      </c>
      <c r="C106" s="1">
        <v>45419</v>
      </c>
      <c r="D106" t="s">
        <v>833</v>
      </c>
      <c r="E106" t="s">
        <v>834</v>
      </c>
      <c r="F106" t="s">
        <v>95</v>
      </c>
      <c r="G106" t="s">
        <v>835</v>
      </c>
      <c r="H106" t="s">
        <v>163</v>
      </c>
      <c r="I106" t="s">
        <v>108</v>
      </c>
      <c r="J106" t="s">
        <v>97</v>
      </c>
      <c r="K106" t="s">
        <v>231</v>
      </c>
      <c r="L106" t="s">
        <v>836</v>
      </c>
      <c r="M106">
        <v>5</v>
      </c>
      <c r="N106">
        <v>1922</v>
      </c>
      <c r="O106">
        <v>15</v>
      </c>
      <c r="P106">
        <v>8723.5</v>
      </c>
      <c r="Q106">
        <v>8169.24</v>
      </c>
      <c r="R106">
        <v>554.26</v>
      </c>
      <c r="S106" t="s">
        <v>49</v>
      </c>
      <c r="T106" t="s">
        <v>140</v>
      </c>
      <c r="U106" t="s">
        <v>837</v>
      </c>
      <c r="V106" t="s">
        <v>838</v>
      </c>
      <c r="W106">
        <v>45</v>
      </c>
      <c r="X106" t="s">
        <v>53</v>
      </c>
      <c r="Y106">
        <v>0</v>
      </c>
    </row>
    <row r="107" spans="1:25" x14ac:dyDescent="0.35">
      <c r="A107" t="s">
        <v>839</v>
      </c>
      <c r="B107" s="1">
        <v>45463</v>
      </c>
      <c r="C107" s="1">
        <v>45469</v>
      </c>
      <c r="D107" t="s">
        <v>840</v>
      </c>
      <c r="E107" t="s">
        <v>841</v>
      </c>
      <c r="F107" t="s">
        <v>57</v>
      </c>
      <c r="G107" t="s">
        <v>842</v>
      </c>
      <c r="H107" t="s">
        <v>68</v>
      </c>
      <c r="I107" t="s">
        <v>31</v>
      </c>
      <c r="J107" t="s">
        <v>97</v>
      </c>
      <c r="K107" t="s">
        <v>69</v>
      </c>
      <c r="L107" t="s">
        <v>843</v>
      </c>
      <c r="M107">
        <v>1</v>
      </c>
      <c r="N107">
        <v>502</v>
      </c>
      <c r="O107">
        <v>15</v>
      </c>
      <c r="P107">
        <v>981.7</v>
      </c>
      <c r="Q107">
        <v>427.5</v>
      </c>
      <c r="R107">
        <v>554.20000000000005</v>
      </c>
      <c r="S107" t="s">
        <v>80</v>
      </c>
      <c r="T107" t="s">
        <v>140</v>
      </c>
      <c r="U107" t="s">
        <v>844</v>
      </c>
      <c r="V107" t="s">
        <v>845</v>
      </c>
      <c r="W107">
        <v>18</v>
      </c>
      <c r="X107" t="s">
        <v>53</v>
      </c>
      <c r="Y107">
        <v>0</v>
      </c>
    </row>
    <row r="108" spans="1:25" x14ac:dyDescent="0.35">
      <c r="A108" t="s">
        <v>846</v>
      </c>
      <c r="B108" s="1">
        <v>45398</v>
      </c>
      <c r="C108" s="1">
        <v>45404</v>
      </c>
      <c r="D108" t="s">
        <v>847</v>
      </c>
      <c r="E108" t="s">
        <v>848</v>
      </c>
      <c r="F108" t="s">
        <v>57</v>
      </c>
      <c r="G108" t="s">
        <v>849</v>
      </c>
      <c r="H108" t="s">
        <v>189</v>
      </c>
      <c r="I108" t="s">
        <v>108</v>
      </c>
      <c r="J108" t="s">
        <v>97</v>
      </c>
      <c r="K108" t="s">
        <v>33</v>
      </c>
      <c r="L108" t="s">
        <v>850</v>
      </c>
      <c r="M108">
        <v>4</v>
      </c>
      <c r="N108">
        <v>4798</v>
      </c>
      <c r="O108">
        <v>15</v>
      </c>
      <c r="P108">
        <v>16868.2</v>
      </c>
      <c r="Q108">
        <v>16314.02</v>
      </c>
      <c r="R108">
        <v>554.17999999999995</v>
      </c>
      <c r="S108" t="s">
        <v>80</v>
      </c>
      <c r="T108" t="s">
        <v>36</v>
      </c>
      <c r="U108" t="s">
        <v>851</v>
      </c>
      <c r="V108" t="s">
        <v>852</v>
      </c>
      <c r="W108">
        <v>15</v>
      </c>
      <c r="X108" t="s">
        <v>53</v>
      </c>
      <c r="Y108">
        <v>0</v>
      </c>
    </row>
    <row r="109" spans="1:25" x14ac:dyDescent="0.35">
      <c r="A109" t="s">
        <v>853</v>
      </c>
      <c r="B109" s="1">
        <v>45745</v>
      </c>
      <c r="C109" s="1">
        <v>45747</v>
      </c>
      <c r="D109" t="s">
        <v>854</v>
      </c>
      <c r="E109" t="s">
        <v>855</v>
      </c>
      <c r="F109" t="s">
        <v>57</v>
      </c>
      <c r="G109" t="s">
        <v>856</v>
      </c>
      <c r="H109" t="s">
        <v>44</v>
      </c>
      <c r="I109" t="s">
        <v>45</v>
      </c>
      <c r="J109" t="s">
        <v>118</v>
      </c>
      <c r="K109" t="s">
        <v>119</v>
      </c>
      <c r="L109" t="s">
        <v>857</v>
      </c>
      <c r="M109">
        <v>6</v>
      </c>
      <c r="N109">
        <v>4866</v>
      </c>
      <c r="O109">
        <v>10</v>
      </c>
      <c r="P109">
        <v>26831.4</v>
      </c>
      <c r="Q109">
        <v>26277.22</v>
      </c>
      <c r="R109">
        <v>554.17999999999995</v>
      </c>
      <c r="S109" t="s">
        <v>35</v>
      </c>
      <c r="T109" t="s">
        <v>89</v>
      </c>
      <c r="U109" t="s">
        <v>858</v>
      </c>
      <c r="V109" t="s">
        <v>859</v>
      </c>
      <c r="W109">
        <v>0</v>
      </c>
      <c r="X109" t="s">
        <v>39</v>
      </c>
      <c r="Y109">
        <v>30</v>
      </c>
    </row>
    <row r="110" spans="1:25" x14ac:dyDescent="0.35">
      <c r="A110" t="s">
        <v>860</v>
      </c>
      <c r="B110" s="1">
        <v>45528</v>
      </c>
      <c r="C110" s="1">
        <v>45532</v>
      </c>
      <c r="D110" t="s">
        <v>861</v>
      </c>
      <c r="E110" t="s">
        <v>862</v>
      </c>
      <c r="F110" t="s">
        <v>28</v>
      </c>
      <c r="G110" t="s">
        <v>863</v>
      </c>
      <c r="H110" t="s">
        <v>44</v>
      </c>
      <c r="I110" t="s">
        <v>45</v>
      </c>
      <c r="J110" t="s">
        <v>46</v>
      </c>
      <c r="K110" t="s">
        <v>119</v>
      </c>
      <c r="L110" t="s">
        <v>864</v>
      </c>
      <c r="M110">
        <v>9</v>
      </c>
      <c r="N110">
        <v>1947</v>
      </c>
      <c r="O110">
        <v>20</v>
      </c>
      <c r="P110">
        <v>14573.4</v>
      </c>
      <c r="Q110">
        <v>14019.08</v>
      </c>
      <c r="R110">
        <v>554.32000000000005</v>
      </c>
      <c r="S110" t="s">
        <v>49</v>
      </c>
      <c r="T110" t="s">
        <v>140</v>
      </c>
      <c r="U110" t="s">
        <v>865</v>
      </c>
      <c r="V110" t="s">
        <v>866</v>
      </c>
      <c r="W110">
        <v>1</v>
      </c>
      <c r="X110" t="s">
        <v>39</v>
      </c>
      <c r="Y110">
        <v>50</v>
      </c>
    </row>
    <row r="111" spans="1:25" x14ac:dyDescent="0.35">
      <c r="A111" t="s">
        <v>867</v>
      </c>
      <c r="B111" s="1">
        <v>45951</v>
      </c>
      <c r="C111" s="1">
        <v>45953</v>
      </c>
      <c r="D111" t="s">
        <v>868</v>
      </c>
      <c r="E111" t="s">
        <v>869</v>
      </c>
      <c r="F111" t="s">
        <v>28</v>
      </c>
      <c r="G111" t="s">
        <v>870</v>
      </c>
      <c r="H111" t="s">
        <v>107</v>
      </c>
      <c r="I111" t="s">
        <v>108</v>
      </c>
      <c r="J111" t="s">
        <v>32</v>
      </c>
      <c r="K111" t="s">
        <v>562</v>
      </c>
      <c r="L111" t="s">
        <v>871</v>
      </c>
      <c r="M111">
        <v>5</v>
      </c>
      <c r="N111">
        <v>4353</v>
      </c>
      <c r="O111">
        <v>10</v>
      </c>
      <c r="P111">
        <v>20143.5</v>
      </c>
      <c r="Q111">
        <v>19589.39</v>
      </c>
      <c r="R111">
        <v>554.11</v>
      </c>
      <c r="S111" t="s">
        <v>35</v>
      </c>
      <c r="T111" t="s">
        <v>36</v>
      </c>
      <c r="U111" t="s">
        <v>872</v>
      </c>
      <c r="V111" t="s">
        <v>873</v>
      </c>
      <c r="W111">
        <v>0</v>
      </c>
      <c r="X111" t="s">
        <v>39</v>
      </c>
      <c r="Y111">
        <v>25</v>
      </c>
    </row>
    <row r="112" spans="1:25" x14ac:dyDescent="0.35">
      <c r="A112" t="s">
        <v>874</v>
      </c>
      <c r="B112" s="1">
        <v>45409</v>
      </c>
      <c r="C112" s="1">
        <v>45416</v>
      </c>
      <c r="D112" t="s">
        <v>875</v>
      </c>
      <c r="E112" t="s">
        <v>876</v>
      </c>
      <c r="F112" t="s">
        <v>28</v>
      </c>
      <c r="G112" t="s">
        <v>877</v>
      </c>
      <c r="H112" t="s">
        <v>154</v>
      </c>
      <c r="I112" t="s">
        <v>137</v>
      </c>
      <c r="J112" t="s">
        <v>118</v>
      </c>
      <c r="K112" t="s">
        <v>173</v>
      </c>
      <c r="L112" t="s">
        <v>878</v>
      </c>
      <c r="M112">
        <v>7</v>
      </c>
      <c r="N112">
        <v>663</v>
      </c>
      <c r="O112">
        <v>0</v>
      </c>
      <c r="P112">
        <v>5196</v>
      </c>
      <c r="Q112">
        <v>4641.84</v>
      </c>
      <c r="R112">
        <v>554.16</v>
      </c>
      <c r="S112" t="s">
        <v>80</v>
      </c>
      <c r="T112" t="s">
        <v>89</v>
      </c>
      <c r="U112" t="s">
        <v>879</v>
      </c>
      <c r="V112" t="s">
        <v>880</v>
      </c>
      <c r="W112">
        <v>39</v>
      </c>
      <c r="X112" t="s">
        <v>53</v>
      </c>
      <c r="Y112">
        <v>0</v>
      </c>
    </row>
    <row r="113" spans="1:25" x14ac:dyDescent="0.35">
      <c r="A113" t="s">
        <v>881</v>
      </c>
      <c r="B113" s="1">
        <v>45877</v>
      </c>
      <c r="C113" s="1">
        <v>45883</v>
      </c>
      <c r="D113" t="s">
        <v>882</v>
      </c>
      <c r="E113" t="s">
        <v>883</v>
      </c>
      <c r="F113" t="s">
        <v>95</v>
      </c>
      <c r="G113" t="s">
        <v>884</v>
      </c>
      <c r="H113" t="s">
        <v>189</v>
      </c>
      <c r="I113" t="s">
        <v>108</v>
      </c>
      <c r="J113" t="s">
        <v>46</v>
      </c>
      <c r="K113" t="s">
        <v>885</v>
      </c>
      <c r="L113" t="s">
        <v>886</v>
      </c>
      <c r="M113">
        <v>4</v>
      </c>
      <c r="N113">
        <v>4039</v>
      </c>
      <c r="O113">
        <v>0</v>
      </c>
      <c r="P113">
        <v>16711</v>
      </c>
      <c r="Q113">
        <v>16156.78</v>
      </c>
      <c r="R113">
        <v>554.22</v>
      </c>
      <c r="S113" t="s">
        <v>80</v>
      </c>
      <c r="T113" t="s">
        <v>50</v>
      </c>
      <c r="U113" t="s">
        <v>887</v>
      </c>
      <c r="V113" t="s">
        <v>888</v>
      </c>
      <c r="W113">
        <v>32</v>
      </c>
      <c r="X113" t="s">
        <v>53</v>
      </c>
      <c r="Y113">
        <v>0</v>
      </c>
    </row>
    <row r="114" spans="1:25" x14ac:dyDescent="0.35">
      <c r="A114" t="s">
        <v>889</v>
      </c>
      <c r="B114" s="1">
        <v>45281</v>
      </c>
      <c r="C114" s="1">
        <v>45282</v>
      </c>
      <c r="D114" t="s">
        <v>890</v>
      </c>
      <c r="E114" t="s">
        <v>891</v>
      </c>
      <c r="F114" t="s">
        <v>57</v>
      </c>
      <c r="G114" t="s">
        <v>892</v>
      </c>
      <c r="H114" t="s">
        <v>68</v>
      </c>
      <c r="I114" t="s">
        <v>31</v>
      </c>
      <c r="J114" t="s">
        <v>32</v>
      </c>
      <c r="K114" t="s">
        <v>415</v>
      </c>
      <c r="L114" t="s">
        <v>893</v>
      </c>
      <c r="M114">
        <v>8</v>
      </c>
      <c r="N114">
        <v>2288</v>
      </c>
      <c r="O114">
        <v>10</v>
      </c>
      <c r="P114">
        <v>17028.599999999999</v>
      </c>
      <c r="Q114">
        <v>16474.34</v>
      </c>
      <c r="R114">
        <v>554.26</v>
      </c>
      <c r="S114" t="s">
        <v>100</v>
      </c>
      <c r="T114" t="s">
        <v>36</v>
      </c>
      <c r="U114" t="s">
        <v>894</v>
      </c>
      <c r="V114" t="s">
        <v>895</v>
      </c>
      <c r="W114">
        <v>46</v>
      </c>
      <c r="X114" t="s">
        <v>53</v>
      </c>
      <c r="Y114">
        <v>0</v>
      </c>
    </row>
    <row r="115" spans="1:25" x14ac:dyDescent="0.35">
      <c r="A115" t="s">
        <v>896</v>
      </c>
      <c r="B115" s="1">
        <v>45645</v>
      </c>
      <c r="C115" s="1">
        <v>45650</v>
      </c>
      <c r="D115" t="s">
        <v>897</v>
      </c>
      <c r="E115" t="s">
        <v>898</v>
      </c>
      <c r="F115" t="s">
        <v>95</v>
      </c>
      <c r="G115" t="s">
        <v>899</v>
      </c>
      <c r="H115" t="s">
        <v>364</v>
      </c>
      <c r="I115" t="s">
        <v>137</v>
      </c>
      <c r="J115" t="s">
        <v>118</v>
      </c>
      <c r="K115" t="s">
        <v>648</v>
      </c>
      <c r="L115" t="s">
        <v>900</v>
      </c>
      <c r="M115">
        <v>3</v>
      </c>
      <c r="N115">
        <v>2288</v>
      </c>
      <c r="O115">
        <v>20</v>
      </c>
      <c r="P115">
        <v>6046.2</v>
      </c>
      <c r="Q115">
        <v>5491.87</v>
      </c>
      <c r="R115">
        <v>554.33000000000004</v>
      </c>
      <c r="S115" t="s">
        <v>49</v>
      </c>
      <c r="T115" t="s">
        <v>140</v>
      </c>
      <c r="U115" t="s">
        <v>901</v>
      </c>
      <c r="V115" t="s">
        <v>902</v>
      </c>
      <c r="W115">
        <v>36</v>
      </c>
      <c r="X115" t="s">
        <v>53</v>
      </c>
      <c r="Y115">
        <v>0</v>
      </c>
    </row>
    <row r="116" spans="1:25" x14ac:dyDescent="0.35">
      <c r="A116" t="s">
        <v>903</v>
      </c>
      <c r="B116" s="1">
        <v>45804</v>
      </c>
      <c r="C116" s="1">
        <v>45807</v>
      </c>
      <c r="D116" t="s">
        <v>904</v>
      </c>
      <c r="E116" t="s">
        <v>905</v>
      </c>
      <c r="F116" t="s">
        <v>28</v>
      </c>
      <c r="G116" t="s">
        <v>906</v>
      </c>
      <c r="H116" t="s">
        <v>364</v>
      </c>
      <c r="I116" t="s">
        <v>137</v>
      </c>
      <c r="J116" t="s">
        <v>46</v>
      </c>
      <c r="K116" t="s">
        <v>155</v>
      </c>
      <c r="L116" t="s">
        <v>907</v>
      </c>
      <c r="M116">
        <v>6</v>
      </c>
      <c r="N116">
        <v>2448</v>
      </c>
      <c r="O116">
        <v>5</v>
      </c>
      <c r="P116">
        <v>14508.6</v>
      </c>
      <c r="Q116">
        <v>13954.35</v>
      </c>
      <c r="R116">
        <v>554.25</v>
      </c>
      <c r="S116" t="s">
        <v>49</v>
      </c>
      <c r="T116" t="s">
        <v>140</v>
      </c>
      <c r="U116" t="s">
        <v>908</v>
      </c>
      <c r="V116" t="s">
        <v>909</v>
      </c>
      <c r="W116">
        <v>6</v>
      </c>
      <c r="X116" t="s">
        <v>39</v>
      </c>
      <c r="Y116">
        <v>50</v>
      </c>
    </row>
    <row r="117" spans="1:25" x14ac:dyDescent="0.35">
      <c r="A117" t="s">
        <v>910</v>
      </c>
      <c r="B117" s="1">
        <v>45566</v>
      </c>
      <c r="C117" s="1">
        <v>45571</v>
      </c>
      <c r="D117" t="s">
        <v>812</v>
      </c>
      <c r="E117" t="s">
        <v>911</v>
      </c>
      <c r="F117" t="s">
        <v>57</v>
      </c>
      <c r="G117" t="s">
        <v>912</v>
      </c>
      <c r="H117" t="s">
        <v>77</v>
      </c>
      <c r="I117" t="s">
        <v>45</v>
      </c>
      <c r="J117" t="s">
        <v>118</v>
      </c>
      <c r="K117" t="s">
        <v>87</v>
      </c>
      <c r="L117" t="s">
        <v>913</v>
      </c>
      <c r="M117">
        <v>5</v>
      </c>
      <c r="N117">
        <v>3229</v>
      </c>
      <c r="O117">
        <v>0</v>
      </c>
      <c r="P117">
        <v>16700</v>
      </c>
      <c r="Q117">
        <v>16145.75</v>
      </c>
      <c r="R117">
        <v>554.25</v>
      </c>
      <c r="S117" t="s">
        <v>35</v>
      </c>
      <c r="T117" t="s">
        <v>140</v>
      </c>
      <c r="U117" t="s">
        <v>914</v>
      </c>
      <c r="V117" t="s">
        <v>915</v>
      </c>
      <c r="W117">
        <v>4</v>
      </c>
      <c r="X117" t="s">
        <v>39</v>
      </c>
      <c r="Y117">
        <v>44</v>
      </c>
    </row>
    <row r="118" spans="1:25" x14ac:dyDescent="0.35">
      <c r="A118" t="s">
        <v>916</v>
      </c>
      <c r="B118" s="1">
        <v>45836</v>
      </c>
      <c r="C118" s="1">
        <v>45838</v>
      </c>
      <c r="D118" t="s">
        <v>917</v>
      </c>
      <c r="E118" t="s">
        <v>918</v>
      </c>
      <c r="F118" t="s">
        <v>57</v>
      </c>
      <c r="G118" t="s">
        <v>919</v>
      </c>
      <c r="H118" t="s">
        <v>59</v>
      </c>
      <c r="I118" t="s">
        <v>31</v>
      </c>
      <c r="J118" t="s">
        <v>46</v>
      </c>
      <c r="K118" t="s">
        <v>524</v>
      </c>
      <c r="L118" t="s">
        <v>920</v>
      </c>
      <c r="M118">
        <v>1</v>
      </c>
      <c r="N118">
        <v>2718</v>
      </c>
      <c r="O118">
        <v>5</v>
      </c>
      <c r="P118">
        <v>3137.1</v>
      </c>
      <c r="Q118">
        <v>2582.84</v>
      </c>
      <c r="R118">
        <v>554.26</v>
      </c>
      <c r="S118" t="s">
        <v>49</v>
      </c>
      <c r="T118" t="s">
        <v>140</v>
      </c>
      <c r="U118" t="s">
        <v>921</v>
      </c>
      <c r="V118" t="s">
        <v>922</v>
      </c>
      <c r="W118">
        <v>14</v>
      </c>
      <c r="X118" t="s">
        <v>53</v>
      </c>
      <c r="Y118">
        <v>0</v>
      </c>
    </row>
    <row r="119" spans="1:25" x14ac:dyDescent="0.35">
      <c r="A119" t="s">
        <v>923</v>
      </c>
      <c r="B119" s="1">
        <v>45953</v>
      </c>
      <c r="C119" s="1">
        <v>45955</v>
      </c>
      <c r="D119" t="s">
        <v>924</v>
      </c>
      <c r="E119" t="s">
        <v>925</v>
      </c>
      <c r="F119" t="s">
        <v>95</v>
      </c>
      <c r="G119" t="s">
        <v>926</v>
      </c>
      <c r="H119" t="s">
        <v>198</v>
      </c>
      <c r="I119" t="s">
        <v>31</v>
      </c>
      <c r="J119" t="s">
        <v>97</v>
      </c>
      <c r="K119" t="s">
        <v>927</v>
      </c>
      <c r="L119" t="s">
        <v>928</v>
      </c>
      <c r="M119">
        <v>9</v>
      </c>
      <c r="N119">
        <v>2743</v>
      </c>
      <c r="O119">
        <v>20</v>
      </c>
      <c r="P119">
        <v>20304.599999999999</v>
      </c>
      <c r="Q119">
        <v>19750.37</v>
      </c>
      <c r="R119">
        <v>554.23</v>
      </c>
      <c r="S119" t="s">
        <v>49</v>
      </c>
      <c r="T119" t="s">
        <v>89</v>
      </c>
      <c r="U119" t="s">
        <v>929</v>
      </c>
      <c r="V119" t="s">
        <v>930</v>
      </c>
      <c r="W119">
        <v>2</v>
      </c>
      <c r="X119" t="s">
        <v>39</v>
      </c>
      <c r="Y119">
        <v>41</v>
      </c>
    </row>
    <row r="120" spans="1:25" x14ac:dyDescent="0.35">
      <c r="A120" t="s">
        <v>931</v>
      </c>
      <c r="B120" s="1">
        <v>45401</v>
      </c>
      <c r="C120" s="1">
        <v>45406</v>
      </c>
      <c r="D120" t="s">
        <v>932</v>
      </c>
      <c r="E120" t="s">
        <v>933</v>
      </c>
      <c r="F120" t="s">
        <v>95</v>
      </c>
      <c r="G120" t="s">
        <v>934</v>
      </c>
      <c r="H120" t="s">
        <v>172</v>
      </c>
      <c r="I120" t="s">
        <v>45</v>
      </c>
      <c r="J120" t="s">
        <v>46</v>
      </c>
      <c r="K120" t="s">
        <v>33</v>
      </c>
      <c r="L120" t="s">
        <v>935</v>
      </c>
      <c r="M120">
        <v>9</v>
      </c>
      <c r="N120">
        <v>4388</v>
      </c>
      <c r="O120">
        <v>15</v>
      </c>
      <c r="P120">
        <v>34123.199999999997</v>
      </c>
      <c r="Q120">
        <v>33568.99</v>
      </c>
      <c r="R120">
        <v>554.21</v>
      </c>
      <c r="S120" t="s">
        <v>35</v>
      </c>
      <c r="T120" t="s">
        <v>140</v>
      </c>
      <c r="U120" t="s">
        <v>936</v>
      </c>
      <c r="V120" t="s">
        <v>937</v>
      </c>
      <c r="W120">
        <v>32</v>
      </c>
      <c r="X120" t="s">
        <v>53</v>
      </c>
      <c r="Y120">
        <v>0</v>
      </c>
    </row>
    <row r="121" spans="1:25" x14ac:dyDescent="0.35">
      <c r="A121" t="s">
        <v>938</v>
      </c>
      <c r="B121" s="1">
        <v>45556</v>
      </c>
      <c r="C121" s="1">
        <v>45559</v>
      </c>
      <c r="D121" t="s">
        <v>939</v>
      </c>
      <c r="E121" t="s">
        <v>940</v>
      </c>
      <c r="F121" t="s">
        <v>57</v>
      </c>
      <c r="G121" t="s">
        <v>941</v>
      </c>
      <c r="H121" t="s">
        <v>206</v>
      </c>
      <c r="I121" t="s">
        <v>31</v>
      </c>
      <c r="J121" t="s">
        <v>46</v>
      </c>
      <c r="K121" t="s">
        <v>164</v>
      </c>
      <c r="L121" t="s">
        <v>942</v>
      </c>
      <c r="M121">
        <v>1</v>
      </c>
      <c r="N121">
        <v>2357</v>
      </c>
      <c r="O121">
        <v>15</v>
      </c>
      <c r="P121">
        <v>2558.4499999999998</v>
      </c>
      <c r="Q121">
        <v>2004.07</v>
      </c>
      <c r="R121">
        <v>554.38</v>
      </c>
      <c r="S121" t="s">
        <v>35</v>
      </c>
      <c r="T121" t="s">
        <v>89</v>
      </c>
      <c r="U121" t="s">
        <v>943</v>
      </c>
      <c r="V121" t="s">
        <v>944</v>
      </c>
      <c r="W121">
        <v>7</v>
      </c>
      <c r="X121" t="s">
        <v>39</v>
      </c>
      <c r="Y121">
        <v>31</v>
      </c>
    </row>
    <row r="122" spans="1:25" x14ac:dyDescent="0.35">
      <c r="A122" t="s">
        <v>945</v>
      </c>
      <c r="B122" s="1">
        <v>45858</v>
      </c>
      <c r="C122" s="1">
        <v>45861</v>
      </c>
      <c r="D122" t="s">
        <v>946</v>
      </c>
      <c r="E122" t="s">
        <v>947</v>
      </c>
      <c r="F122" t="s">
        <v>95</v>
      </c>
      <c r="G122" t="s">
        <v>948</v>
      </c>
      <c r="H122" t="s">
        <v>44</v>
      </c>
      <c r="I122" t="s">
        <v>45</v>
      </c>
      <c r="J122" t="s">
        <v>46</v>
      </c>
      <c r="K122" t="s">
        <v>231</v>
      </c>
      <c r="L122" t="s">
        <v>949</v>
      </c>
      <c r="M122">
        <v>4</v>
      </c>
      <c r="N122">
        <v>153</v>
      </c>
      <c r="O122">
        <v>10</v>
      </c>
      <c r="P122">
        <v>1105.8</v>
      </c>
      <c r="Q122">
        <v>551.42999999999995</v>
      </c>
      <c r="R122">
        <v>554.37</v>
      </c>
      <c r="S122" t="s">
        <v>49</v>
      </c>
      <c r="T122" t="s">
        <v>89</v>
      </c>
      <c r="U122" t="s">
        <v>950</v>
      </c>
      <c r="V122" t="s">
        <v>951</v>
      </c>
      <c r="W122">
        <v>12</v>
      </c>
      <c r="X122" t="s">
        <v>53</v>
      </c>
      <c r="Y122">
        <v>0</v>
      </c>
    </row>
    <row r="123" spans="1:25" x14ac:dyDescent="0.35">
      <c r="A123" t="s">
        <v>952</v>
      </c>
      <c r="B123" s="1">
        <v>45261</v>
      </c>
      <c r="C123" s="1">
        <v>45264</v>
      </c>
      <c r="D123" t="s">
        <v>953</v>
      </c>
      <c r="E123" t="s">
        <v>954</v>
      </c>
      <c r="F123" t="s">
        <v>57</v>
      </c>
      <c r="G123" t="s">
        <v>955</v>
      </c>
      <c r="H123" t="s">
        <v>364</v>
      </c>
      <c r="I123" t="s">
        <v>137</v>
      </c>
      <c r="J123" t="s">
        <v>118</v>
      </c>
      <c r="K123" t="s">
        <v>598</v>
      </c>
      <c r="L123" t="s">
        <v>956</v>
      </c>
      <c r="M123">
        <v>9</v>
      </c>
      <c r="N123">
        <v>1233</v>
      </c>
      <c r="O123">
        <v>10</v>
      </c>
      <c r="P123">
        <v>10542.3</v>
      </c>
      <c r="Q123">
        <v>9988.01</v>
      </c>
      <c r="R123">
        <v>554.29</v>
      </c>
      <c r="S123" t="s">
        <v>35</v>
      </c>
      <c r="T123" t="s">
        <v>89</v>
      </c>
      <c r="U123" t="s">
        <v>957</v>
      </c>
      <c r="V123" t="s">
        <v>958</v>
      </c>
      <c r="W123">
        <v>31</v>
      </c>
      <c r="X123" t="s">
        <v>53</v>
      </c>
      <c r="Y123">
        <v>0</v>
      </c>
    </row>
    <row r="124" spans="1:25" x14ac:dyDescent="0.35">
      <c r="A124" t="s">
        <v>959</v>
      </c>
      <c r="B124" s="1">
        <v>45544</v>
      </c>
      <c r="C124" s="1">
        <v>45549</v>
      </c>
      <c r="D124" t="s">
        <v>960</v>
      </c>
      <c r="E124" t="s">
        <v>961</v>
      </c>
      <c r="F124" t="s">
        <v>95</v>
      </c>
      <c r="G124" t="s">
        <v>962</v>
      </c>
      <c r="H124" t="s">
        <v>320</v>
      </c>
      <c r="I124" t="s">
        <v>137</v>
      </c>
      <c r="J124" t="s">
        <v>32</v>
      </c>
      <c r="K124" t="s">
        <v>466</v>
      </c>
      <c r="L124" t="s">
        <v>963</v>
      </c>
      <c r="M124">
        <v>1</v>
      </c>
      <c r="N124">
        <v>2056</v>
      </c>
      <c r="O124">
        <v>10</v>
      </c>
      <c r="P124">
        <v>2405.4</v>
      </c>
      <c r="Q124">
        <v>1851.26</v>
      </c>
      <c r="R124">
        <v>554.14</v>
      </c>
      <c r="S124" t="s">
        <v>100</v>
      </c>
      <c r="T124" t="s">
        <v>89</v>
      </c>
      <c r="U124" t="s">
        <v>964</v>
      </c>
      <c r="V124" t="s">
        <v>965</v>
      </c>
      <c r="W124">
        <v>4</v>
      </c>
      <c r="X124" t="s">
        <v>39</v>
      </c>
      <c r="Y124">
        <v>44</v>
      </c>
    </row>
    <row r="125" spans="1:25" x14ac:dyDescent="0.35">
      <c r="A125" t="s">
        <v>966</v>
      </c>
      <c r="B125" s="1">
        <v>45235</v>
      </c>
      <c r="C125" s="1">
        <v>45240</v>
      </c>
      <c r="D125" t="s">
        <v>967</v>
      </c>
      <c r="E125" t="s">
        <v>968</v>
      </c>
      <c r="F125" t="s">
        <v>95</v>
      </c>
      <c r="G125" t="s">
        <v>969</v>
      </c>
      <c r="H125" t="s">
        <v>44</v>
      </c>
      <c r="I125" t="s">
        <v>45</v>
      </c>
      <c r="J125" t="s">
        <v>46</v>
      </c>
      <c r="K125" t="s">
        <v>970</v>
      </c>
      <c r="L125" t="s">
        <v>971</v>
      </c>
      <c r="M125">
        <v>6</v>
      </c>
      <c r="N125">
        <v>2497</v>
      </c>
      <c r="O125">
        <v>10</v>
      </c>
      <c r="P125">
        <v>14038.8</v>
      </c>
      <c r="Q125">
        <v>13484.53</v>
      </c>
      <c r="R125">
        <v>554.27</v>
      </c>
      <c r="S125" t="s">
        <v>35</v>
      </c>
      <c r="T125" t="s">
        <v>36</v>
      </c>
      <c r="U125" t="s">
        <v>972</v>
      </c>
      <c r="V125" t="s">
        <v>973</v>
      </c>
      <c r="W125">
        <v>16</v>
      </c>
      <c r="X125" t="s">
        <v>53</v>
      </c>
      <c r="Y125">
        <v>0</v>
      </c>
    </row>
    <row r="126" spans="1:25" x14ac:dyDescent="0.35">
      <c r="A126" t="s">
        <v>974</v>
      </c>
      <c r="B126" s="1">
        <v>45860</v>
      </c>
      <c r="C126" s="1">
        <v>45861</v>
      </c>
      <c r="D126" t="s">
        <v>975</v>
      </c>
      <c r="E126" t="s">
        <v>976</v>
      </c>
      <c r="F126" t="s">
        <v>28</v>
      </c>
      <c r="G126" t="s">
        <v>977</v>
      </c>
      <c r="H126" t="s">
        <v>44</v>
      </c>
      <c r="I126" t="s">
        <v>45</v>
      </c>
      <c r="J126" t="s">
        <v>32</v>
      </c>
      <c r="K126" t="s">
        <v>239</v>
      </c>
      <c r="L126" t="s">
        <v>978</v>
      </c>
      <c r="M126">
        <v>7</v>
      </c>
      <c r="N126">
        <v>4573</v>
      </c>
      <c r="O126">
        <v>5</v>
      </c>
      <c r="P126">
        <v>30965.45</v>
      </c>
      <c r="Q126">
        <v>30411.17</v>
      </c>
      <c r="R126">
        <v>554.28</v>
      </c>
      <c r="S126" t="s">
        <v>35</v>
      </c>
      <c r="T126" t="s">
        <v>36</v>
      </c>
      <c r="U126" t="s">
        <v>979</v>
      </c>
      <c r="V126" t="s">
        <v>980</v>
      </c>
      <c r="W126">
        <v>29</v>
      </c>
      <c r="X126" t="s">
        <v>53</v>
      </c>
      <c r="Y126">
        <v>0</v>
      </c>
    </row>
    <row r="127" spans="1:25" x14ac:dyDescent="0.35">
      <c r="A127" t="s">
        <v>981</v>
      </c>
      <c r="B127" s="1">
        <v>45404</v>
      </c>
      <c r="C127" s="1">
        <v>45405</v>
      </c>
      <c r="D127" t="s">
        <v>982</v>
      </c>
      <c r="E127" t="s">
        <v>983</v>
      </c>
      <c r="F127" t="s">
        <v>95</v>
      </c>
      <c r="G127" t="s">
        <v>984</v>
      </c>
      <c r="H127" t="s">
        <v>206</v>
      </c>
      <c r="I127" t="s">
        <v>31</v>
      </c>
      <c r="J127" t="s">
        <v>97</v>
      </c>
      <c r="K127" t="s">
        <v>173</v>
      </c>
      <c r="L127" t="s">
        <v>985</v>
      </c>
      <c r="M127">
        <v>4</v>
      </c>
      <c r="N127">
        <v>2188</v>
      </c>
      <c r="O127">
        <v>15</v>
      </c>
      <c r="P127">
        <v>7994.2</v>
      </c>
      <c r="Q127">
        <v>7440.05</v>
      </c>
      <c r="R127">
        <v>554.15</v>
      </c>
      <c r="S127" t="s">
        <v>35</v>
      </c>
      <c r="T127" t="s">
        <v>36</v>
      </c>
      <c r="U127" t="s">
        <v>986</v>
      </c>
      <c r="V127" t="s">
        <v>987</v>
      </c>
      <c r="W127">
        <v>48</v>
      </c>
      <c r="X127" t="s">
        <v>53</v>
      </c>
      <c r="Y127">
        <v>0</v>
      </c>
    </row>
    <row r="128" spans="1:25" x14ac:dyDescent="0.35">
      <c r="A128" t="s">
        <v>988</v>
      </c>
      <c r="B128" s="1">
        <v>45264</v>
      </c>
      <c r="C128" s="1">
        <v>45266</v>
      </c>
      <c r="D128" t="s">
        <v>989</v>
      </c>
      <c r="E128" t="s">
        <v>990</v>
      </c>
      <c r="F128" t="s">
        <v>57</v>
      </c>
      <c r="G128" t="s">
        <v>991</v>
      </c>
      <c r="H128" t="s">
        <v>172</v>
      </c>
      <c r="I128" t="s">
        <v>45</v>
      </c>
      <c r="J128" t="s">
        <v>118</v>
      </c>
      <c r="K128" t="s">
        <v>992</v>
      </c>
      <c r="L128" t="s">
        <v>993</v>
      </c>
      <c r="M128">
        <v>10</v>
      </c>
      <c r="N128">
        <v>1114</v>
      </c>
      <c r="O128">
        <v>5</v>
      </c>
      <c r="P128">
        <v>11138</v>
      </c>
      <c r="Q128">
        <v>10583.71</v>
      </c>
      <c r="R128">
        <v>554.29</v>
      </c>
      <c r="S128" t="s">
        <v>49</v>
      </c>
      <c r="T128" t="s">
        <v>140</v>
      </c>
      <c r="U128" t="s">
        <v>994</v>
      </c>
      <c r="V128" t="s">
        <v>995</v>
      </c>
      <c r="W128">
        <v>7</v>
      </c>
      <c r="X128" t="s">
        <v>39</v>
      </c>
      <c r="Y128">
        <v>20</v>
      </c>
    </row>
    <row r="129" spans="1:25" x14ac:dyDescent="0.35">
      <c r="A129" t="s">
        <v>996</v>
      </c>
      <c r="B129" s="1">
        <v>45881</v>
      </c>
      <c r="C129" s="1">
        <v>45888</v>
      </c>
      <c r="D129" t="s">
        <v>144</v>
      </c>
      <c r="E129" t="s">
        <v>997</v>
      </c>
      <c r="F129" t="s">
        <v>57</v>
      </c>
      <c r="G129" t="s">
        <v>998</v>
      </c>
      <c r="H129" t="s">
        <v>136</v>
      </c>
      <c r="I129" t="s">
        <v>137</v>
      </c>
      <c r="J129" t="s">
        <v>97</v>
      </c>
      <c r="K129" t="s">
        <v>47</v>
      </c>
      <c r="L129" t="s">
        <v>999</v>
      </c>
      <c r="M129">
        <v>10</v>
      </c>
      <c r="N129">
        <v>1732</v>
      </c>
      <c r="O129">
        <v>15</v>
      </c>
      <c r="P129">
        <v>15277</v>
      </c>
      <c r="Q129">
        <v>14722.67</v>
      </c>
      <c r="R129">
        <v>554.33000000000004</v>
      </c>
      <c r="S129" t="s">
        <v>100</v>
      </c>
      <c r="T129" t="s">
        <v>36</v>
      </c>
      <c r="U129" t="s">
        <v>1000</v>
      </c>
      <c r="V129" t="s">
        <v>1001</v>
      </c>
      <c r="W129">
        <v>36</v>
      </c>
      <c r="X129" t="s">
        <v>53</v>
      </c>
      <c r="Y129">
        <v>0</v>
      </c>
    </row>
    <row r="130" spans="1:25" x14ac:dyDescent="0.35">
      <c r="A130" t="s">
        <v>1002</v>
      </c>
      <c r="B130" s="1">
        <v>45940</v>
      </c>
      <c r="C130" s="1">
        <v>45946</v>
      </c>
      <c r="D130" t="s">
        <v>1003</v>
      </c>
      <c r="E130" t="s">
        <v>1004</v>
      </c>
      <c r="F130" t="s">
        <v>57</v>
      </c>
      <c r="G130" t="s">
        <v>1005</v>
      </c>
      <c r="H130" t="s">
        <v>77</v>
      </c>
      <c r="I130" t="s">
        <v>45</v>
      </c>
      <c r="J130" t="s">
        <v>97</v>
      </c>
      <c r="K130" t="s">
        <v>562</v>
      </c>
      <c r="L130" t="s">
        <v>1006</v>
      </c>
      <c r="M130">
        <v>5</v>
      </c>
      <c r="N130">
        <v>2270</v>
      </c>
      <c r="O130">
        <v>10</v>
      </c>
      <c r="P130">
        <v>10770</v>
      </c>
      <c r="Q130">
        <v>10215.86</v>
      </c>
      <c r="R130">
        <v>554.14</v>
      </c>
      <c r="S130" t="s">
        <v>80</v>
      </c>
      <c r="T130" t="s">
        <v>50</v>
      </c>
      <c r="U130" t="s">
        <v>1007</v>
      </c>
      <c r="V130" t="s">
        <v>1008</v>
      </c>
      <c r="W130">
        <v>35</v>
      </c>
      <c r="X130" t="s">
        <v>53</v>
      </c>
      <c r="Y130">
        <v>0</v>
      </c>
    </row>
    <row r="131" spans="1:25" x14ac:dyDescent="0.35">
      <c r="A131" t="s">
        <v>1009</v>
      </c>
      <c r="B131" s="1">
        <v>45497</v>
      </c>
      <c r="C131" s="1">
        <v>45504</v>
      </c>
      <c r="D131" t="s">
        <v>1010</v>
      </c>
      <c r="E131" t="s">
        <v>1011</v>
      </c>
      <c r="F131" t="s">
        <v>28</v>
      </c>
      <c r="G131" t="s">
        <v>1012</v>
      </c>
      <c r="H131" t="s">
        <v>230</v>
      </c>
      <c r="I131" t="s">
        <v>137</v>
      </c>
      <c r="J131" t="s">
        <v>97</v>
      </c>
      <c r="K131" t="s">
        <v>474</v>
      </c>
      <c r="L131" t="s">
        <v>1013</v>
      </c>
      <c r="M131">
        <v>9</v>
      </c>
      <c r="N131">
        <v>1990</v>
      </c>
      <c r="O131">
        <v>0</v>
      </c>
      <c r="P131">
        <v>18465</v>
      </c>
      <c r="Q131">
        <v>17910.810000000001</v>
      </c>
      <c r="R131">
        <v>554.19000000000005</v>
      </c>
      <c r="S131" t="s">
        <v>80</v>
      </c>
      <c r="T131" t="s">
        <v>140</v>
      </c>
      <c r="U131" t="s">
        <v>1014</v>
      </c>
      <c r="V131" t="s">
        <v>1015</v>
      </c>
      <c r="W131">
        <v>6</v>
      </c>
      <c r="X131" t="s">
        <v>39</v>
      </c>
      <c r="Y131">
        <v>44</v>
      </c>
    </row>
    <row r="132" spans="1:25" x14ac:dyDescent="0.35">
      <c r="A132" t="s">
        <v>1016</v>
      </c>
      <c r="B132" s="1">
        <v>45648</v>
      </c>
      <c r="C132" s="1">
        <v>45655</v>
      </c>
      <c r="D132" t="s">
        <v>1017</v>
      </c>
      <c r="E132" t="s">
        <v>1018</v>
      </c>
      <c r="F132" t="s">
        <v>95</v>
      </c>
      <c r="G132" t="s">
        <v>1019</v>
      </c>
      <c r="H132" t="s">
        <v>198</v>
      </c>
      <c r="I132" t="s">
        <v>31</v>
      </c>
      <c r="J132" t="s">
        <v>46</v>
      </c>
      <c r="K132" t="s">
        <v>173</v>
      </c>
      <c r="L132" t="s">
        <v>1020</v>
      </c>
      <c r="M132">
        <v>9</v>
      </c>
      <c r="N132">
        <v>3393</v>
      </c>
      <c r="O132">
        <v>15</v>
      </c>
      <c r="P132">
        <v>26511.45</v>
      </c>
      <c r="Q132">
        <v>25957.08</v>
      </c>
      <c r="R132">
        <v>554.37</v>
      </c>
      <c r="S132" t="s">
        <v>49</v>
      </c>
      <c r="T132" t="s">
        <v>89</v>
      </c>
      <c r="U132" t="s">
        <v>1021</v>
      </c>
      <c r="V132" t="s">
        <v>1022</v>
      </c>
      <c r="W132">
        <v>16</v>
      </c>
      <c r="X132" t="s">
        <v>53</v>
      </c>
      <c r="Y132">
        <v>0</v>
      </c>
    </row>
    <row r="133" spans="1:25" x14ac:dyDescent="0.35">
      <c r="A133" t="s">
        <v>1023</v>
      </c>
      <c r="B133" s="1">
        <v>45549</v>
      </c>
      <c r="C133" s="1">
        <v>45550</v>
      </c>
      <c r="D133" t="s">
        <v>1024</v>
      </c>
      <c r="E133" t="s">
        <v>1025</v>
      </c>
      <c r="F133" t="s">
        <v>95</v>
      </c>
      <c r="G133" t="s">
        <v>1026</v>
      </c>
      <c r="H133" t="s">
        <v>172</v>
      </c>
      <c r="I133" t="s">
        <v>45</v>
      </c>
      <c r="J133" t="s">
        <v>32</v>
      </c>
      <c r="K133" t="s">
        <v>598</v>
      </c>
      <c r="L133" t="s">
        <v>1027</v>
      </c>
      <c r="M133">
        <v>9</v>
      </c>
      <c r="N133">
        <v>2840</v>
      </c>
      <c r="O133">
        <v>20</v>
      </c>
      <c r="P133">
        <v>21003</v>
      </c>
      <c r="Q133">
        <v>20448.66</v>
      </c>
      <c r="R133">
        <v>554.34</v>
      </c>
      <c r="S133" t="s">
        <v>35</v>
      </c>
      <c r="T133" t="s">
        <v>50</v>
      </c>
      <c r="U133" t="s">
        <v>1028</v>
      </c>
      <c r="V133" t="s">
        <v>1029</v>
      </c>
      <c r="W133">
        <v>24</v>
      </c>
      <c r="X133" t="s">
        <v>53</v>
      </c>
      <c r="Y133">
        <v>0</v>
      </c>
    </row>
    <row r="134" spans="1:25" x14ac:dyDescent="0.35">
      <c r="A134" t="s">
        <v>1030</v>
      </c>
      <c r="B134" s="1">
        <v>45679</v>
      </c>
      <c r="C134" s="1">
        <v>45686</v>
      </c>
      <c r="D134" t="s">
        <v>1031</v>
      </c>
      <c r="E134" t="s">
        <v>1032</v>
      </c>
      <c r="F134" t="s">
        <v>28</v>
      </c>
      <c r="G134" t="s">
        <v>1033</v>
      </c>
      <c r="H134" t="s">
        <v>334</v>
      </c>
      <c r="I134" t="s">
        <v>108</v>
      </c>
      <c r="J134" t="s">
        <v>32</v>
      </c>
      <c r="K134" t="s">
        <v>349</v>
      </c>
      <c r="L134" t="s">
        <v>120</v>
      </c>
      <c r="M134">
        <v>5</v>
      </c>
      <c r="N134">
        <v>4474</v>
      </c>
      <c r="O134">
        <v>15</v>
      </c>
      <c r="P134">
        <v>19569.5</v>
      </c>
      <c r="Q134">
        <v>19015.189999999999</v>
      </c>
      <c r="R134">
        <v>554.30999999999995</v>
      </c>
      <c r="S134" t="s">
        <v>35</v>
      </c>
      <c r="T134" t="s">
        <v>50</v>
      </c>
      <c r="U134" t="s">
        <v>1034</v>
      </c>
      <c r="V134" t="s">
        <v>1035</v>
      </c>
      <c r="W134">
        <v>17</v>
      </c>
      <c r="X134" t="s">
        <v>53</v>
      </c>
      <c r="Y134">
        <v>0</v>
      </c>
    </row>
    <row r="135" spans="1:25" x14ac:dyDescent="0.35">
      <c r="A135" t="s">
        <v>1036</v>
      </c>
      <c r="B135" s="1">
        <v>45923</v>
      </c>
      <c r="C135" s="1">
        <v>45928</v>
      </c>
      <c r="D135" t="s">
        <v>1037</v>
      </c>
      <c r="E135" t="s">
        <v>1038</v>
      </c>
      <c r="F135" t="s">
        <v>57</v>
      </c>
      <c r="G135" t="s">
        <v>1039</v>
      </c>
      <c r="H135" t="s">
        <v>59</v>
      </c>
      <c r="I135" t="s">
        <v>31</v>
      </c>
      <c r="J135" t="s">
        <v>97</v>
      </c>
      <c r="K135" t="s">
        <v>524</v>
      </c>
      <c r="L135" t="s">
        <v>1040</v>
      </c>
      <c r="M135">
        <v>9</v>
      </c>
      <c r="N135">
        <v>1385</v>
      </c>
      <c r="O135">
        <v>5</v>
      </c>
      <c r="P135">
        <v>12396.75</v>
      </c>
      <c r="Q135">
        <v>11842.39</v>
      </c>
      <c r="R135">
        <v>554.36</v>
      </c>
      <c r="S135" t="s">
        <v>35</v>
      </c>
      <c r="T135" t="s">
        <v>36</v>
      </c>
      <c r="U135" t="s">
        <v>1041</v>
      </c>
      <c r="V135" t="s">
        <v>1042</v>
      </c>
      <c r="W135">
        <v>33</v>
      </c>
      <c r="X135" t="s">
        <v>53</v>
      </c>
      <c r="Y135">
        <v>0</v>
      </c>
    </row>
    <row r="136" spans="1:25" x14ac:dyDescent="0.35">
      <c r="A136" t="s">
        <v>1043</v>
      </c>
      <c r="B136" s="1">
        <v>45373</v>
      </c>
      <c r="C136" s="1">
        <v>45377</v>
      </c>
      <c r="D136" t="s">
        <v>975</v>
      </c>
      <c r="E136" t="s">
        <v>1044</v>
      </c>
      <c r="F136" t="s">
        <v>95</v>
      </c>
      <c r="G136" t="s">
        <v>1045</v>
      </c>
      <c r="H136" t="s">
        <v>283</v>
      </c>
      <c r="I136" t="s">
        <v>45</v>
      </c>
      <c r="J136" t="s">
        <v>32</v>
      </c>
      <c r="K136" t="s">
        <v>598</v>
      </c>
      <c r="L136" t="s">
        <v>1046</v>
      </c>
      <c r="M136">
        <v>10</v>
      </c>
      <c r="N136">
        <v>1983</v>
      </c>
      <c r="O136">
        <v>20</v>
      </c>
      <c r="P136">
        <v>16419</v>
      </c>
      <c r="Q136">
        <v>15864.79</v>
      </c>
      <c r="R136">
        <v>554.21</v>
      </c>
      <c r="S136" t="s">
        <v>49</v>
      </c>
      <c r="T136" t="s">
        <v>89</v>
      </c>
      <c r="U136" t="s">
        <v>1047</v>
      </c>
      <c r="V136" t="s">
        <v>1048</v>
      </c>
      <c r="W136">
        <v>9</v>
      </c>
      <c r="X136" t="s">
        <v>39</v>
      </c>
      <c r="Y136">
        <v>29</v>
      </c>
    </row>
    <row r="137" spans="1:25" x14ac:dyDescent="0.35">
      <c r="A137" t="s">
        <v>1049</v>
      </c>
      <c r="B137" s="1">
        <v>45775</v>
      </c>
      <c r="C137" s="1">
        <v>45782</v>
      </c>
      <c r="D137" t="s">
        <v>1050</v>
      </c>
      <c r="E137" t="s">
        <v>1051</v>
      </c>
      <c r="F137" t="s">
        <v>28</v>
      </c>
      <c r="G137" t="s">
        <v>1052</v>
      </c>
      <c r="H137" t="s">
        <v>320</v>
      </c>
      <c r="I137" t="s">
        <v>137</v>
      </c>
      <c r="J137" t="s">
        <v>118</v>
      </c>
      <c r="K137" t="s">
        <v>691</v>
      </c>
      <c r="L137" t="s">
        <v>1053</v>
      </c>
      <c r="M137">
        <v>5</v>
      </c>
      <c r="N137">
        <v>3314</v>
      </c>
      <c r="O137">
        <v>20</v>
      </c>
      <c r="P137">
        <v>13931</v>
      </c>
      <c r="Q137">
        <v>13256.69</v>
      </c>
      <c r="R137">
        <v>674.31</v>
      </c>
      <c r="S137" t="s">
        <v>80</v>
      </c>
      <c r="T137" t="s">
        <v>140</v>
      </c>
      <c r="U137" t="s">
        <v>1054</v>
      </c>
      <c r="V137" t="s">
        <v>1055</v>
      </c>
      <c r="W137">
        <v>35</v>
      </c>
      <c r="X137" t="s">
        <v>53</v>
      </c>
      <c r="Y137">
        <v>0</v>
      </c>
    </row>
    <row r="138" spans="1:25" x14ac:dyDescent="0.35">
      <c r="A138" t="s">
        <v>1056</v>
      </c>
      <c r="B138" s="1">
        <v>45842</v>
      </c>
      <c r="C138" s="1">
        <v>45847</v>
      </c>
      <c r="D138" t="s">
        <v>1057</v>
      </c>
      <c r="E138" t="s">
        <v>1058</v>
      </c>
      <c r="F138" t="s">
        <v>28</v>
      </c>
      <c r="G138" t="s">
        <v>1059</v>
      </c>
      <c r="H138" t="s">
        <v>320</v>
      </c>
      <c r="I138" t="s">
        <v>137</v>
      </c>
      <c r="J138" t="s">
        <v>46</v>
      </c>
      <c r="K138" t="s">
        <v>190</v>
      </c>
      <c r="L138" t="s">
        <v>1060</v>
      </c>
      <c r="M138">
        <v>3</v>
      </c>
      <c r="N138">
        <v>2597</v>
      </c>
      <c r="O138">
        <v>5</v>
      </c>
      <c r="P138">
        <v>8076.45</v>
      </c>
      <c r="Q138">
        <v>7402.33</v>
      </c>
      <c r="R138">
        <v>674.12</v>
      </c>
      <c r="S138" t="s">
        <v>100</v>
      </c>
      <c r="T138" t="s">
        <v>89</v>
      </c>
      <c r="U138" t="s">
        <v>1061</v>
      </c>
      <c r="V138" t="s">
        <v>1062</v>
      </c>
      <c r="W138">
        <v>16</v>
      </c>
      <c r="X138" t="s">
        <v>53</v>
      </c>
      <c r="Y138">
        <v>0</v>
      </c>
    </row>
    <row r="139" spans="1:25" x14ac:dyDescent="0.35">
      <c r="A139" t="s">
        <v>1063</v>
      </c>
      <c r="B139" s="1">
        <v>45394</v>
      </c>
      <c r="C139" s="1">
        <v>45400</v>
      </c>
      <c r="D139" t="s">
        <v>1064</v>
      </c>
      <c r="E139" t="s">
        <v>1065</v>
      </c>
      <c r="F139" t="s">
        <v>95</v>
      </c>
      <c r="G139" t="s">
        <v>1066</v>
      </c>
      <c r="H139" t="s">
        <v>59</v>
      </c>
      <c r="I139" t="s">
        <v>31</v>
      </c>
      <c r="J139" t="s">
        <v>97</v>
      </c>
      <c r="K139" t="s">
        <v>714</v>
      </c>
      <c r="L139" t="s">
        <v>1067</v>
      </c>
      <c r="M139">
        <v>5</v>
      </c>
      <c r="N139">
        <v>4660</v>
      </c>
      <c r="O139">
        <v>5</v>
      </c>
      <c r="P139">
        <v>22810</v>
      </c>
      <c r="Q139">
        <v>22135.77</v>
      </c>
      <c r="R139">
        <v>674.23</v>
      </c>
      <c r="S139" t="s">
        <v>35</v>
      </c>
      <c r="T139" t="s">
        <v>140</v>
      </c>
      <c r="U139" t="s">
        <v>1068</v>
      </c>
      <c r="V139" t="s">
        <v>1069</v>
      </c>
      <c r="W139">
        <v>32</v>
      </c>
      <c r="X139" t="s">
        <v>53</v>
      </c>
      <c r="Y139">
        <v>0</v>
      </c>
    </row>
    <row r="140" spans="1:25" x14ac:dyDescent="0.35">
      <c r="A140" t="s">
        <v>1070</v>
      </c>
      <c r="B140" s="1">
        <v>45961</v>
      </c>
      <c r="C140" s="1">
        <v>45968</v>
      </c>
      <c r="D140" t="s">
        <v>1071</v>
      </c>
      <c r="E140" t="s">
        <v>1072</v>
      </c>
      <c r="F140" t="s">
        <v>95</v>
      </c>
      <c r="G140" t="s">
        <v>1073</v>
      </c>
      <c r="H140" t="s">
        <v>77</v>
      </c>
      <c r="I140" t="s">
        <v>45</v>
      </c>
      <c r="J140" t="s">
        <v>32</v>
      </c>
      <c r="K140" t="s">
        <v>239</v>
      </c>
      <c r="L140" t="s">
        <v>1074</v>
      </c>
      <c r="M140">
        <v>6</v>
      </c>
      <c r="N140">
        <v>2362</v>
      </c>
      <c r="O140">
        <v>15</v>
      </c>
      <c r="P140">
        <v>12721.2</v>
      </c>
      <c r="Q140">
        <v>12046.89</v>
      </c>
      <c r="R140">
        <v>674.31</v>
      </c>
      <c r="S140" t="s">
        <v>100</v>
      </c>
      <c r="T140" t="s">
        <v>50</v>
      </c>
      <c r="U140" t="s">
        <v>1075</v>
      </c>
      <c r="V140" t="s">
        <v>1076</v>
      </c>
      <c r="W140">
        <v>42</v>
      </c>
      <c r="X140" t="s">
        <v>53</v>
      </c>
      <c r="Y140">
        <v>0</v>
      </c>
    </row>
    <row r="141" spans="1:25" x14ac:dyDescent="0.35">
      <c r="A141" t="s">
        <v>1077</v>
      </c>
      <c r="B141" s="1">
        <v>45725</v>
      </c>
      <c r="C141" s="1">
        <v>45731</v>
      </c>
      <c r="D141" t="s">
        <v>1078</v>
      </c>
      <c r="E141" t="s">
        <v>1079</v>
      </c>
      <c r="F141" t="s">
        <v>57</v>
      </c>
      <c r="G141" t="s">
        <v>1080</v>
      </c>
      <c r="H141" t="s">
        <v>283</v>
      </c>
      <c r="I141" t="s">
        <v>45</v>
      </c>
      <c r="J141" t="s">
        <v>46</v>
      </c>
      <c r="K141" t="s">
        <v>691</v>
      </c>
      <c r="L141" t="s">
        <v>1081</v>
      </c>
      <c r="M141">
        <v>1</v>
      </c>
      <c r="N141">
        <v>3614</v>
      </c>
      <c r="O141">
        <v>15</v>
      </c>
      <c r="P141">
        <v>3746.9</v>
      </c>
      <c r="Q141">
        <v>3072.63</v>
      </c>
      <c r="R141">
        <v>674.27</v>
      </c>
      <c r="S141" t="s">
        <v>80</v>
      </c>
      <c r="T141" t="s">
        <v>36</v>
      </c>
      <c r="U141" t="s">
        <v>1082</v>
      </c>
      <c r="V141" t="s">
        <v>1083</v>
      </c>
      <c r="W141">
        <v>24</v>
      </c>
      <c r="X141" t="s">
        <v>53</v>
      </c>
      <c r="Y141">
        <v>0</v>
      </c>
    </row>
    <row r="142" spans="1:25" x14ac:dyDescent="0.35">
      <c r="A142" t="s">
        <v>1084</v>
      </c>
      <c r="B142" s="1">
        <v>45697</v>
      </c>
      <c r="C142" s="1">
        <v>45704</v>
      </c>
      <c r="D142" t="s">
        <v>1085</v>
      </c>
      <c r="E142" t="s">
        <v>1086</v>
      </c>
      <c r="F142" t="s">
        <v>95</v>
      </c>
      <c r="G142" t="s">
        <v>1087</v>
      </c>
      <c r="H142" t="s">
        <v>30</v>
      </c>
      <c r="I142" t="s">
        <v>31</v>
      </c>
      <c r="J142" t="s">
        <v>118</v>
      </c>
      <c r="K142" t="s">
        <v>1088</v>
      </c>
      <c r="L142" t="s">
        <v>1089</v>
      </c>
      <c r="M142">
        <v>5</v>
      </c>
      <c r="N142">
        <v>814</v>
      </c>
      <c r="O142">
        <v>0</v>
      </c>
      <c r="P142">
        <v>4745</v>
      </c>
      <c r="Q142">
        <v>4070.73</v>
      </c>
      <c r="R142">
        <v>674.27</v>
      </c>
      <c r="S142" t="s">
        <v>49</v>
      </c>
      <c r="T142" t="s">
        <v>89</v>
      </c>
      <c r="U142" t="s">
        <v>1090</v>
      </c>
      <c r="V142" t="s">
        <v>1091</v>
      </c>
      <c r="W142">
        <v>26</v>
      </c>
      <c r="X142" t="s">
        <v>53</v>
      </c>
      <c r="Y142">
        <v>0</v>
      </c>
    </row>
    <row r="143" spans="1:25" x14ac:dyDescent="0.35">
      <c r="A143" t="s">
        <v>1092</v>
      </c>
      <c r="B143" s="1">
        <v>45845</v>
      </c>
      <c r="C143" s="1">
        <v>45846</v>
      </c>
      <c r="D143" t="s">
        <v>1093</v>
      </c>
      <c r="E143" t="s">
        <v>1094</v>
      </c>
      <c r="F143" t="s">
        <v>57</v>
      </c>
      <c r="G143" t="s">
        <v>1095</v>
      </c>
      <c r="H143" t="s">
        <v>198</v>
      </c>
      <c r="I143" t="s">
        <v>31</v>
      </c>
      <c r="J143" t="s">
        <v>97</v>
      </c>
      <c r="K143" t="s">
        <v>699</v>
      </c>
      <c r="L143" t="s">
        <v>1096</v>
      </c>
      <c r="M143">
        <v>3</v>
      </c>
      <c r="N143">
        <v>2965</v>
      </c>
      <c r="O143">
        <v>15</v>
      </c>
      <c r="P143">
        <v>8235.75</v>
      </c>
      <c r="Q143">
        <v>7561.53</v>
      </c>
      <c r="R143">
        <v>674.22</v>
      </c>
      <c r="S143" t="s">
        <v>35</v>
      </c>
      <c r="T143" t="s">
        <v>50</v>
      </c>
      <c r="U143" t="s">
        <v>1097</v>
      </c>
      <c r="V143" t="s">
        <v>1098</v>
      </c>
      <c r="W143">
        <v>40</v>
      </c>
      <c r="X143" t="s">
        <v>53</v>
      </c>
      <c r="Y143">
        <v>0</v>
      </c>
    </row>
    <row r="144" spans="1:25" x14ac:dyDescent="0.35">
      <c r="A144" t="s">
        <v>1099</v>
      </c>
      <c r="B144" s="1">
        <v>45658</v>
      </c>
      <c r="C144" s="1">
        <v>45665</v>
      </c>
      <c r="D144" t="s">
        <v>1100</v>
      </c>
      <c r="E144" t="s">
        <v>1101</v>
      </c>
      <c r="F144" t="s">
        <v>95</v>
      </c>
      <c r="G144" t="s">
        <v>1102</v>
      </c>
      <c r="H144" t="s">
        <v>198</v>
      </c>
      <c r="I144" t="s">
        <v>31</v>
      </c>
      <c r="J144" t="s">
        <v>118</v>
      </c>
      <c r="K144" t="s">
        <v>207</v>
      </c>
      <c r="L144" t="s">
        <v>1103</v>
      </c>
      <c r="M144">
        <v>9</v>
      </c>
      <c r="N144">
        <v>4646</v>
      </c>
      <c r="O144">
        <v>0</v>
      </c>
      <c r="P144">
        <v>42489</v>
      </c>
      <c r="Q144">
        <v>41814.870000000003</v>
      </c>
      <c r="R144">
        <v>674.13</v>
      </c>
      <c r="S144" t="s">
        <v>100</v>
      </c>
      <c r="T144" t="s">
        <v>50</v>
      </c>
      <c r="U144" t="s">
        <v>1104</v>
      </c>
      <c r="V144" t="s">
        <v>1105</v>
      </c>
      <c r="W144">
        <v>46</v>
      </c>
      <c r="X144" t="s">
        <v>53</v>
      </c>
      <c r="Y144">
        <v>0</v>
      </c>
    </row>
    <row r="145" spans="1:25" x14ac:dyDescent="0.35">
      <c r="A145" t="s">
        <v>1106</v>
      </c>
      <c r="B145" s="1">
        <v>45505</v>
      </c>
      <c r="C145" s="1">
        <v>45512</v>
      </c>
      <c r="D145" t="s">
        <v>1107</v>
      </c>
      <c r="E145" t="s">
        <v>1108</v>
      </c>
      <c r="F145" t="s">
        <v>95</v>
      </c>
      <c r="G145" t="s">
        <v>1109</v>
      </c>
      <c r="H145" t="s">
        <v>107</v>
      </c>
      <c r="I145" t="s">
        <v>108</v>
      </c>
      <c r="J145" t="s">
        <v>97</v>
      </c>
      <c r="K145" t="s">
        <v>138</v>
      </c>
      <c r="L145" t="s">
        <v>1110</v>
      </c>
      <c r="M145">
        <v>2</v>
      </c>
      <c r="N145">
        <v>2733</v>
      </c>
      <c r="O145">
        <v>5</v>
      </c>
      <c r="P145">
        <v>5867.7</v>
      </c>
      <c r="Q145">
        <v>5193.53</v>
      </c>
      <c r="R145">
        <v>674.17</v>
      </c>
      <c r="S145" t="s">
        <v>80</v>
      </c>
      <c r="T145" t="s">
        <v>89</v>
      </c>
      <c r="U145" t="s">
        <v>1111</v>
      </c>
      <c r="V145" t="s">
        <v>1112</v>
      </c>
      <c r="W145">
        <v>11</v>
      </c>
      <c r="X145" t="s">
        <v>53</v>
      </c>
      <c r="Y145">
        <v>0</v>
      </c>
    </row>
    <row r="146" spans="1:25" x14ac:dyDescent="0.35">
      <c r="A146" t="s">
        <v>1113</v>
      </c>
      <c r="B146" s="1">
        <v>45443</v>
      </c>
      <c r="C146" s="1">
        <v>45449</v>
      </c>
      <c r="D146" t="s">
        <v>1114</v>
      </c>
      <c r="E146" t="s">
        <v>1115</v>
      </c>
      <c r="F146" t="s">
        <v>28</v>
      </c>
      <c r="G146" t="s">
        <v>1116</v>
      </c>
      <c r="H146" t="s">
        <v>334</v>
      </c>
      <c r="I146" t="s">
        <v>108</v>
      </c>
      <c r="J146" t="s">
        <v>46</v>
      </c>
      <c r="K146" t="s">
        <v>239</v>
      </c>
      <c r="L146" t="s">
        <v>1117</v>
      </c>
      <c r="M146">
        <v>9</v>
      </c>
      <c r="N146">
        <v>1642</v>
      </c>
      <c r="O146">
        <v>5</v>
      </c>
      <c r="P146">
        <v>14714.1</v>
      </c>
      <c r="Q146">
        <v>14039.92</v>
      </c>
      <c r="R146">
        <v>674.18</v>
      </c>
      <c r="S146" t="s">
        <v>35</v>
      </c>
      <c r="T146" t="s">
        <v>140</v>
      </c>
      <c r="U146" t="s">
        <v>1118</v>
      </c>
      <c r="V146" t="s">
        <v>1119</v>
      </c>
      <c r="W146">
        <v>18</v>
      </c>
      <c r="X146" t="s">
        <v>53</v>
      </c>
      <c r="Y146">
        <v>0</v>
      </c>
    </row>
    <row r="147" spans="1:25" x14ac:dyDescent="0.35">
      <c r="A147" t="s">
        <v>1120</v>
      </c>
      <c r="B147" s="1">
        <v>45322</v>
      </c>
      <c r="C147" s="1">
        <v>45326</v>
      </c>
      <c r="D147" t="s">
        <v>1121</v>
      </c>
      <c r="E147" t="s">
        <v>1122</v>
      </c>
      <c r="F147" t="s">
        <v>95</v>
      </c>
      <c r="G147" t="s">
        <v>1123</v>
      </c>
      <c r="H147" t="s">
        <v>59</v>
      </c>
      <c r="I147" t="s">
        <v>31</v>
      </c>
      <c r="J147" t="s">
        <v>118</v>
      </c>
      <c r="K147" t="s">
        <v>78</v>
      </c>
      <c r="L147" t="s">
        <v>1124</v>
      </c>
      <c r="M147">
        <v>8</v>
      </c>
      <c r="N147">
        <v>4684</v>
      </c>
      <c r="O147">
        <v>20</v>
      </c>
      <c r="P147">
        <v>30652.6</v>
      </c>
      <c r="Q147">
        <v>29978.45</v>
      </c>
      <c r="R147">
        <v>674.15</v>
      </c>
      <c r="S147" t="s">
        <v>80</v>
      </c>
      <c r="T147" t="s">
        <v>89</v>
      </c>
      <c r="U147" t="s">
        <v>1125</v>
      </c>
      <c r="V147" t="s">
        <v>1126</v>
      </c>
      <c r="W147">
        <v>22</v>
      </c>
      <c r="X147" t="s">
        <v>53</v>
      </c>
      <c r="Y147">
        <v>0</v>
      </c>
    </row>
    <row r="148" spans="1:25" x14ac:dyDescent="0.35">
      <c r="A148" t="s">
        <v>1127</v>
      </c>
      <c r="B148" s="1">
        <v>45387</v>
      </c>
      <c r="C148" s="1">
        <v>45392</v>
      </c>
      <c r="D148" t="s">
        <v>1128</v>
      </c>
      <c r="E148" t="s">
        <v>1129</v>
      </c>
      <c r="F148" t="s">
        <v>95</v>
      </c>
      <c r="G148" t="s">
        <v>1130</v>
      </c>
      <c r="H148" t="s">
        <v>59</v>
      </c>
      <c r="I148" t="s">
        <v>31</v>
      </c>
      <c r="J148" t="s">
        <v>118</v>
      </c>
      <c r="K148" t="s">
        <v>786</v>
      </c>
      <c r="L148" t="s">
        <v>1131</v>
      </c>
      <c r="M148">
        <v>9</v>
      </c>
      <c r="N148">
        <v>695</v>
      </c>
      <c r="O148">
        <v>15</v>
      </c>
      <c r="P148">
        <v>5991.75</v>
      </c>
      <c r="Q148">
        <v>5317.45</v>
      </c>
      <c r="R148">
        <v>674.3</v>
      </c>
      <c r="S148" t="s">
        <v>80</v>
      </c>
      <c r="T148" t="s">
        <v>50</v>
      </c>
      <c r="U148" t="s">
        <v>1132</v>
      </c>
      <c r="V148" t="s">
        <v>1133</v>
      </c>
      <c r="W148">
        <v>27</v>
      </c>
      <c r="X148" t="s">
        <v>53</v>
      </c>
      <c r="Y148">
        <v>0</v>
      </c>
    </row>
    <row r="149" spans="1:25" x14ac:dyDescent="0.35">
      <c r="A149" t="s">
        <v>1134</v>
      </c>
      <c r="B149" s="1">
        <v>45406</v>
      </c>
      <c r="C149" s="1">
        <v>45411</v>
      </c>
      <c r="D149" t="s">
        <v>1135</v>
      </c>
      <c r="E149" t="s">
        <v>1136</v>
      </c>
      <c r="F149" t="s">
        <v>57</v>
      </c>
      <c r="G149" t="s">
        <v>1137</v>
      </c>
      <c r="H149" t="s">
        <v>189</v>
      </c>
      <c r="I149" t="s">
        <v>108</v>
      </c>
      <c r="J149" t="s">
        <v>46</v>
      </c>
      <c r="K149" t="s">
        <v>181</v>
      </c>
      <c r="L149" t="s">
        <v>1138</v>
      </c>
      <c r="M149">
        <v>10</v>
      </c>
      <c r="N149">
        <v>3070</v>
      </c>
      <c r="O149">
        <v>5</v>
      </c>
      <c r="P149">
        <v>29840</v>
      </c>
      <c r="Q149">
        <v>29165.78</v>
      </c>
      <c r="R149">
        <v>674.22</v>
      </c>
      <c r="S149" t="s">
        <v>49</v>
      </c>
      <c r="T149" t="s">
        <v>140</v>
      </c>
      <c r="U149" t="s">
        <v>1139</v>
      </c>
      <c r="V149" t="s">
        <v>1140</v>
      </c>
      <c r="W149">
        <v>3</v>
      </c>
      <c r="X149" t="s">
        <v>39</v>
      </c>
      <c r="Y149">
        <v>22</v>
      </c>
    </row>
    <row r="150" spans="1:25" x14ac:dyDescent="0.35">
      <c r="A150" t="s">
        <v>1141</v>
      </c>
      <c r="B150" s="1">
        <v>45653</v>
      </c>
      <c r="C150" s="1">
        <v>45657</v>
      </c>
      <c r="D150" t="s">
        <v>1142</v>
      </c>
      <c r="E150" t="s">
        <v>1143</v>
      </c>
      <c r="F150" t="s">
        <v>28</v>
      </c>
      <c r="G150" t="s">
        <v>1144</v>
      </c>
      <c r="H150" t="s">
        <v>44</v>
      </c>
      <c r="I150" t="s">
        <v>45</v>
      </c>
      <c r="J150" t="s">
        <v>32</v>
      </c>
      <c r="K150" t="s">
        <v>466</v>
      </c>
      <c r="L150" t="s">
        <v>1145</v>
      </c>
      <c r="M150">
        <v>9</v>
      </c>
      <c r="N150">
        <v>4850</v>
      </c>
      <c r="O150">
        <v>0</v>
      </c>
      <c r="P150">
        <v>44325</v>
      </c>
      <c r="Q150">
        <v>43650.61</v>
      </c>
      <c r="R150">
        <v>674.39</v>
      </c>
      <c r="S150" t="s">
        <v>80</v>
      </c>
      <c r="T150" t="s">
        <v>50</v>
      </c>
      <c r="U150" t="s">
        <v>1146</v>
      </c>
      <c r="V150" t="s">
        <v>1147</v>
      </c>
      <c r="W150">
        <v>29</v>
      </c>
      <c r="X150" t="s">
        <v>53</v>
      </c>
      <c r="Y150">
        <v>0</v>
      </c>
    </row>
    <row r="151" spans="1:25" x14ac:dyDescent="0.35">
      <c r="A151" t="s">
        <v>1148</v>
      </c>
      <c r="B151" s="1">
        <v>45367</v>
      </c>
      <c r="C151" s="1">
        <v>45373</v>
      </c>
      <c r="D151" t="s">
        <v>544</v>
      </c>
      <c r="E151" t="s">
        <v>1149</v>
      </c>
      <c r="F151" t="s">
        <v>28</v>
      </c>
      <c r="G151" t="s">
        <v>1150</v>
      </c>
      <c r="H151" t="s">
        <v>59</v>
      </c>
      <c r="I151" t="s">
        <v>31</v>
      </c>
      <c r="J151" t="s">
        <v>97</v>
      </c>
      <c r="K151" t="s">
        <v>87</v>
      </c>
      <c r="L151" t="s">
        <v>1151</v>
      </c>
      <c r="M151">
        <v>6</v>
      </c>
      <c r="N151">
        <v>4997</v>
      </c>
      <c r="O151">
        <v>20</v>
      </c>
      <c r="P151">
        <v>24660.6</v>
      </c>
      <c r="Q151">
        <v>23986.35</v>
      </c>
      <c r="R151">
        <v>674.25</v>
      </c>
      <c r="S151" t="s">
        <v>80</v>
      </c>
      <c r="T151" t="s">
        <v>140</v>
      </c>
      <c r="U151" t="s">
        <v>1152</v>
      </c>
      <c r="V151" t="s">
        <v>1153</v>
      </c>
      <c r="W151">
        <v>42</v>
      </c>
      <c r="X151" t="s">
        <v>53</v>
      </c>
      <c r="Y151">
        <v>0</v>
      </c>
    </row>
    <row r="152" spans="1:25" x14ac:dyDescent="0.35">
      <c r="A152" t="s">
        <v>1154</v>
      </c>
      <c r="B152" s="1">
        <v>45326</v>
      </c>
      <c r="C152" s="1">
        <v>45332</v>
      </c>
      <c r="D152" t="s">
        <v>1155</v>
      </c>
      <c r="E152" t="s">
        <v>1156</v>
      </c>
      <c r="F152" t="s">
        <v>28</v>
      </c>
      <c r="G152" t="s">
        <v>1157</v>
      </c>
      <c r="H152" t="s">
        <v>283</v>
      </c>
      <c r="I152" t="s">
        <v>45</v>
      </c>
      <c r="J152" t="s">
        <v>46</v>
      </c>
      <c r="K152" t="s">
        <v>222</v>
      </c>
      <c r="L152" t="s">
        <v>1158</v>
      </c>
      <c r="M152">
        <v>4</v>
      </c>
      <c r="N152">
        <v>4106</v>
      </c>
      <c r="O152">
        <v>15</v>
      </c>
      <c r="P152">
        <v>14635.4</v>
      </c>
      <c r="Q152">
        <v>13961.04</v>
      </c>
      <c r="R152">
        <v>674.36</v>
      </c>
      <c r="S152" t="s">
        <v>80</v>
      </c>
      <c r="T152" t="s">
        <v>50</v>
      </c>
      <c r="U152" t="s">
        <v>1159</v>
      </c>
      <c r="V152" t="s">
        <v>1160</v>
      </c>
      <c r="W152">
        <v>15</v>
      </c>
      <c r="X152" t="s">
        <v>53</v>
      </c>
      <c r="Y152">
        <v>0</v>
      </c>
    </row>
    <row r="153" spans="1:25" x14ac:dyDescent="0.35">
      <c r="A153" t="s">
        <v>1161</v>
      </c>
      <c r="B153" s="1">
        <v>45583</v>
      </c>
      <c r="C153" s="1">
        <v>45590</v>
      </c>
      <c r="D153" t="s">
        <v>1162</v>
      </c>
      <c r="E153" t="s">
        <v>1163</v>
      </c>
      <c r="F153" t="s">
        <v>57</v>
      </c>
      <c r="G153" t="s">
        <v>1164</v>
      </c>
      <c r="H153" t="s">
        <v>107</v>
      </c>
      <c r="I153" t="s">
        <v>108</v>
      </c>
      <c r="J153" t="s">
        <v>32</v>
      </c>
      <c r="K153" t="s">
        <v>181</v>
      </c>
      <c r="L153" t="s">
        <v>1165</v>
      </c>
      <c r="M153">
        <v>3</v>
      </c>
      <c r="N153">
        <v>1166</v>
      </c>
      <c r="O153">
        <v>20</v>
      </c>
      <c r="P153">
        <v>3473.4</v>
      </c>
      <c r="Q153">
        <v>2799.12</v>
      </c>
      <c r="R153">
        <v>674.28</v>
      </c>
      <c r="S153" t="s">
        <v>80</v>
      </c>
      <c r="T153" t="s">
        <v>140</v>
      </c>
      <c r="U153" t="s">
        <v>1166</v>
      </c>
      <c r="V153" t="s">
        <v>1167</v>
      </c>
      <c r="W153">
        <v>21</v>
      </c>
      <c r="X153" t="s">
        <v>53</v>
      </c>
      <c r="Y153">
        <v>0</v>
      </c>
    </row>
    <row r="154" spans="1:25" x14ac:dyDescent="0.35">
      <c r="A154" t="s">
        <v>1168</v>
      </c>
      <c r="B154" s="1">
        <v>45248</v>
      </c>
      <c r="C154" s="1">
        <v>45249</v>
      </c>
      <c r="D154" t="s">
        <v>1169</v>
      </c>
      <c r="E154" t="s">
        <v>1170</v>
      </c>
      <c r="F154" t="s">
        <v>95</v>
      </c>
      <c r="G154" t="s">
        <v>1171</v>
      </c>
      <c r="H154" t="s">
        <v>117</v>
      </c>
      <c r="I154" t="s">
        <v>108</v>
      </c>
      <c r="J154" t="s">
        <v>118</v>
      </c>
      <c r="K154" t="s">
        <v>349</v>
      </c>
      <c r="L154" t="s">
        <v>1172</v>
      </c>
      <c r="M154">
        <v>2</v>
      </c>
      <c r="N154">
        <v>1485</v>
      </c>
      <c r="O154">
        <v>0</v>
      </c>
      <c r="P154">
        <v>3645</v>
      </c>
      <c r="Q154">
        <v>2970.74</v>
      </c>
      <c r="R154">
        <v>674.26</v>
      </c>
      <c r="S154" t="s">
        <v>49</v>
      </c>
      <c r="T154" t="s">
        <v>36</v>
      </c>
      <c r="U154" t="s">
        <v>1173</v>
      </c>
      <c r="V154" t="s">
        <v>1174</v>
      </c>
      <c r="W154">
        <v>32</v>
      </c>
      <c r="X154" t="s">
        <v>53</v>
      </c>
      <c r="Y154">
        <v>0</v>
      </c>
    </row>
    <row r="155" spans="1:25" x14ac:dyDescent="0.35">
      <c r="A155" t="s">
        <v>1175</v>
      </c>
      <c r="B155" s="1">
        <v>45722</v>
      </c>
      <c r="C155" s="1">
        <v>45729</v>
      </c>
      <c r="D155" t="s">
        <v>1176</v>
      </c>
      <c r="E155" t="s">
        <v>1177</v>
      </c>
      <c r="F155" t="s">
        <v>95</v>
      </c>
      <c r="G155" t="s">
        <v>1178</v>
      </c>
      <c r="H155" t="s">
        <v>283</v>
      </c>
      <c r="I155" t="s">
        <v>45</v>
      </c>
      <c r="J155" t="s">
        <v>46</v>
      </c>
      <c r="K155" t="s">
        <v>474</v>
      </c>
      <c r="L155" t="s">
        <v>1179</v>
      </c>
      <c r="M155">
        <v>2</v>
      </c>
      <c r="N155">
        <v>2264</v>
      </c>
      <c r="O155">
        <v>0</v>
      </c>
      <c r="P155">
        <v>5203</v>
      </c>
      <c r="Q155">
        <v>4528.6099999999997</v>
      </c>
      <c r="R155">
        <v>674.39</v>
      </c>
      <c r="S155" t="s">
        <v>49</v>
      </c>
      <c r="T155" t="s">
        <v>36</v>
      </c>
      <c r="U155" t="s">
        <v>1180</v>
      </c>
      <c r="V155" t="s">
        <v>1181</v>
      </c>
      <c r="W155">
        <v>18</v>
      </c>
      <c r="X155" t="s">
        <v>53</v>
      </c>
      <c r="Y155">
        <v>0</v>
      </c>
    </row>
    <row r="156" spans="1:25" x14ac:dyDescent="0.35">
      <c r="A156" t="s">
        <v>1182</v>
      </c>
      <c r="B156" s="1">
        <v>45450</v>
      </c>
      <c r="C156" s="1">
        <v>45453</v>
      </c>
      <c r="D156" t="s">
        <v>1183</v>
      </c>
      <c r="E156" t="s">
        <v>1184</v>
      </c>
      <c r="F156" t="s">
        <v>28</v>
      </c>
      <c r="G156" t="s">
        <v>1185</v>
      </c>
      <c r="H156" t="s">
        <v>189</v>
      </c>
      <c r="I156" t="s">
        <v>108</v>
      </c>
      <c r="J156" t="s">
        <v>97</v>
      </c>
      <c r="K156" t="s">
        <v>970</v>
      </c>
      <c r="L156" t="s">
        <v>1186</v>
      </c>
      <c r="M156">
        <v>7</v>
      </c>
      <c r="N156">
        <v>3084</v>
      </c>
      <c r="O156">
        <v>0</v>
      </c>
      <c r="P156">
        <v>22263</v>
      </c>
      <c r="Q156">
        <v>21588.62</v>
      </c>
      <c r="R156">
        <v>674.38</v>
      </c>
      <c r="S156" t="s">
        <v>35</v>
      </c>
      <c r="T156" t="s">
        <v>89</v>
      </c>
      <c r="U156" t="s">
        <v>1187</v>
      </c>
      <c r="V156" t="s">
        <v>1188</v>
      </c>
      <c r="W156">
        <v>28</v>
      </c>
      <c r="X156" t="s">
        <v>53</v>
      </c>
      <c r="Y156">
        <v>0</v>
      </c>
    </row>
    <row r="157" spans="1:25" x14ac:dyDescent="0.35">
      <c r="A157" t="s">
        <v>1189</v>
      </c>
      <c r="B157" s="1">
        <v>45711</v>
      </c>
      <c r="C157" s="1">
        <v>45718</v>
      </c>
      <c r="D157" t="s">
        <v>1190</v>
      </c>
      <c r="E157" t="s">
        <v>1191</v>
      </c>
      <c r="F157" t="s">
        <v>57</v>
      </c>
      <c r="G157" t="s">
        <v>1192</v>
      </c>
      <c r="H157" t="s">
        <v>44</v>
      </c>
      <c r="I157" t="s">
        <v>45</v>
      </c>
      <c r="J157" t="s">
        <v>118</v>
      </c>
      <c r="K157" t="s">
        <v>706</v>
      </c>
      <c r="L157" t="s">
        <v>1193</v>
      </c>
      <c r="M157">
        <v>7</v>
      </c>
      <c r="N157">
        <v>2375</v>
      </c>
      <c r="O157">
        <v>10</v>
      </c>
      <c r="P157">
        <v>15637.5</v>
      </c>
      <c r="Q157">
        <v>14963.16</v>
      </c>
      <c r="R157">
        <v>674.34</v>
      </c>
      <c r="S157" t="s">
        <v>80</v>
      </c>
      <c r="T157" t="s">
        <v>140</v>
      </c>
      <c r="U157" t="s">
        <v>1194</v>
      </c>
      <c r="V157" t="s">
        <v>1195</v>
      </c>
      <c r="W157">
        <v>3</v>
      </c>
      <c r="X157" t="s">
        <v>39</v>
      </c>
      <c r="Y157">
        <v>42</v>
      </c>
    </row>
    <row r="158" spans="1:25" x14ac:dyDescent="0.35">
      <c r="A158" t="s">
        <v>1196</v>
      </c>
      <c r="B158" s="1">
        <v>45587</v>
      </c>
      <c r="C158" s="1">
        <v>45592</v>
      </c>
      <c r="D158" t="s">
        <v>1197</v>
      </c>
      <c r="E158" t="s">
        <v>1198</v>
      </c>
      <c r="F158" t="s">
        <v>28</v>
      </c>
      <c r="G158" t="s">
        <v>1199</v>
      </c>
      <c r="H158" t="s">
        <v>77</v>
      </c>
      <c r="I158" t="s">
        <v>45</v>
      </c>
      <c r="J158" t="s">
        <v>46</v>
      </c>
      <c r="K158" t="s">
        <v>222</v>
      </c>
      <c r="L158" t="s">
        <v>1200</v>
      </c>
      <c r="M158">
        <v>9</v>
      </c>
      <c r="N158">
        <v>3020</v>
      </c>
      <c r="O158">
        <v>5</v>
      </c>
      <c r="P158">
        <v>26496</v>
      </c>
      <c r="Q158">
        <v>25821.66</v>
      </c>
      <c r="R158">
        <v>674.34</v>
      </c>
      <c r="S158" t="s">
        <v>35</v>
      </c>
      <c r="T158" t="s">
        <v>89</v>
      </c>
      <c r="U158" t="s">
        <v>1201</v>
      </c>
      <c r="V158" t="s">
        <v>1202</v>
      </c>
      <c r="W158">
        <v>13</v>
      </c>
      <c r="X158" t="s">
        <v>53</v>
      </c>
      <c r="Y158">
        <v>0</v>
      </c>
    </row>
    <row r="159" spans="1:25" x14ac:dyDescent="0.35">
      <c r="A159" t="s">
        <v>1203</v>
      </c>
      <c r="B159" s="1">
        <v>45748</v>
      </c>
      <c r="C159" s="1">
        <v>45751</v>
      </c>
      <c r="D159" t="s">
        <v>1204</v>
      </c>
      <c r="E159" t="s">
        <v>1205</v>
      </c>
      <c r="F159" t="s">
        <v>57</v>
      </c>
      <c r="G159" t="s">
        <v>1206</v>
      </c>
      <c r="H159" t="s">
        <v>44</v>
      </c>
      <c r="I159" t="s">
        <v>45</v>
      </c>
      <c r="J159" t="s">
        <v>118</v>
      </c>
      <c r="K159" t="s">
        <v>547</v>
      </c>
      <c r="L159" t="s">
        <v>1207</v>
      </c>
      <c r="M159">
        <v>4</v>
      </c>
      <c r="N159">
        <v>114</v>
      </c>
      <c r="O159">
        <v>20</v>
      </c>
      <c r="P159">
        <v>1039.8</v>
      </c>
      <c r="Q159">
        <v>365.41</v>
      </c>
      <c r="R159">
        <v>674.39</v>
      </c>
      <c r="S159" t="s">
        <v>35</v>
      </c>
      <c r="T159" t="s">
        <v>50</v>
      </c>
      <c r="U159" t="s">
        <v>1208</v>
      </c>
      <c r="V159" t="s">
        <v>1209</v>
      </c>
      <c r="W159">
        <v>33</v>
      </c>
      <c r="X159" t="s">
        <v>53</v>
      </c>
      <c r="Y159">
        <v>0</v>
      </c>
    </row>
    <row r="160" spans="1:25" x14ac:dyDescent="0.35">
      <c r="A160" t="s">
        <v>1210</v>
      </c>
      <c r="B160" s="1">
        <v>45950</v>
      </c>
      <c r="C160" s="1">
        <v>45953</v>
      </c>
      <c r="D160" t="s">
        <v>1211</v>
      </c>
      <c r="E160" t="s">
        <v>1212</v>
      </c>
      <c r="F160" t="s">
        <v>28</v>
      </c>
      <c r="G160" t="s">
        <v>1213</v>
      </c>
      <c r="H160" t="s">
        <v>230</v>
      </c>
      <c r="I160" t="s">
        <v>137</v>
      </c>
      <c r="J160" t="s">
        <v>97</v>
      </c>
      <c r="K160" t="s">
        <v>312</v>
      </c>
      <c r="L160" t="s">
        <v>1214</v>
      </c>
      <c r="M160">
        <v>4</v>
      </c>
      <c r="N160">
        <v>3824</v>
      </c>
      <c r="O160">
        <v>5</v>
      </c>
      <c r="P160">
        <v>15206.2</v>
      </c>
      <c r="Q160">
        <v>14531.95</v>
      </c>
      <c r="R160">
        <v>674.25</v>
      </c>
      <c r="S160" t="s">
        <v>80</v>
      </c>
      <c r="T160" t="s">
        <v>50</v>
      </c>
      <c r="U160" t="s">
        <v>1215</v>
      </c>
      <c r="V160" t="s">
        <v>1216</v>
      </c>
      <c r="W160">
        <v>12</v>
      </c>
      <c r="X160" t="s">
        <v>53</v>
      </c>
      <c r="Y160">
        <v>0</v>
      </c>
    </row>
    <row r="161" spans="1:25" x14ac:dyDescent="0.35">
      <c r="A161" t="s">
        <v>1217</v>
      </c>
      <c r="B161" s="1">
        <v>45730</v>
      </c>
      <c r="C161" s="1">
        <v>45735</v>
      </c>
      <c r="D161" t="s">
        <v>1218</v>
      </c>
      <c r="E161" t="s">
        <v>1219</v>
      </c>
      <c r="F161" t="s">
        <v>28</v>
      </c>
      <c r="G161" t="s">
        <v>1220</v>
      </c>
      <c r="H161" t="s">
        <v>59</v>
      </c>
      <c r="I161" t="s">
        <v>31</v>
      </c>
      <c r="J161" t="s">
        <v>97</v>
      </c>
      <c r="K161" t="s">
        <v>524</v>
      </c>
      <c r="L161" t="s">
        <v>1221</v>
      </c>
      <c r="M161">
        <v>7</v>
      </c>
      <c r="N161">
        <v>1372</v>
      </c>
      <c r="O161">
        <v>20</v>
      </c>
      <c r="P161">
        <v>8358.2000000000007</v>
      </c>
      <c r="Q161">
        <v>7684.06</v>
      </c>
      <c r="R161">
        <v>674.14</v>
      </c>
      <c r="S161" t="s">
        <v>49</v>
      </c>
      <c r="T161" t="s">
        <v>50</v>
      </c>
      <c r="U161" t="s">
        <v>1222</v>
      </c>
      <c r="V161" t="s">
        <v>1223</v>
      </c>
      <c r="W161">
        <v>38</v>
      </c>
      <c r="X161" t="s">
        <v>53</v>
      </c>
      <c r="Y161">
        <v>0</v>
      </c>
    </row>
    <row r="162" spans="1:25" x14ac:dyDescent="0.35">
      <c r="A162" t="s">
        <v>1224</v>
      </c>
      <c r="B162" s="1">
        <v>45276</v>
      </c>
      <c r="C162" s="1">
        <v>45279</v>
      </c>
      <c r="D162" t="s">
        <v>798</v>
      </c>
      <c r="E162" t="s">
        <v>1225</v>
      </c>
      <c r="F162" t="s">
        <v>28</v>
      </c>
      <c r="G162" t="s">
        <v>1226</v>
      </c>
      <c r="H162" t="s">
        <v>59</v>
      </c>
      <c r="I162" t="s">
        <v>31</v>
      </c>
      <c r="J162" t="s">
        <v>97</v>
      </c>
      <c r="K162" t="s">
        <v>222</v>
      </c>
      <c r="L162" t="s">
        <v>1227</v>
      </c>
      <c r="M162">
        <v>5</v>
      </c>
      <c r="N162">
        <v>2734</v>
      </c>
      <c r="O162">
        <v>5</v>
      </c>
      <c r="P162">
        <v>13661.5</v>
      </c>
      <c r="Q162">
        <v>12987.3</v>
      </c>
      <c r="R162">
        <v>674.2</v>
      </c>
      <c r="S162" t="s">
        <v>49</v>
      </c>
      <c r="T162" t="s">
        <v>89</v>
      </c>
      <c r="U162" t="s">
        <v>1228</v>
      </c>
      <c r="V162" t="s">
        <v>1229</v>
      </c>
      <c r="W162">
        <v>16</v>
      </c>
      <c r="X162" t="s">
        <v>53</v>
      </c>
      <c r="Y162">
        <v>0</v>
      </c>
    </row>
    <row r="163" spans="1:25" x14ac:dyDescent="0.35">
      <c r="A163" t="s">
        <v>1230</v>
      </c>
      <c r="B163" s="1">
        <v>45584</v>
      </c>
      <c r="C163" s="1">
        <v>45590</v>
      </c>
      <c r="D163" t="s">
        <v>1231</v>
      </c>
      <c r="E163" t="s">
        <v>1232</v>
      </c>
      <c r="F163" t="s">
        <v>57</v>
      </c>
      <c r="G163" t="s">
        <v>1233</v>
      </c>
      <c r="H163" t="s">
        <v>77</v>
      </c>
      <c r="I163" t="s">
        <v>45</v>
      </c>
      <c r="J163" t="s">
        <v>118</v>
      </c>
      <c r="K163" t="s">
        <v>60</v>
      </c>
      <c r="L163" t="s">
        <v>1234</v>
      </c>
      <c r="M163">
        <v>10</v>
      </c>
      <c r="N163">
        <v>831</v>
      </c>
      <c r="O163">
        <v>5</v>
      </c>
      <c r="P163">
        <v>8569.5</v>
      </c>
      <c r="Q163">
        <v>7895.29</v>
      </c>
      <c r="R163">
        <v>674.21</v>
      </c>
      <c r="S163" t="s">
        <v>80</v>
      </c>
      <c r="T163" t="s">
        <v>140</v>
      </c>
      <c r="U163" t="s">
        <v>1235</v>
      </c>
      <c r="V163" t="s">
        <v>1236</v>
      </c>
      <c r="W163">
        <v>16</v>
      </c>
      <c r="X163" t="s">
        <v>53</v>
      </c>
      <c r="Y163">
        <v>0</v>
      </c>
    </row>
    <row r="164" spans="1:25" x14ac:dyDescent="0.35">
      <c r="A164" t="s">
        <v>1237</v>
      </c>
      <c r="B164" s="1">
        <v>45274</v>
      </c>
      <c r="C164" s="1">
        <v>45277</v>
      </c>
      <c r="D164" t="s">
        <v>479</v>
      </c>
      <c r="E164" t="s">
        <v>1238</v>
      </c>
      <c r="F164" t="s">
        <v>95</v>
      </c>
      <c r="G164" t="s">
        <v>1239</v>
      </c>
      <c r="H164" t="s">
        <v>230</v>
      </c>
      <c r="I164" t="s">
        <v>137</v>
      </c>
      <c r="J164" t="s">
        <v>118</v>
      </c>
      <c r="K164" t="s">
        <v>415</v>
      </c>
      <c r="L164" t="s">
        <v>1240</v>
      </c>
      <c r="M164">
        <v>9</v>
      </c>
      <c r="N164">
        <v>3916</v>
      </c>
      <c r="O164">
        <v>0</v>
      </c>
      <c r="P164">
        <v>35919</v>
      </c>
      <c r="Q164">
        <v>35244.620000000003</v>
      </c>
      <c r="R164">
        <v>674.38</v>
      </c>
      <c r="S164" t="s">
        <v>49</v>
      </c>
      <c r="T164" t="s">
        <v>36</v>
      </c>
      <c r="U164" t="s">
        <v>1241</v>
      </c>
      <c r="V164" t="s">
        <v>1242</v>
      </c>
      <c r="W164">
        <v>0</v>
      </c>
      <c r="X164" t="s">
        <v>39</v>
      </c>
      <c r="Y164">
        <v>29</v>
      </c>
    </row>
    <row r="165" spans="1:25" x14ac:dyDescent="0.35">
      <c r="A165" t="s">
        <v>1243</v>
      </c>
      <c r="B165" s="1">
        <v>45859</v>
      </c>
      <c r="C165" s="1">
        <v>45861</v>
      </c>
      <c r="D165" t="s">
        <v>1244</v>
      </c>
      <c r="E165" t="s">
        <v>1245</v>
      </c>
      <c r="F165" t="s">
        <v>57</v>
      </c>
      <c r="G165" t="s">
        <v>1246</v>
      </c>
      <c r="H165" t="s">
        <v>136</v>
      </c>
      <c r="I165" t="s">
        <v>137</v>
      </c>
      <c r="J165" t="s">
        <v>32</v>
      </c>
      <c r="K165" t="s">
        <v>312</v>
      </c>
      <c r="L165" t="s">
        <v>1247</v>
      </c>
      <c r="M165">
        <v>2</v>
      </c>
      <c r="N165">
        <v>1819</v>
      </c>
      <c r="O165">
        <v>20</v>
      </c>
      <c r="P165">
        <v>3585.4</v>
      </c>
      <c r="Q165">
        <v>2911.06</v>
      </c>
      <c r="R165">
        <v>674.34</v>
      </c>
      <c r="S165" t="s">
        <v>49</v>
      </c>
      <c r="T165" t="s">
        <v>140</v>
      </c>
      <c r="U165" t="s">
        <v>1248</v>
      </c>
      <c r="V165" t="s">
        <v>1249</v>
      </c>
      <c r="W165">
        <v>46</v>
      </c>
      <c r="X165" t="s">
        <v>53</v>
      </c>
      <c r="Y165">
        <v>0</v>
      </c>
    </row>
    <row r="166" spans="1:25" x14ac:dyDescent="0.35">
      <c r="A166" t="s">
        <v>1250</v>
      </c>
      <c r="B166" s="1">
        <v>45403</v>
      </c>
      <c r="C166" s="1">
        <v>45405</v>
      </c>
      <c r="D166" t="s">
        <v>1251</v>
      </c>
      <c r="E166" t="s">
        <v>1252</v>
      </c>
      <c r="F166" t="s">
        <v>57</v>
      </c>
      <c r="G166" t="s">
        <v>1253</v>
      </c>
      <c r="H166" t="s">
        <v>206</v>
      </c>
      <c r="I166" t="s">
        <v>31</v>
      </c>
      <c r="J166" t="s">
        <v>32</v>
      </c>
      <c r="K166" t="s">
        <v>173</v>
      </c>
      <c r="L166" t="s">
        <v>1254</v>
      </c>
      <c r="M166">
        <v>2</v>
      </c>
      <c r="N166">
        <v>3966</v>
      </c>
      <c r="O166">
        <v>15</v>
      </c>
      <c r="P166">
        <v>7417.2</v>
      </c>
      <c r="Q166">
        <v>6742.94</v>
      </c>
      <c r="R166">
        <v>674.26</v>
      </c>
      <c r="S166" t="s">
        <v>80</v>
      </c>
      <c r="T166" t="s">
        <v>89</v>
      </c>
      <c r="U166" t="s">
        <v>1255</v>
      </c>
      <c r="V166" t="s">
        <v>1256</v>
      </c>
      <c r="W166">
        <v>50</v>
      </c>
      <c r="X166" t="s">
        <v>53</v>
      </c>
      <c r="Y166">
        <v>0</v>
      </c>
    </row>
    <row r="167" spans="1:25" x14ac:dyDescent="0.35">
      <c r="A167" t="s">
        <v>1257</v>
      </c>
      <c r="B167" s="1">
        <v>45488</v>
      </c>
      <c r="C167" s="1">
        <v>45494</v>
      </c>
      <c r="D167" t="s">
        <v>1258</v>
      </c>
      <c r="E167" t="s">
        <v>1259</v>
      </c>
      <c r="F167" t="s">
        <v>57</v>
      </c>
      <c r="G167" t="s">
        <v>1260</v>
      </c>
      <c r="H167" t="s">
        <v>77</v>
      </c>
      <c r="I167" t="s">
        <v>45</v>
      </c>
      <c r="J167" t="s">
        <v>32</v>
      </c>
      <c r="K167" t="s">
        <v>119</v>
      </c>
      <c r="L167" t="s">
        <v>1261</v>
      </c>
      <c r="M167">
        <v>6</v>
      </c>
      <c r="N167">
        <v>2721</v>
      </c>
      <c r="O167">
        <v>15</v>
      </c>
      <c r="P167">
        <v>14552.1</v>
      </c>
      <c r="Q167">
        <v>13877.86</v>
      </c>
      <c r="R167">
        <v>674.24</v>
      </c>
      <c r="S167" t="s">
        <v>100</v>
      </c>
      <c r="T167" t="s">
        <v>140</v>
      </c>
      <c r="U167" t="s">
        <v>1262</v>
      </c>
      <c r="V167" t="s">
        <v>1263</v>
      </c>
      <c r="W167">
        <v>22</v>
      </c>
      <c r="X167" t="s">
        <v>53</v>
      </c>
      <c r="Y167">
        <v>0</v>
      </c>
    </row>
    <row r="168" spans="1:25" x14ac:dyDescent="0.35">
      <c r="A168" t="s">
        <v>1264</v>
      </c>
      <c r="B168" s="1">
        <v>45624</v>
      </c>
      <c r="C168" s="1">
        <v>45626</v>
      </c>
      <c r="D168" t="s">
        <v>1265</v>
      </c>
      <c r="E168" t="s">
        <v>1266</v>
      </c>
      <c r="F168" t="s">
        <v>57</v>
      </c>
      <c r="G168" t="s">
        <v>1267</v>
      </c>
      <c r="H168" t="s">
        <v>364</v>
      </c>
      <c r="I168" t="s">
        <v>137</v>
      </c>
      <c r="J168" t="s">
        <v>118</v>
      </c>
      <c r="K168" t="s">
        <v>598</v>
      </c>
      <c r="L168" t="s">
        <v>1268</v>
      </c>
      <c r="M168">
        <v>3</v>
      </c>
      <c r="N168">
        <v>999</v>
      </c>
      <c r="O168">
        <v>5</v>
      </c>
      <c r="P168">
        <v>3522.15</v>
      </c>
      <c r="Q168">
        <v>2847.85</v>
      </c>
      <c r="R168">
        <v>674.3</v>
      </c>
      <c r="S168" t="s">
        <v>35</v>
      </c>
      <c r="T168" t="s">
        <v>140</v>
      </c>
      <c r="U168" t="s">
        <v>1269</v>
      </c>
      <c r="V168" t="s">
        <v>1270</v>
      </c>
      <c r="W168">
        <v>29</v>
      </c>
      <c r="X168" t="s">
        <v>53</v>
      </c>
      <c r="Y168">
        <v>0</v>
      </c>
    </row>
    <row r="169" spans="1:25" x14ac:dyDescent="0.35">
      <c r="A169" t="s">
        <v>1271</v>
      </c>
      <c r="B169" s="1">
        <v>45963</v>
      </c>
      <c r="C169" s="1">
        <v>45969</v>
      </c>
      <c r="D169" t="s">
        <v>1272</v>
      </c>
      <c r="E169" t="s">
        <v>1273</v>
      </c>
      <c r="F169" t="s">
        <v>28</v>
      </c>
      <c r="G169" t="s">
        <v>1274</v>
      </c>
      <c r="H169" t="s">
        <v>44</v>
      </c>
      <c r="I169" t="s">
        <v>45</v>
      </c>
      <c r="J169" t="s">
        <v>32</v>
      </c>
      <c r="K169" t="s">
        <v>1275</v>
      </c>
      <c r="L169" t="s">
        <v>1276</v>
      </c>
      <c r="M169">
        <v>1</v>
      </c>
      <c r="N169">
        <v>4374</v>
      </c>
      <c r="O169">
        <v>20</v>
      </c>
      <c r="P169">
        <v>4174.2</v>
      </c>
      <c r="Q169">
        <v>3499.86</v>
      </c>
      <c r="R169">
        <v>674.34</v>
      </c>
      <c r="S169" t="s">
        <v>80</v>
      </c>
      <c r="T169" t="s">
        <v>140</v>
      </c>
      <c r="U169" t="s">
        <v>1277</v>
      </c>
      <c r="V169" t="s">
        <v>1278</v>
      </c>
      <c r="W169">
        <v>46</v>
      </c>
      <c r="X169" t="s">
        <v>53</v>
      </c>
      <c r="Y169">
        <v>0</v>
      </c>
    </row>
    <row r="170" spans="1:25" x14ac:dyDescent="0.35">
      <c r="A170" t="s">
        <v>1279</v>
      </c>
      <c r="B170" s="1">
        <v>45734</v>
      </c>
      <c r="C170" s="1">
        <v>45739</v>
      </c>
      <c r="D170" t="s">
        <v>1280</v>
      </c>
      <c r="E170" t="s">
        <v>1281</v>
      </c>
      <c r="F170" t="s">
        <v>95</v>
      </c>
      <c r="G170" t="s">
        <v>1282</v>
      </c>
      <c r="H170" t="s">
        <v>44</v>
      </c>
      <c r="I170" t="s">
        <v>45</v>
      </c>
      <c r="J170" t="s">
        <v>46</v>
      </c>
      <c r="K170" t="s">
        <v>662</v>
      </c>
      <c r="L170" t="s">
        <v>1283</v>
      </c>
      <c r="M170">
        <v>2</v>
      </c>
      <c r="N170">
        <v>2417</v>
      </c>
      <c r="O170">
        <v>10</v>
      </c>
      <c r="P170">
        <v>5025.6000000000004</v>
      </c>
      <c r="Q170">
        <v>4351.2299999999996</v>
      </c>
      <c r="R170">
        <v>674.37</v>
      </c>
      <c r="S170" t="s">
        <v>35</v>
      </c>
      <c r="T170" t="s">
        <v>89</v>
      </c>
      <c r="U170" t="s">
        <v>1284</v>
      </c>
      <c r="V170" t="s">
        <v>1285</v>
      </c>
      <c r="W170">
        <v>9</v>
      </c>
      <c r="X170" t="s">
        <v>39</v>
      </c>
      <c r="Y170">
        <v>46</v>
      </c>
    </row>
    <row r="171" spans="1:25" x14ac:dyDescent="0.35">
      <c r="A171" t="s">
        <v>1286</v>
      </c>
      <c r="B171" s="1">
        <v>45480</v>
      </c>
      <c r="C171" s="1">
        <v>45484</v>
      </c>
      <c r="D171" t="s">
        <v>1287</v>
      </c>
      <c r="E171" t="s">
        <v>1288</v>
      </c>
      <c r="F171" t="s">
        <v>57</v>
      </c>
      <c r="G171" t="s">
        <v>1289</v>
      </c>
      <c r="H171" t="s">
        <v>154</v>
      </c>
      <c r="I171" t="s">
        <v>137</v>
      </c>
      <c r="J171" t="s">
        <v>118</v>
      </c>
      <c r="K171" t="s">
        <v>190</v>
      </c>
      <c r="L171" t="s">
        <v>1290</v>
      </c>
      <c r="M171">
        <v>6</v>
      </c>
      <c r="N171">
        <v>1668</v>
      </c>
      <c r="O171">
        <v>20</v>
      </c>
      <c r="P171">
        <v>8681.4</v>
      </c>
      <c r="Q171">
        <v>8007.21</v>
      </c>
      <c r="R171">
        <v>674.19</v>
      </c>
      <c r="S171" t="s">
        <v>100</v>
      </c>
      <c r="T171" t="s">
        <v>89</v>
      </c>
      <c r="U171" t="s">
        <v>1291</v>
      </c>
      <c r="V171" t="s">
        <v>1292</v>
      </c>
      <c r="W171">
        <v>20</v>
      </c>
      <c r="X171" t="s">
        <v>53</v>
      </c>
      <c r="Y171">
        <v>0</v>
      </c>
    </row>
    <row r="172" spans="1:25" x14ac:dyDescent="0.35">
      <c r="A172" t="s">
        <v>1293</v>
      </c>
      <c r="B172" s="1">
        <v>45646</v>
      </c>
      <c r="C172" s="1">
        <v>45653</v>
      </c>
      <c r="D172" t="s">
        <v>1294</v>
      </c>
      <c r="E172" t="s">
        <v>1295</v>
      </c>
      <c r="F172" t="s">
        <v>95</v>
      </c>
      <c r="G172" t="s">
        <v>1296</v>
      </c>
      <c r="H172" t="s">
        <v>77</v>
      </c>
      <c r="I172" t="s">
        <v>45</v>
      </c>
      <c r="J172" t="s">
        <v>97</v>
      </c>
      <c r="K172" t="s">
        <v>155</v>
      </c>
      <c r="L172" t="s">
        <v>1297</v>
      </c>
      <c r="M172">
        <v>5</v>
      </c>
      <c r="N172">
        <v>676</v>
      </c>
      <c r="O172">
        <v>20</v>
      </c>
      <c r="P172">
        <v>3379</v>
      </c>
      <c r="Q172">
        <v>2704.74</v>
      </c>
      <c r="R172">
        <v>674.26</v>
      </c>
      <c r="S172" t="s">
        <v>100</v>
      </c>
      <c r="T172" t="s">
        <v>36</v>
      </c>
      <c r="U172" t="s">
        <v>1298</v>
      </c>
      <c r="V172" t="s">
        <v>1299</v>
      </c>
      <c r="W172">
        <v>13</v>
      </c>
      <c r="X172" t="s">
        <v>53</v>
      </c>
      <c r="Y172">
        <v>0</v>
      </c>
    </row>
    <row r="173" spans="1:25" x14ac:dyDescent="0.35">
      <c r="A173" t="s">
        <v>1300</v>
      </c>
      <c r="B173" s="1">
        <v>45243</v>
      </c>
      <c r="C173" s="1">
        <v>45247</v>
      </c>
      <c r="D173" t="s">
        <v>1301</v>
      </c>
      <c r="E173" t="s">
        <v>1302</v>
      </c>
      <c r="F173" t="s">
        <v>95</v>
      </c>
      <c r="G173" t="s">
        <v>1303</v>
      </c>
      <c r="H173" t="s">
        <v>172</v>
      </c>
      <c r="I173" t="s">
        <v>45</v>
      </c>
      <c r="J173" t="s">
        <v>118</v>
      </c>
      <c r="K173" t="s">
        <v>60</v>
      </c>
      <c r="L173" t="s">
        <v>1304</v>
      </c>
      <c r="M173">
        <v>5</v>
      </c>
      <c r="N173">
        <v>1467</v>
      </c>
      <c r="O173">
        <v>0</v>
      </c>
      <c r="P173">
        <v>8010</v>
      </c>
      <c r="Q173">
        <v>7335.9</v>
      </c>
      <c r="R173">
        <v>674.1</v>
      </c>
      <c r="S173" t="s">
        <v>49</v>
      </c>
      <c r="T173" t="s">
        <v>36</v>
      </c>
      <c r="U173" t="s">
        <v>1305</v>
      </c>
      <c r="V173" t="s">
        <v>1306</v>
      </c>
      <c r="W173">
        <v>0</v>
      </c>
      <c r="X173" t="s">
        <v>39</v>
      </c>
      <c r="Y173">
        <v>50</v>
      </c>
    </row>
    <row r="174" spans="1:25" x14ac:dyDescent="0.35">
      <c r="A174" t="s">
        <v>1307</v>
      </c>
      <c r="B174" s="1">
        <v>45722</v>
      </c>
      <c r="C174" s="1">
        <v>45725</v>
      </c>
      <c r="D174" t="s">
        <v>1308</v>
      </c>
      <c r="E174" t="s">
        <v>1309</v>
      </c>
      <c r="F174" t="s">
        <v>57</v>
      </c>
      <c r="G174" t="s">
        <v>1310</v>
      </c>
      <c r="H174" t="s">
        <v>68</v>
      </c>
      <c r="I174" t="s">
        <v>31</v>
      </c>
      <c r="J174" t="s">
        <v>46</v>
      </c>
      <c r="K174" t="s">
        <v>78</v>
      </c>
      <c r="L174" t="s">
        <v>1311</v>
      </c>
      <c r="M174">
        <v>10</v>
      </c>
      <c r="N174">
        <v>2938</v>
      </c>
      <c r="O174">
        <v>15</v>
      </c>
      <c r="P174">
        <v>25648</v>
      </c>
      <c r="Q174">
        <v>24973.81</v>
      </c>
      <c r="R174">
        <v>674.19</v>
      </c>
      <c r="S174" t="s">
        <v>35</v>
      </c>
      <c r="T174" t="s">
        <v>36</v>
      </c>
      <c r="U174" t="s">
        <v>1312</v>
      </c>
      <c r="V174" t="s">
        <v>1313</v>
      </c>
      <c r="W174">
        <v>44</v>
      </c>
      <c r="X174" t="s">
        <v>53</v>
      </c>
      <c r="Y174">
        <v>0</v>
      </c>
    </row>
    <row r="175" spans="1:25" x14ac:dyDescent="0.35">
      <c r="A175" t="s">
        <v>1314</v>
      </c>
      <c r="B175" s="1">
        <v>45660</v>
      </c>
      <c r="C175" s="1">
        <v>45666</v>
      </c>
      <c r="D175" t="s">
        <v>1315</v>
      </c>
      <c r="E175" t="s">
        <v>1316</v>
      </c>
      <c r="F175" t="s">
        <v>95</v>
      </c>
      <c r="G175" t="s">
        <v>1317</v>
      </c>
      <c r="H175" t="s">
        <v>136</v>
      </c>
      <c r="I175" t="s">
        <v>137</v>
      </c>
      <c r="J175" t="s">
        <v>97</v>
      </c>
      <c r="K175" t="s">
        <v>524</v>
      </c>
      <c r="L175" t="s">
        <v>1318</v>
      </c>
      <c r="M175">
        <v>8</v>
      </c>
      <c r="N175">
        <v>2224</v>
      </c>
      <c r="O175">
        <v>20</v>
      </c>
      <c r="P175">
        <v>14908.6</v>
      </c>
      <c r="Q175">
        <v>14234.28</v>
      </c>
      <c r="R175">
        <v>674.32</v>
      </c>
      <c r="S175" t="s">
        <v>35</v>
      </c>
      <c r="T175" t="s">
        <v>50</v>
      </c>
      <c r="U175" t="s">
        <v>1319</v>
      </c>
      <c r="V175" t="s">
        <v>1320</v>
      </c>
      <c r="W175">
        <v>19</v>
      </c>
      <c r="X175" t="s">
        <v>53</v>
      </c>
      <c r="Y175">
        <v>0</v>
      </c>
    </row>
    <row r="176" spans="1:25" x14ac:dyDescent="0.35">
      <c r="A176" t="s">
        <v>1321</v>
      </c>
      <c r="B176" s="1">
        <v>45922</v>
      </c>
      <c r="C176" s="1">
        <v>45926</v>
      </c>
      <c r="D176" t="s">
        <v>1322</v>
      </c>
      <c r="E176" t="s">
        <v>1323</v>
      </c>
      <c r="F176" t="s">
        <v>95</v>
      </c>
      <c r="G176" t="s">
        <v>1324</v>
      </c>
      <c r="H176" t="s">
        <v>206</v>
      </c>
      <c r="I176" t="s">
        <v>31</v>
      </c>
      <c r="J176" t="s">
        <v>32</v>
      </c>
      <c r="K176" t="s">
        <v>119</v>
      </c>
      <c r="L176" t="s">
        <v>1325</v>
      </c>
      <c r="M176">
        <v>4</v>
      </c>
      <c r="N176">
        <v>3718</v>
      </c>
      <c r="O176">
        <v>0</v>
      </c>
      <c r="P176">
        <v>15547</v>
      </c>
      <c r="Q176">
        <v>14872.69</v>
      </c>
      <c r="R176">
        <v>674.31</v>
      </c>
      <c r="S176" t="s">
        <v>80</v>
      </c>
      <c r="T176" t="s">
        <v>50</v>
      </c>
      <c r="U176" t="s">
        <v>1326</v>
      </c>
      <c r="V176" t="s">
        <v>1327</v>
      </c>
      <c r="W176">
        <v>25</v>
      </c>
      <c r="X176" t="s">
        <v>53</v>
      </c>
      <c r="Y176">
        <v>0</v>
      </c>
    </row>
    <row r="177" spans="1:25" x14ac:dyDescent="0.35">
      <c r="A177" t="s">
        <v>1328</v>
      </c>
      <c r="B177" s="1">
        <v>45635</v>
      </c>
      <c r="C177" s="1">
        <v>45639</v>
      </c>
      <c r="D177" t="s">
        <v>1329</v>
      </c>
      <c r="E177" t="s">
        <v>1330</v>
      </c>
      <c r="F177" t="s">
        <v>57</v>
      </c>
      <c r="G177" t="s">
        <v>1331</v>
      </c>
      <c r="H177" t="s">
        <v>77</v>
      </c>
      <c r="I177" t="s">
        <v>45</v>
      </c>
      <c r="J177" t="s">
        <v>97</v>
      </c>
      <c r="K177" t="s">
        <v>927</v>
      </c>
      <c r="L177" t="s">
        <v>1332</v>
      </c>
      <c r="M177">
        <v>3</v>
      </c>
      <c r="N177">
        <v>2509</v>
      </c>
      <c r="O177">
        <v>10</v>
      </c>
      <c r="P177">
        <v>7449.3</v>
      </c>
      <c r="Q177">
        <v>6775.04</v>
      </c>
      <c r="R177">
        <v>674.26</v>
      </c>
      <c r="S177" t="s">
        <v>80</v>
      </c>
      <c r="T177" t="s">
        <v>50</v>
      </c>
      <c r="U177" t="s">
        <v>1333</v>
      </c>
      <c r="V177" t="s">
        <v>1334</v>
      </c>
      <c r="W177">
        <v>34</v>
      </c>
      <c r="X177" t="s">
        <v>53</v>
      </c>
      <c r="Y177">
        <v>0</v>
      </c>
    </row>
    <row r="178" spans="1:25" x14ac:dyDescent="0.35">
      <c r="A178" t="s">
        <v>1335</v>
      </c>
      <c r="B178" s="1">
        <v>45359</v>
      </c>
      <c r="C178" s="1">
        <v>45366</v>
      </c>
      <c r="D178" t="s">
        <v>1336</v>
      </c>
      <c r="E178" t="s">
        <v>1337</v>
      </c>
      <c r="F178" t="s">
        <v>95</v>
      </c>
      <c r="G178" t="s">
        <v>1338</v>
      </c>
      <c r="H178" t="s">
        <v>189</v>
      </c>
      <c r="I178" t="s">
        <v>108</v>
      </c>
      <c r="J178" t="s">
        <v>118</v>
      </c>
      <c r="K178" t="s">
        <v>1088</v>
      </c>
      <c r="L178" t="s">
        <v>1339</v>
      </c>
      <c r="M178">
        <v>3</v>
      </c>
      <c r="N178">
        <v>4781</v>
      </c>
      <c r="O178">
        <v>0</v>
      </c>
      <c r="P178">
        <v>15018</v>
      </c>
      <c r="Q178">
        <v>14343.88</v>
      </c>
      <c r="R178">
        <v>674.12</v>
      </c>
      <c r="S178" t="s">
        <v>80</v>
      </c>
      <c r="T178" t="s">
        <v>50</v>
      </c>
      <c r="U178" t="s">
        <v>1340</v>
      </c>
      <c r="V178" t="s">
        <v>1341</v>
      </c>
      <c r="W178">
        <v>2</v>
      </c>
      <c r="X178" t="s">
        <v>39</v>
      </c>
      <c r="Y178">
        <v>20</v>
      </c>
    </row>
    <row r="179" spans="1:25" x14ac:dyDescent="0.35">
      <c r="A179" t="s">
        <v>1342</v>
      </c>
      <c r="B179" s="1">
        <v>45487</v>
      </c>
      <c r="C179" s="1">
        <v>45491</v>
      </c>
      <c r="D179" t="s">
        <v>1343</v>
      </c>
      <c r="E179" t="s">
        <v>1344</v>
      </c>
      <c r="F179" t="s">
        <v>95</v>
      </c>
      <c r="G179" t="s">
        <v>1345</v>
      </c>
      <c r="H179" t="s">
        <v>364</v>
      </c>
      <c r="I179" t="s">
        <v>137</v>
      </c>
      <c r="J179" t="s">
        <v>118</v>
      </c>
      <c r="K179" t="s">
        <v>222</v>
      </c>
      <c r="L179" t="s">
        <v>1346</v>
      </c>
      <c r="M179">
        <v>8</v>
      </c>
      <c r="N179">
        <v>583</v>
      </c>
      <c r="O179">
        <v>15</v>
      </c>
      <c r="P179">
        <v>4639.3999999999996</v>
      </c>
      <c r="Q179">
        <v>3965.16</v>
      </c>
      <c r="R179">
        <v>674.24</v>
      </c>
      <c r="S179" t="s">
        <v>100</v>
      </c>
      <c r="T179" t="s">
        <v>50</v>
      </c>
      <c r="U179" t="s">
        <v>1347</v>
      </c>
      <c r="V179" t="s">
        <v>1348</v>
      </c>
      <c r="W179">
        <v>44</v>
      </c>
      <c r="X179" t="s">
        <v>53</v>
      </c>
      <c r="Y179">
        <v>0</v>
      </c>
    </row>
    <row r="180" spans="1:25" x14ac:dyDescent="0.35">
      <c r="A180" t="s">
        <v>1349</v>
      </c>
      <c r="B180" s="1">
        <v>45924</v>
      </c>
      <c r="C180" s="1">
        <v>45930</v>
      </c>
      <c r="D180" t="s">
        <v>1350</v>
      </c>
      <c r="E180" t="s">
        <v>1351</v>
      </c>
      <c r="F180" t="s">
        <v>28</v>
      </c>
      <c r="G180" t="s">
        <v>1352</v>
      </c>
      <c r="H180" t="s">
        <v>117</v>
      </c>
      <c r="I180" t="s">
        <v>108</v>
      </c>
      <c r="J180" t="s">
        <v>97</v>
      </c>
      <c r="K180" t="s">
        <v>691</v>
      </c>
      <c r="L180" t="s">
        <v>1353</v>
      </c>
      <c r="M180">
        <v>1</v>
      </c>
      <c r="N180">
        <v>2448</v>
      </c>
      <c r="O180">
        <v>0</v>
      </c>
      <c r="P180">
        <v>3123</v>
      </c>
      <c r="Q180">
        <v>2448.64</v>
      </c>
      <c r="R180">
        <v>674.36</v>
      </c>
      <c r="S180" t="s">
        <v>80</v>
      </c>
      <c r="T180" t="s">
        <v>50</v>
      </c>
      <c r="U180" t="s">
        <v>1354</v>
      </c>
      <c r="V180" t="s">
        <v>1355</v>
      </c>
      <c r="W180">
        <v>37</v>
      </c>
      <c r="X180" t="s">
        <v>53</v>
      </c>
      <c r="Y180">
        <v>0</v>
      </c>
    </row>
    <row r="181" spans="1:25" x14ac:dyDescent="0.35">
      <c r="A181" t="s">
        <v>1356</v>
      </c>
      <c r="B181" s="1">
        <v>45476</v>
      </c>
      <c r="C181" s="1">
        <v>45477</v>
      </c>
      <c r="D181" t="s">
        <v>1357</v>
      </c>
      <c r="E181" t="s">
        <v>1358</v>
      </c>
      <c r="F181" t="s">
        <v>57</v>
      </c>
      <c r="G181" t="s">
        <v>1359</v>
      </c>
      <c r="H181" t="s">
        <v>172</v>
      </c>
      <c r="I181" t="s">
        <v>45</v>
      </c>
      <c r="J181" t="s">
        <v>32</v>
      </c>
      <c r="K181" t="s">
        <v>190</v>
      </c>
      <c r="L181" t="s">
        <v>1360</v>
      </c>
      <c r="M181">
        <v>5</v>
      </c>
      <c r="N181">
        <v>766</v>
      </c>
      <c r="O181">
        <v>20</v>
      </c>
      <c r="P181">
        <v>3739</v>
      </c>
      <c r="Q181">
        <v>3064.82</v>
      </c>
      <c r="R181">
        <v>674.18</v>
      </c>
      <c r="S181" t="s">
        <v>80</v>
      </c>
      <c r="T181" t="s">
        <v>36</v>
      </c>
      <c r="U181" t="s">
        <v>1361</v>
      </c>
      <c r="V181" t="s">
        <v>1362</v>
      </c>
      <c r="W181">
        <v>8</v>
      </c>
      <c r="X181" t="s">
        <v>39</v>
      </c>
      <c r="Y181">
        <v>37</v>
      </c>
    </row>
    <row r="182" spans="1:25" x14ac:dyDescent="0.35">
      <c r="A182" t="s">
        <v>1363</v>
      </c>
      <c r="B182" s="1">
        <v>45470</v>
      </c>
      <c r="C182" s="1">
        <v>45477</v>
      </c>
      <c r="D182" t="s">
        <v>354</v>
      </c>
      <c r="E182" t="s">
        <v>1364</v>
      </c>
      <c r="F182" t="s">
        <v>95</v>
      </c>
      <c r="G182" t="s">
        <v>1365</v>
      </c>
      <c r="H182" t="s">
        <v>136</v>
      </c>
      <c r="I182" t="s">
        <v>137</v>
      </c>
      <c r="J182" t="s">
        <v>46</v>
      </c>
      <c r="K182" t="s">
        <v>109</v>
      </c>
      <c r="L182" t="s">
        <v>1366</v>
      </c>
      <c r="M182">
        <v>1</v>
      </c>
      <c r="N182">
        <v>4215</v>
      </c>
      <c r="O182">
        <v>20</v>
      </c>
      <c r="P182">
        <v>4047</v>
      </c>
      <c r="Q182">
        <v>3372.8</v>
      </c>
      <c r="R182">
        <v>674.2</v>
      </c>
      <c r="S182" t="s">
        <v>80</v>
      </c>
      <c r="T182" t="s">
        <v>50</v>
      </c>
      <c r="U182" t="s">
        <v>1367</v>
      </c>
      <c r="V182" t="s">
        <v>1368</v>
      </c>
      <c r="W182">
        <v>34</v>
      </c>
      <c r="X182" t="s">
        <v>53</v>
      </c>
      <c r="Y182">
        <v>0</v>
      </c>
    </row>
    <row r="183" spans="1:25" x14ac:dyDescent="0.35">
      <c r="A183" t="s">
        <v>1369</v>
      </c>
      <c r="B183" s="1">
        <v>45853</v>
      </c>
      <c r="C183" s="1">
        <v>45856</v>
      </c>
      <c r="D183" t="s">
        <v>1370</v>
      </c>
      <c r="E183" t="s">
        <v>1371</v>
      </c>
      <c r="F183" t="s">
        <v>57</v>
      </c>
      <c r="G183" t="s">
        <v>1372</v>
      </c>
      <c r="H183" t="s">
        <v>206</v>
      </c>
      <c r="I183" t="s">
        <v>31</v>
      </c>
      <c r="J183" t="s">
        <v>118</v>
      </c>
      <c r="K183" t="s">
        <v>164</v>
      </c>
      <c r="L183" t="s">
        <v>1373</v>
      </c>
      <c r="M183">
        <v>4</v>
      </c>
      <c r="N183">
        <v>993</v>
      </c>
      <c r="O183">
        <v>5</v>
      </c>
      <c r="P183">
        <v>4448.3999999999996</v>
      </c>
      <c r="Q183">
        <v>3774.2</v>
      </c>
      <c r="R183">
        <v>674.2</v>
      </c>
      <c r="S183" t="s">
        <v>100</v>
      </c>
      <c r="T183" t="s">
        <v>89</v>
      </c>
      <c r="U183" t="s">
        <v>1374</v>
      </c>
      <c r="V183" t="s">
        <v>1375</v>
      </c>
      <c r="W183">
        <v>1</v>
      </c>
      <c r="X183" t="s">
        <v>39</v>
      </c>
      <c r="Y183">
        <v>37</v>
      </c>
    </row>
    <row r="184" spans="1:25" x14ac:dyDescent="0.35">
      <c r="A184" t="s">
        <v>1376</v>
      </c>
      <c r="B184" s="1">
        <v>45752</v>
      </c>
      <c r="C184" s="1">
        <v>45759</v>
      </c>
      <c r="D184" t="s">
        <v>1377</v>
      </c>
      <c r="E184" t="s">
        <v>1378</v>
      </c>
      <c r="F184" t="s">
        <v>95</v>
      </c>
      <c r="G184" t="s">
        <v>1379</v>
      </c>
      <c r="H184" t="s">
        <v>77</v>
      </c>
      <c r="I184" t="s">
        <v>45</v>
      </c>
      <c r="J184" t="s">
        <v>46</v>
      </c>
      <c r="K184" t="s">
        <v>927</v>
      </c>
      <c r="L184" t="s">
        <v>1380</v>
      </c>
      <c r="M184">
        <v>1</v>
      </c>
      <c r="N184">
        <v>3584</v>
      </c>
      <c r="O184">
        <v>5</v>
      </c>
      <c r="P184">
        <v>4079.8</v>
      </c>
      <c r="Q184">
        <v>3405.48</v>
      </c>
      <c r="R184">
        <v>674.32</v>
      </c>
      <c r="S184" t="s">
        <v>35</v>
      </c>
      <c r="T184" t="s">
        <v>50</v>
      </c>
      <c r="U184" t="s">
        <v>1381</v>
      </c>
      <c r="V184" t="s">
        <v>1382</v>
      </c>
      <c r="W184">
        <v>28</v>
      </c>
      <c r="X184" t="s">
        <v>53</v>
      </c>
      <c r="Y184">
        <v>0</v>
      </c>
    </row>
    <row r="185" spans="1:25" x14ac:dyDescent="0.35">
      <c r="A185" t="s">
        <v>1383</v>
      </c>
      <c r="B185" s="1">
        <v>45335</v>
      </c>
      <c r="C185" s="1">
        <v>45339</v>
      </c>
      <c r="D185" t="s">
        <v>1384</v>
      </c>
      <c r="E185" t="s">
        <v>1385</v>
      </c>
      <c r="F185" t="s">
        <v>95</v>
      </c>
      <c r="G185" t="s">
        <v>1386</v>
      </c>
      <c r="H185" t="s">
        <v>283</v>
      </c>
      <c r="I185" t="s">
        <v>45</v>
      </c>
      <c r="J185" t="s">
        <v>46</v>
      </c>
      <c r="K185" t="s">
        <v>927</v>
      </c>
      <c r="L185" t="s">
        <v>1387</v>
      </c>
      <c r="M185">
        <v>5</v>
      </c>
      <c r="N185">
        <v>960</v>
      </c>
      <c r="O185">
        <v>10</v>
      </c>
      <c r="P185">
        <v>4995</v>
      </c>
      <c r="Q185">
        <v>4320.88</v>
      </c>
      <c r="R185">
        <v>674.12</v>
      </c>
      <c r="S185" t="s">
        <v>49</v>
      </c>
      <c r="T185" t="s">
        <v>50</v>
      </c>
      <c r="U185" t="s">
        <v>1388</v>
      </c>
      <c r="V185" t="s">
        <v>1389</v>
      </c>
      <c r="W185">
        <v>4</v>
      </c>
      <c r="X185" t="s">
        <v>39</v>
      </c>
      <c r="Y185">
        <v>20</v>
      </c>
    </row>
    <row r="186" spans="1:25" x14ac:dyDescent="0.35">
      <c r="A186" t="s">
        <v>1390</v>
      </c>
      <c r="B186" s="1">
        <v>45811</v>
      </c>
      <c r="C186" s="1">
        <v>45816</v>
      </c>
      <c r="D186" t="s">
        <v>1391</v>
      </c>
      <c r="E186" t="s">
        <v>1392</v>
      </c>
      <c r="F186" t="s">
        <v>28</v>
      </c>
      <c r="G186" t="s">
        <v>1393</v>
      </c>
      <c r="H186" t="s">
        <v>172</v>
      </c>
      <c r="I186" t="s">
        <v>45</v>
      </c>
      <c r="J186" t="s">
        <v>97</v>
      </c>
      <c r="K186" t="s">
        <v>312</v>
      </c>
      <c r="L186" t="s">
        <v>1394</v>
      </c>
      <c r="M186">
        <v>1</v>
      </c>
      <c r="N186">
        <v>3959</v>
      </c>
      <c r="O186">
        <v>5</v>
      </c>
      <c r="P186">
        <v>4436.05</v>
      </c>
      <c r="Q186">
        <v>3761.9</v>
      </c>
      <c r="R186">
        <v>674.15</v>
      </c>
      <c r="S186" t="s">
        <v>80</v>
      </c>
      <c r="T186" t="s">
        <v>36</v>
      </c>
      <c r="U186" t="s">
        <v>1395</v>
      </c>
      <c r="V186" t="s">
        <v>1396</v>
      </c>
      <c r="W186">
        <v>29</v>
      </c>
      <c r="X186" t="s">
        <v>53</v>
      </c>
      <c r="Y186">
        <v>0</v>
      </c>
    </row>
    <row r="187" spans="1:25" x14ac:dyDescent="0.35">
      <c r="A187" t="s">
        <v>1397</v>
      </c>
      <c r="B187" s="1">
        <v>45749</v>
      </c>
      <c r="C187" s="1">
        <v>45750</v>
      </c>
      <c r="D187" t="s">
        <v>1398</v>
      </c>
      <c r="E187" t="s">
        <v>1399</v>
      </c>
      <c r="F187" t="s">
        <v>57</v>
      </c>
      <c r="G187" t="s">
        <v>1400</v>
      </c>
      <c r="H187" t="s">
        <v>189</v>
      </c>
      <c r="I187" t="s">
        <v>108</v>
      </c>
      <c r="J187" t="s">
        <v>32</v>
      </c>
      <c r="K187" t="s">
        <v>400</v>
      </c>
      <c r="L187" t="s">
        <v>1401</v>
      </c>
      <c r="M187">
        <v>3</v>
      </c>
      <c r="N187">
        <v>3173</v>
      </c>
      <c r="O187">
        <v>15</v>
      </c>
      <c r="P187">
        <v>8766.15</v>
      </c>
      <c r="Q187">
        <v>8091.83</v>
      </c>
      <c r="R187">
        <v>674.32</v>
      </c>
      <c r="S187" t="s">
        <v>80</v>
      </c>
      <c r="T187" t="s">
        <v>50</v>
      </c>
      <c r="U187" t="s">
        <v>1402</v>
      </c>
      <c r="V187" t="s">
        <v>1403</v>
      </c>
      <c r="W187">
        <v>49</v>
      </c>
      <c r="X187" t="s">
        <v>53</v>
      </c>
      <c r="Y187">
        <v>0</v>
      </c>
    </row>
    <row r="188" spans="1:25" x14ac:dyDescent="0.35">
      <c r="A188" t="s">
        <v>1404</v>
      </c>
      <c r="B188" s="1">
        <v>45717</v>
      </c>
      <c r="C188" s="1">
        <v>45722</v>
      </c>
      <c r="D188" t="s">
        <v>1405</v>
      </c>
      <c r="E188" t="s">
        <v>1406</v>
      </c>
      <c r="F188" t="s">
        <v>95</v>
      </c>
      <c r="G188" t="s">
        <v>1407</v>
      </c>
      <c r="H188" t="s">
        <v>172</v>
      </c>
      <c r="I188" t="s">
        <v>45</v>
      </c>
      <c r="J188" t="s">
        <v>118</v>
      </c>
      <c r="K188" t="s">
        <v>691</v>
      </c>
      <c r="L188" t="s">
        <v>1408</v>
      </c>
      <c r="M188">
        <v>4</v>
      </c>
      <c r="N188">
        <v>1891</v>
      </c>
      <c r="O188">
        <v>5</v>
      </c>
      <c r="P188">
        <v>7860.8</v>
      </c>
      <c r="Q188">
        <v>7186.43</v>
      </c>
      <c r="R188">
        <v>674.37</v>
      </c>
      <c r="S188" t="s">
        <v>49</v>
      </c>
      <c r="T188" t="s">
        <v>140</v>
      </c>
      <c r="U188" t="s">
        <v>1409</v>
      </c>
      <c r="V188" t="s">
        <v>1410</v>
      </c>
      <c r="W188">
        <v>39</v>
      </c>
      <c r="X188" t="s">
        <v>53</v>
      </c>
      <c r="Y188">
        <v>0</v>
      </c>
    </row>
    <row r="189" spans="1:25" x14ac:dyDescent="0.35">
      <c r="A189" t="s">
        <v>1411</v>
      </c>
      <c r="B189" s="1">
        <v>45952</v>
      </c>
      <c r="C189" s="1">
        <v>45955</v>
      </c>
      <c r="D189" t="s">
        <v>1412</v>
      </c>
      <c r="E189" t="s">
        <v>1413</v>
      </c>
      <c r="F189" t="s">
        <v>95</v>
      </c>
      <c r="G189" t="s">
        <v>1414</v>
      </c>
      <c r="H189" t="s">
        <v>198</v>
      </c>
      <c r="I189" t="s">
        <v>31</v>
      </c>
      <c r="J189" t="s">
        <v>118</v>
      </c>
      <c r="K189" t="s">
        <v>786</v>
      </c>
      <c r="L189" t="s">
        <v>1415</v>
      </c>
      <c r="M189">
        <v>5</v>
      </c>
      <c r="N189">
        <v>1698</v>
      </c>
      <c r="O189">
        <v>20</v>
      </c>
      <c r="P189">
        <v>7467</v>
      </c>
      <c r="Q189">
        <v>6792.79</v>
      </c>
      <c r="R189">
        <v>674.21</v>
      </c>
      <c r="S189" t="s">
        <v>49</v>
      </c>
      <c r="T189" t="s">
        <v>89</v>
      </c>
      <c r="U189" t="s">
        <v>1416</v>
      </c>
      <c r="V189" t="s">
        <v>1417</v>
      </c>
      <c r="W189">
        <v>27</v>
      </c>
      <c r="X189" t="s">
        <v>53</v>
      </c>
      <c r="Y189">
        <v>0</v>
      </c>
    </row>
    <row r="190" spans="1:25" x14ac:dyDescent="0.35">
      <c r="A190" t="s">
        <v>1418</v>
      </c>
      <c r="B190" s="1">
        <v>45805</v>
      </c>
      <c r="C190" s="1">
        <v>45811</v>
      </c>
      <c r="D190" t="s">
        <v>1419</v>
      </c>
      <c r="E190" t="s">
        <v>1420</v>
      </c>
      <c r="F190" t="s">
        <v>95</v>
      </c>
      <c r="G190" t="s">
        <v>1421</v>
      </c>
      <c r="H190" t="s">
        <v>59</v>
      </c>
      <c r="I190" t="s">
        <v>31</v>
      </c>
      <c r="J190" t="s">
        <v>97</v>
      </c>
      <c r="K190" t="s">
        <v>524</v>
      </c>
      <c r="L190" t="s">
        <v>1422</v>
      </c>
      <c r="M190">
        <v>9</v>
      </c>
      <c r="N190">
        <v>991</v>
      </c>
      <c r="O190">
        <v>0</v>
      </c>
      <c r="P190">
        <v>9594</v>
      </c>
      <c r="Q190">
        <v>8919.7099999999991</v>
      </c>
      <c r="R190">
        <v>674.29</v>
      </c>
      <c r="S190" t="s">
        <v>80</v>
      </c>
      <c r="T190" t="s">
        <v>89</v>
      </c>
      <c r="U190" t="s">
        <v>1423</v>
      </c>
      <c r="V190" t="s">
        <v>1424</v>
      </c>
      <c r="W190">
        <v>37</v>
      </c>
      <c r="X190" t="s">
        <v>53</v>
      </c>
      <c r="Y190">
        <v>0</v>
      </c>
    </row>
    <row r="191" spans="1:25" x14ac:dyDescent="0.35">
      <c r="A191" t="s">
        <v>1425</v>
      </c>
      <c r="B191" s="1">
        <v>45746</v>
      </c>
      <c r="C191" s="1">
        <v>45750</v>
      </c>
      <c r="D191" t="s">
        <v>1426</v>
      </c>
      <c r="E191" t="s">
        <v>1427</v>
      </c>
      <c r="F191" t="s">
        <v>57</v>
      </c>
      <c r="G191" t="s">
        <v>1428</v>
      </c>
      <c r="H191" t="s">
        <v>77</v>
      </c>
      <c r="I191" t="s">
        <v>45</v>
      </c>
      <c r="J191" t="s">
        <v>97</v>
      </c>
      <c r="K191" t="s">
        <v>207</v>
      </c>
      <c r="L191" t="s">
        <v>1429</v>
      </c>
      <c r="M191">
        <v>9</v>
      </c>
      <c r="N191">
        <v>320</v>
      </c>
      <c r="O191">
        <v>5</v>
      </c>
      <c r="P191">
        <v>3411</v>
      </c>
      <c r="Q191">
        <v>2736.66</v>
      </c>
      <c r="R191">
        <v>674.34</v>
      </c>
      <c r="S191" t="s">
        <v>35</v>
      </c>
      <c r="T191" t="s">
        <v>89</v>
      </c>
      <c r="U191" t="s">
        <v>1430</v>
      </c>
      <c r="V191" t="s">
        <v>1431</v>
      </c>
      <c r="W191">
        <v>12</v>
      </c>
      <c r="X191" t="s">
        <v>53</v>
      </c>
      <c r="Y191">
        <v>0</v>
      </c>
    </row>
    <row r="192" spans="1:25" x14ac:dyDescent="0.35">
      <c r="A192" t="s">
        <v>1432</v>
      </c>
      <c r="B192" s="1">
        <v>45638</v>
      </c>
      <c r="C192" s="1">
        <v>45641</v>
      </c>
      <c r="D192" t="s">
        <v>1433</v>
      </c>
      <c r="E192" t="s">
        <v>1434</v>
      </c>
      <c r="F192" t="s">
        <v>95</v>
      </c>
      <c r="G192" t="s">
        <v>1435</v>
      </c>
      <c r="H192" t="s">
        <v>77</v>
      </c>
      <c r="I192" t="s">
        <v>45</v>
      </c>
      <c r="J192" t="s">
        <v>97</v>
      </c>
      <c r="K192" t="s">
        <v>970</v>
      </c>
      <c r="L192" t="s">
        <v>1436</v>
      </c>
      <c r="M192">
        <v>7</v>
      </c>
      <c r="N192">
        <v>397</v>
      </c>
      <c r="O192">
        <v>0</v>
      </c>
      <c r="P192">
        <v>3454</v>
      </c>
      <c r="Q192">
        <v>2779.83</v>
      </c>
      <c r="R192">
        <v>674.17</v>
      </c>
      <c r="S192" t="s">
        <v>49</v>
      </c>
      <c r="T192" t="s">
        <v>36</v>
      </c>
      <c r="U192" t="s">
        <v>1437</v>
      </c>
      <c r="V192" t="s">
        <v>1438</v>
      </c>
      <c r="W192">
        <v>27</v>
      </c>
      <c r="X192" t="s">
        <v>53</v>
      </c>
      <c r="Y192">
        <v>0</v>
      </c>
    </row>
    <row r="193" spans="1:25" x14ac:dyDescent="0.35">
      <c r="A193" t="s">
        <v>1439</v>
      </c>
      <c r="B193" s="1">
        <v>45721</v>
      </c>
      <c r="C193" s="1">
        <v>45726</v>
      </c>
      <c r="D193" t="s">
        <v>1440</v>
      </c>
      <c r="E193" t="s">
        <v>1441</v>
      </c>
      <c r="F193" t="s">
        <v>28</v>
      </c>
      <c r="G193" t="s">
        <v>1442</v>
      </c>
      <c r="H193" t="s">
        <v>206</v>
      </c>
      <c r="I193" t="s">
        <v>31</v>
      </c>
      <c r="J193" t="s">
        <v>46</v>
      </c>
      <c r="K193" t="s">
        <v>312</v>
      </c>
      <c r="L193" t="s">
        <v>1443</v>
      </c>
      <c r="M193">
        <v>8</v>
      </c>
      <c r="N193">
        <v>3231</v>
      </c>
      <c r="O193">
        <v>15</v>
      </c>
      <c r="P193">
        <v>22645.8</v>
      </c>
      <c r="Q193">
        <v>21971.48</v>
      </c>
      <c r="R193">
        <v>674.32</v>
      </c>
      <c r="S193" t="s">
        <v>100</v>
      </c>
      <c r="T193" t="s">
        <v>36</v>
      </c>
      <c r="U193" t="s">
        <v>1444</v>
      </c>
      <c r="V193" t="s">
        <v>1445</v>
      </c>
      <c r="W193">
        <v>37</v>
      </c>
      <c r="X193" t="s">
        <v>53</v>
      </c>
      <c r="Y193">
        <v>0</v>
      </c>
    </row>
    <row r="194" spans="1:25" x14ac:dyDescent="0.35">
      <c r="A194" t="s">
        <v>1446</v>
      </c>
      <c r="B194" s="1">
        <v>45858</v>
      </c>
      <c r="C194" s="1">
        <v>45860</v>
      </c>
      <c r="D194" t="s">
        <v>1447</v>
      </c>
      <c r="E194" t="s">
        <v>1448</v>
      </c>
      <c r="F194" t="s">
        <v>95</v>
      </c>
      <c r="G194" t="s">
        <v>1449</v>
      </c>
      <c r="H194" t="s">
        <v>127</v>
      </c>
      <c r="I194" t="s">
        <v>45</v>
      </c>
      <c r="J194" t="s">
        <v>97</v>
      </c>
      <c r="K194" t="s">
        <v>128</v>
      </c>
      <c r="L194" t="s">
        <v>1450</v>
      </c>
      <c r="M194">
        <v>10</v>
      </c>
      <c r="N194">
        <v>2366</v>
      </c>
      <c r="O194">
        <v>10</v>
      </c>
      <c r="P194">
        <v>21969</v>
      </c>
      <c r="Q194">
        <v>21294.73</v>
      </c>
      <c r="R194">
        <v>674.27</v>
      </c>
      <c r="S194" t="s">
        <v>100</v>
      </c>
      <c r="T194" t="s">
        <v>89</v>
      </c>
      <c r="U194" t="s">
        <v>1451</v>
      </c>
      <c r="V194" t="s">
        <v>1452</v>
      </c>
      <c r="W194">
        <v>25</v>
      </c>
      <c r="X194" t="s">
        <v>53</v>
      </c>
      <c r="Y194">
        <v>0</v>
      </c>
    </row>
    <row r="195" spans="1:25" x14ac:dyDescent="0.35">
      <c r="A195" t="s">
        <v>1453</v>
      </c>
      <c r="B195" s="1">
        <v>45583</v>
      </c>
      <c r="C195" s="1">
        <v>45590</v>
      </c>
      <c r="D195" t="s">
        <v>989</v>
      </c>
      <c r="E195" t="s">
        <v>1454</v>
      </c>
      <c r="F195" t="s">
        <v>57</v>
      </c>
      <c r="G195" t="s">
        <v>1455</v>
      </c>
      <c r="H195" t="s">
        <v>77</v>
      </c>
      <c r="I195" t="s">
        <v>45</v>
      </c>
      <c r="J195" t="s">
        <v>97</v>
      </c>
      <c r="K195" t="s">
        <v>87</v>
      </c>
      <c r="L195" t="s">
        <v>1456</v>
      </c>
      <c r="M195">
        <v>10</v>
      </c>
      <c r="N195">
        <v>2398</v>
      </c>
      <c r="O195">
        <v>5</v>
      </c>
      <c r="P195">
        <v>23456</v>
      </c>
      <c r="Q195">
        <v>22781.72</v>
      </c>
      <c r="R195">
        <v>674.28</v>
      </c>
      <c r="S195" t="s">
        <v>100</v>
      </c>
      <c r="T195" t="s">
        <v>36</v>
      </c>
      <c r="U195" t="s">
        <v>1457</v>
      </c>
      <c r="V195" t="s">
        <v>1458</v>
      </c>
      <c r="W195">
        <v>31</v>
      </c>
      <c r="X195" t="s">
        <v>53</v>
      </c>
      <c r="Y195">
        <v>0</v>
      </c>
    </row>
    <row r="196" spans="1:25" x14ac:dyDescent="0.35">
      <c r="A196" t="s">
        <v>1459</v>
      </c>
      <c r="B196" s="1">
        <v>45501</v>
      </c>
      <c r="C196" s="1">
        <v>45503</v>
      </c>
      <c r="D196" t="s">
        <v>1460</v>
      </c>
      <c r="E196" t="s">
        <v>1461</v>
      </c>
      <c r="F196" t="s">
        <v>57</v>
      </c>
      <c r="G196" t="s">
        <v>1462</v>
      </c>
      <c r="H196" t="s">
        <v>44</v>
      </c>
      <c r="I196" t="s">
        <v>45</v>
      </c>
      <c r="J196" t="s">
        <v>32</v>
      </c>
      <c r="K196" t="s">
        <v>349</v>
      </c>
      <c r="L196" t="s">
        <v>1463</v>
      </c>
      <c r="M196">
        <v>7</v>
      </c>
      <c r="N196">
        <v>785</v>
      </c>
      <c r="O196">
        <v>0</v>
      </c>
      <c r="P196">
        <v>6170</v>
      </c>
      <c r="Q196">
        <v>5495.84</v>
      </c>
      <c r="R196">
        <v>674.16</v>
      </c>
      <c r="S196" t="s">
        <v>100</v>
      </c>
      <c r="T196" t="s">
        <v>50</v>
      </c>
      <c r="U196" t="s">
        <v>1464</v>
      </c>
      <c r="V196" t="s">
        <v>1465</v>
      </c>
      <c r="W196">
        <v>48</v>
      </c>
      <c r="X196" t="s">
        <v>53</v>
      </c>
      <c r="Y196">
        <v>0</v>
      </c>
    </row>
    <row r="197" spans="1:25" x14ac:dyDescent="0.35">
      <c r="A197" t="s">
        <v>1466</v>
      </c>
      <c r="B197" s="1">
        <v>45448</v>
      </c>
      <c r="C197" s="1">
        <v>45452</v>
      </c>
      <c r="D197" t="s">
        <v>1467</v>
      </c>
      <c r="E197" t="s">
        <v>1468</v>
      </c>
      <c r="F197" t="s">
        <v>57</v>
      </c>
      <c r="G197" t="s">
        <v>1469</v>
      </c>
      <c r="H197" t="s">
        <v>334</v>
      </c>
      <c r="I197" t="s">
        <v>108</v>
      </c>
      <c r="J197" t="s">
        <v>97</v>
      </c>
      <c r="K197" t="s">
        <v>885</v>
      </c>
      <c r="L197" t="s">
        <v>1470</v>
      </c>
      <c r="M197">
        <v>3</v>
      </c>
      <c r="N197">
        <v>1229</v>
      </c>
      <c r="O197">
        <v>15</v>
      </c>
      <c r="P197">
        <v>3808.95</v>
      </c>
      <c r="Q197">
        <v>3134.67</v>
      </c>
      <c r="R197">
        <v>674.28</v>
      </c>
      <c r="S197" t="s">
        <v>49</v>
      </c>
      <c r="T197" t="s">
        <v>140</v>
      </c>
      <c r="U197" t="s">
        <v>1471</v>
      </c>
      <c r="V197" t="s">
        <v>1472</v>
      </c>
      <c r="W197">
        <v>26</v>
      </c>
      <c r="X197" t="s">
        <v>53</v>
      </c>
      <c r="Y197">
        <v>0</v>
      </c>
    </row>
    <row r="198" spans="1:25" x14ac:dyDescent="0.35">
      <c r="A198" t="s">
        <v>1473</v>
      </c>
      <c r="B198" s="1">
        <v>45932</v>
      </c>
      <c r="C198" s="1">
        <v>45933</v>
      </c>
      <c r="D198" t="s">
        <v>1474</v>
      </c>
      <c r="E198" t="s">
        <v>1475</v>
      </c>
      <c r="F198" t="s">
        <v>57</v>
      </c>
      <c r="G198" t="s">
        <v>1476</v>
      </c>
      <c r="H198" t="s">
        <v>127</v>
      </c>
      <c r="I198" t="s">
        <v>45</v>
      </c>
      <c r="J198" t="s">
        <v>32</v>
      </c>
      <c r="K198" t="s">
        <v>247</v>
      </c>
      <c r="L198" t="s">
        <v>1477</v>
      </c>
      <c r="M198">
        <v>7</v>
      </c>
      <c r="N198">
        <v>878</v>
      </c>
      <c r="O198">
        <v>0</v>
      </c>
      <c r="P198">
        <v>6821</v>
      </c>
      <c r="Q198">
        <v>6146.82</v>
      </c>
      <c r="R198">
        <v>674.18</v>
      </c>
      <c r="S198" t="s">
        <v>35</v>
      </c>
      <c r="T198" t="s">
        <v>36</v>
      </c>
      <c r="U198" t="s">
        <v>1478</v>
      </c>
      <c r="V198" t="s">
        <v>1479</v>
      </c>
      <c r="W198">
        <v>28</v>
      </c>
      <c r="X198" t="s">
        <v>53</v>
      </c>
      <c r="Y198">
        <v>0</v>
      </c>
    </row>
    <row r="199" spans="1:25" x14ac:dyDescent="0.35">
      <c r="A199" t="s">
        <v>1480</v>
      </c>
      <c r="B199" s="1">
        <v>45294</v>
      </c>
      <c r="C199" s="1">
        <v>45299</v>
      </c>
      <c r="D199" t="s">
        <v>1481</v>
      </c>
      <c r="E199" t="s">
        <v>1482</v>
      </c>
      <c r="F199" t="s">
        <v>28</v>
      </c>
      <c r="G199" t="s">
        <v>1483</v>
      </c>
      <c r="H199" t="s">
        <v>163</v>
      </c>
      <c r="I199" t="s">
        <v>108</v>
      </c>
      <c r="J199" t="s">
        <v>46</v>
      </c>
      <c r="K199" t="s">
        <v>119</v>
      </c>
      <c r="L199" t="s">
        <v>1484</v>
      </c>
      <c r="M199">
        <v>2</v>
      </c>
      <c r="N199">
        <v>2687</v>
      </c>
      <c r="O199">
        <v>20</v>
      </c>
      <c r="P199">
        <v>4974.2</v>
      </c>
      <c r="Q199">
        <v>4300.09</v>
      </c>
      <c r="R199">
        <v>674.11</v>
      </c>
      <c r="S199" t="s">
        <v>49</v>
      </c>
      <c r="T199" t="s">
        <v>36</v>
      </c>
      <c r="U199" t="s">
        <v>1485</v>
      </c>
      <c r="V199" t="s">
        <v>1486</v>
      </c>
      <c r="W199">
        <v>1</v>
      </c>
      <c r="X199" t="s">
        <v>39</v>
      </c>
      <c r="Y199">
        <v>42</v>
      </c>
    </row>
    <row r="200" spans="1:25" x14ac:dyDescent="0.35">
      <c r="A200" t="s">
        <v>1487</v>
      </c>
      <c r="B200" s="1">
        <v>45615</v>
      </c>
      <c r="C200" s="1">
        <v>45619</v>
      </c>
      <c r="D200" t="s">
        <v>1488</v>
      </c>
      <c r="E200" t="s">
        <v>1489</v>
      </c>
      <c r="F200" t="s">
        <v>95</v>
      </c>
      <c r="G200" t="s">
        <v>1490</v>
      </c>
      <c r="H200" t="s">
        <v>189</v>
      </c>
      <c r="I200" t="s">
        <v>108</v>
      </c>
      <c r="J200" t="s">
        <v>46</v>
      </c>
      <c r="K200" t="s">
        <v>482</v>
      </c>
      <c r="L200" t="s">
        <v>1491</v>
      </c>
      <c r="M200">
        <v>3</v>
      </c>
      <c r="N200">
        <v>3202</v>
      </c>
      <c r="O200">
        <v>10</v>
      </c>
      <c r="P200">
        <v>9320.4</v>
      </c>
      <c r="Q200">
        <v>8646.14</v>
      </c>
      <c r="R200">
        <v>674.26</v>
      </c>
      <c r="S200" t="s">
        <v>100</v>
      </c>
      <c r="T200" t="s">
        <v>50</v>
      </c>
      <c r="U200" t="s">
        <v>1492</v>
      </c>
      <c r="V200" t="s">
        <v>1493</v>
      </c>
      <c r="W200">
        <v>26</v>
      </c>
      <c r="X200" t="s">
        <v>53</v>
      </c>
      <c r="Y200">
        <v>0</v>
      </c>
    </row>
    <row r="201" spans="1:25" x14ac:dyDescent="0.35">
      <c r="A201" t="s">
        <v>1494</v>
      </c>
      <c r="B201" s="1">
        <v>45449</v>
      </c>
      <c r="C201" s="1">
        <v>45454</v>
      </c>
      <c r="D201" t="s">
        <v>1495</v>
      </c>
      <c r="E201" t="s">
        <v>1496</v>
      </c>
      <c r="F201" t="s">
        <v>28</v>
      </c>
      <c r="G201" t="s">
        <v>1497</v>
      </c>
      <c r="H201" t="s">
        <v>189</v>
      </c>
      <c r="I201" t="s">
        <v>108</v>
      </c>
      <c r="J201" t="s">
        <v>32</v>
      </c>
      <c r="K201" t="s">
        <v>87</v>
      </c>
      <c r="L201" t="s">
        <v>1498</v>
      </c>
      <c r="M201">
        <v>3</v>
      </c>
      <c r="N201">
        <v>3870</v>
      </c>
      <c r="O201">
        <v>15</v>
      </c>
      <c r="P201">
        <v>10543.5</v>
      </c>
      <c r="Q201">
        <v>9869.3799999999992</v>
      </c>
      <c r="R201">
        <v>674.12</v>
      </c>
      <c r="S201" t="s">
        <v>80</v>
      </c>
      <c r="T201" t="s">
        <v>89</v>
      </c>
      <c r="U201" t="s">
        <v>1499</v>
      </c>
      <c r="V201" t="s">
        <v>1500</v>
      </c>
      <c r="W201">
        <v>1</v>
      </c>
      <c r="X201" t="s">
        <v>39</v>
      </c>
      <c r="Y201">
        <v>36</v>
      </c>
    </row>
    <row r="202" spans="1:25" x14ac:dyDescent="0.35">
      <c r="A202" t="s">
        <v>1501</v>
      </c>
      <c r="B202" s="1">
        <v>45965</v>
      </c>
      <c r="C202" s="1">
        <v>45969</v>
      </c>
      <c r="D202" t="s">
        <v>1502</v>
      </c>
      <c r="E202" t="s">
        <v>1503</v>
      </c>
      <c r="F202" t="s">
        <v>28</v>
      </c>
      <c r="G202" t="s">
        <v>1504</v>
      </c>
      <c r="H202" t="s">
        <v>206</v>
      </c>
      <c r="I202" t="s">
        <v>31</v>
      </c>
      <c r="J202" t="s">
        <v>118</v>
      </c>
      <c r="K202" t="s">
        <v>714</v>
      </c>
      <c r="L202" t="s">
        <v>1505</v>
      </c>
      <c r="M202">
        <v>7</v>
      </c>
      <c r="N202">
        <v>551</v>
      </c>
      <c r="O202">
        <v>0</v>
      </c>
      <c r="P202">
        <v>4532</v>
      </c>
      <c r="Q202">
        <v>3857.83</v>
      </c>
      <c r="R202">
        <v>674.17</v>
      </c>
      <c r="S202" t="s">
        <v>49</v>
      </c>
      <c r="T202" t="s">
        <v>50</v>
      </c>
      <c r="U202" t="s">
        <v>1506</v>
      </c>
      <c r="V202" t="s">
        <v>1507</v>
      </c>
      <c r="W202">
        <v>36</v>
      </c>
      <c r="X202" t="s">
        <v>53</v>
      </c>
      <c r="Y202">
        <v>0</v>
      </c>
    </row>
    <row r="203" spans="1:25" x14ac:dyDescent="0.35">
      <c r="A203" t="s">
        <v>1508</v>
      </c>
      <c r="B203" s="1">
        <v>45889</v>
      </c>
      <c r="C203" s="1">
        <v>45893</v>
      </c>
      <c r="D203" t="s">
        <v>1509</v>
      </c>
      <c r="E203" t="s">
        <v>1510</v>
      </c>
      <c r="F203" t="s">
        <v>57</v>
      </c>
      <c r="G203" t="s">
        <v>1511</v>
      </c>
      <c r="H203" t="s">
        <v>154</v>
      </c>
      <c r="I203" t="s">
        <v>137</v>
      </c>
      <c r="J203" t="s">
        <v>32</v>
      </c>
      <c r="K203" t="s">
        <v>78</v>
      </c>
      <c r="L203" t="s">
        <v>1512</v>
      </c>
      <c r="M203">
        <v>5</v>
      </c>
      <c r="N203">
        <v>296</v>
      </c>
      <c r="O203">
        <v>15</v>
      </c>
      <c r="P203">
        <v>1933</v>
      </c>
      <c r="Q203">
        <v>1258.76</v>
      </c>
      <c r="R203">
        <v>674.24</v>
      </c>
      <c r="S203" t="s">
        <v>49</v>
      </c>
      <c r="T203" t="s">
        <v>89</v>
      </c>
      <c r="U203" t="s">
        <v>1513</v>
      </c>
      <c r="V203" t="s">
        <v>1514</v>
      </c>
      <c r="W203">
        <v>50</v>
      </c>
      <c r="X203" t="s">
        <v>53</v>
      </c>
      <c r="Y203">
        <v>0</v>
      </c>
    </row>
    <row r="204" spans="1:25" x14ac:dyDescent="0.35">
      <c r="A204" t="s">
        <v>1515</v>
      </c>
      <c r="B204" s="1">
        <v>45444</v>
      </c>
      <c r="C204" s="1">
        <v>45445</v>
      </c>
      <c r="D204" t="s">
        <v>1071</v>
      </c>
      <c r="E204" t="s">
        <v>1516</v>
      </c>
      <c r="F204" t="s">
        <v>95</v>
      </c>
      <c r="G204" t="s">
        <v>1517</v>
      </c>
      <c r="H204" t="s">
        <v>127</v>
      </c>
      <c r="I204" t="s">
        <v>45</v>
      </c>
      <c r="J204" t="s">
        <v>32</v>
      </c>
      <c r="K204" t="s">
        <v>181</v>
      </c>
      <c r="L204" t="s">
        <v>1518</v>
      </c>
      <c r="M204">
        <v>7</v>
      </c>
      <c r="N204">
        <v>2692</v>
      </c>
      <c r="O204">
        <v>0</v>
      </c>
      <c r="P204">
        <v>19519</v>
      </c>
      <c r="Q204">
        <v>18844.89</v>
      </c>
      <c r="R204">
        <v>674.11</v>
      </c>
      <c r="S204" t="s">
        <v>35</v>
      </c>
      <c r="T204" t="s">
        <v>140</v>
      </c>
      <c r="U204" t="s">
        <v>1519</v>
      </c>
      <c r="V204" t="s">
        <v>1520</v>
      </c>
      <c r="W204">
        <v>30</v>
      </c>
      <c r="X204" t="s">
        <v>53</v>
      </c>
      <c r="Y204">
        <v>0</v>
      </c>
    </row>
    <row r="205" spans="1:25" x14ac:dyDescent="0.35">
      <c r="A205" t="s">
        <v>1521</v>
      </c>
      <c r="B205" s="1">
        <v>45478</v>
      </c>
      <c r="C205" s="1">
        <v>45480</v>
      </c>
      <c r="D205" t="s">
        <v>1522</v>
      </c>
      <c r="E205" t="s">
        <v>1523</v>
      </c>
      <c r="F205" t="s">
        <v>28</v>
      </c>
      <c r="G205" t="s">
        <v>1524</v>
      </c>
      <c r="H205" t="s">
        <v>77</v>
      </c>
      <c r="I205" t="s">
        <v>45</v>
      </c>
      <c r="J205" t="s">
        <v>118</v>
      </c>
      <c r="K205" t="s">
        <v>164</v>
      </c>
      <c r="L205" t="s">
        <v>1525</v>
      </c>
      <c r="M205">
        <v>1</v>
      </c>
      <c r="N205">
        <v>909</v>
      </c>
      <c r="O205">
        <v>5</v>
      </c>
      <c r="P205">
        <v>1538.55</v>
      </c>
      <c r="Q205">
        <v>864.22</v>
      </c>
      <c r="R205">
        <v>674.33</v>
      </c>
      <c r="S205" t="s">
        <v>49</v>
      </c>
      <c r="T205" t="s">
        <v>36</v>
      </c>
      <c r="U205" t="s">
        <v>1526</v>
      </c>
      <c r="V205" t="s">
        <v>1527</v>
      </c>
      <c r="W205">
        <v>4</v>
      </c>
      <c r="X205" t="s">
        <v>39</v>
      </c>
      <c r="Y205">
        <v>44</v>
      </c>
    </row>
    <row r="206" spans="1:25" x14ac:dyDescent="0.35">
      <c r="A206" t="s">
        <v>1528</v>
      </c>
      <c r="B206" s="1">
        <v>45708</v>
      </c>
      <c r="C206" s="1">
        <v>45711</v>
      </c>
      <c r="D206" t="s">
        <v>1529</v>
      </c>
      <c r="E206" t="s">
        <v>1530</v>
      </c>
      <c r="F206" t="s">
        <v>95</v>
      </c>
      <c r="G206" t="s">
        <v>1531</v>
      </c>
      <c r="H206" t="s">
        <v>117</v>
      </c>
      <c r="I206" t="s">
        <v>108</v>
      </c>
      <c r="J206" t="s">
        <v>32</v>
      </c>
      <c r="K206" t="s">
        <v>199</v>
      </c>
      <c r="L206" t="s">
        <v>1532</v>
      </c>
      <c r="M206">
        <v>3</v>
      </c>
      <c r="N206">
        <v>3054</v>
      </c>
      <c r="O206">
        <v>15</v>
      </c>
      <c r="P206">
        <v>8462.7000000000007</v>
      </c>
      <c r="Q206">
        <v>7788.59</v>
      </c>
      <c r="R206">
        <v>674.11</v>
      </c>
      <c r="S206" t="s">
        <v>80</v>
      </c>
      <c r="T206" t="s">
        <v>36</v>
      </c>
      <c r="U206" t="s">
        <v>1533</v>
      </c>
      <c r="V206" t="s">
        <v>1534</v>
      </c>
      <c r="W206">
        <v>38</v>
      </c>
      <c r="X206" t="s">
        <v>53</v>
      </c>
      <c r="Y206">
        <v>0</v>
      </c>
    </row>
    <row r="207" spans="1:25" x14ac:dyDescent="0.35">
      <c r="A207" t="s">
        <v>1535</v>
      </c>
      <c r="B207" s="1">
        <v>45274</v>
      </c>
      <c r="C207" s="1">
        <v>45279</v>
      </c>
      <c r="D207" t="s">
        <v>1536</v>
      </c>
      <c r="E207" t="s">
        <v>1537</v>
      </c>
      <c r="F207" t="s">
        <v>95</v>
      </c>
      <c r="G207" t="s">
        <v>1538</v>
      </c>
      <c r="H207" t="s">
        <v>117</v>
      </c>
      <c r="I207" t="s">
        <v>108</v>
      </c>
      <c r="J207" t="s">
        <v>118</v>
      </c>
      <c r="K207" t="s">
        <v>885</v>
      </c>
      <c r="L207" t="s">
        <v>1539</v>
      </c>
      <c r="M207">
        <v>8</v>
      </c>
      <c r="N207">
        <v>2040</v>
      </c>
      <c r="O207">
        <v>15</v>
      </c>
      <c r="P207">
        <v>14547</v>
      </c>
      <c r="Q207">
        <v>13872.67</v>
      </c>
      <c r="R207">
        <v>674.33</v>
      </c>
      <c r="S207" t="s">
        <v>35</v>
      </c>
      <c r="T207" t="s">
        <v>36</v>
      </c>
      <c r="U207" t="s">
        <v>1540</v>
      </c>
      <c r="V207" t="s">
        <v>1541</v>
      </c>
      <c r="W207">
        <v>5</v>
      </c>
      <c r="X207" t="s">
        <v>39</v>
      </c>
      <c r="Y207">
        <v>23</v>
      </c>
    </row>
    <row r="208" spans="1:25" x14ac:dyDescent="0.35">
      <c r="A208" t="s">
        <v>1542</v>
      </c>
      <c r="B208" s="1">
        <v>45830</v>
      </c>
      <c r="C208" s="1">
        <v>45834</v>
      </c>
      <c r="D208" t="s">
        <v>1502</v>
      </c>
      <c r="E208" t="s">
        <v>1543</v>
      </c>
      <c r="F208" t="s">
        <v>95</v>
      </c>
      <c r="G208" t="s">
        <v>1544</v>
      </c>
      <c r="H208" t="s">
        <v>107</v>
      </c>
      <c r="I208" t="s">
        <v>108</v>
      </c>
      <c r="J208" t="s">
        <v>97</v>
      </c>
      <c r="K208" t="s">
        <v>691</v>
      </c>
      <c r="L208" t="s">
        <v>1545</v>
      </c>
      <c r="M208">
        <v>3</v>
      </c>
      <c r="N208">
        <v>4255</v>
      </c>
      <c r="O208">
        <v>5</v>
      </c>
      <c r="P208">
        <v>12801.75</v>
      </c>
      <c r="Q208">
        <v>12127.38</v>
      </c>
      <c r="R208">
        <v>674.37</v>
      </c>
      <c r="S208" t="s">
        <v>100</v>
      </c>
      <c r="T208" t="s">
        <v>89</v>
      </c>
      <c r="U208" t="s">
        <v>1546</v>
      </c>
      <c r="V208" t="s">
        <v>1547</v>
      </c>
      <c r="W208">
        <v>36</v>
      </c>
      <c r="X208" t="s">
        <v>53</v>
      </c>
      <c r="Y208">
        <v>0</v>
      </c>
    </row>
    <row r="209" spans="1:25" x14ac:dyDescent="0.35">
      <c r="A209" t="s">
        <v>1548</v>
      </c>
      <c r="B209" s="1">
        <v>45743</v>
      </c>
      <c r="C209" s="1">
        <v>45745</v>
      </c>
      <c r="D209" t="s">
        <v>212</v>
      </c>
      <c r="E209" t="s">
        <v>1549</v>
      </c>
      <c r="F209" t="s">
        <v>95</v>
      </c>
      <c r="G209" t="s">
        <v>1550</v>
      </c>
      <c r="H209" t="s">
        <v>198</v>
      </c>
      <c r="I209" t="s">
        <v>31</v>
      </c>
      <c r="J209" t="s">
        <v>97</v>
      </c>
      <c r="K209" t="s">
        <v>430</v>
      </c>
      <c r="L209" t="s">
        <v>1551</v>
      </c>
      <c r="M209">
        <v>3</v>
      </c>
      <c r="N209">
        <v>3471</v>
      </c>
      <c r="O209">
        <v>20</v>
      </c>
      <c r="P209">
        <v>9005.4</v>
      </c>
      <c r="Q209">
        <v>8331.2800000000007</v>
      </c>
      <c r="R209">
        <v>674.12</v>
      </c>
      <c r="S209" t="s">
        <v>80</v>
      </c>
      <c r="T209" t="s">
        <v>140</v>
      </c>
      <c r="U209" t="s">
        <v>1552</v>
      </c>
      <c r="V209" t="s">
        <v>1553</v>
      </c>
      <c r="W209">
        <v>32</v>
      </c>
      <c r="X209" t="s">
        <v>53</v>
      </c>
      <c r="Y209">
        <v>0</v>
      </c>
    </row>
    <row r="210" spans="1:25" x14ac:dyDescent="0.35">
      <c r="A210" t="s">
        <v>1554</v>
      </c>
      <c r="B210" s="1">
        <v>45596</v>
      </c>
      <c r="C210" s="1">
        <v>45602</v>
      </c>
      <c r="D210" t="s">
        <v>1555</v>
      </c>
      <c r="E210" t="s">
        <v>1556</v>
      </c>
      <c r="F210" t="s">
        <v>28</v>
      </c>
      <c r="G210" t="s">
        <v>1557</v>
      </c>
      <c r="H210" t="s">
        <v>59</v>
      </c>
      <c r="I210" t="s">
        <v>31</v>
      </c>
      <c r="J210" t="s">
        <v>118</v>
      </c>
      <c r="K210" t="s">
        <v>98</v>
      </c>
      <c r="L210" t="s">
        <v>1558</v>
      </c>
      <c r="M210">
        <v>6</v>
      </c>
      <c r="N210">
        <v>3572</v>
      </c>
      <c r="O210">
        <v>20</v>
      </c>
      <c r="P210">
        <v>17820.599999999999</v>
      </c>
      <c r="Q210">
        <v>17146.240000000002</v>
      </c>
      <c r="R210">
        <v>674.36</v>
      </c>
      <c r="S210" t="s">
        <v>100</v>
      </c>
      <c r="T210" t="s">
        <v>140</v>
      </c>
      <c r="U210" t="s">
        <v>1559</v>
      </c>
      <c r="V210" t="s">
        <v>1560</v>
      </c>
      <c r="W210">
        <v>49</v>
      </c>
      <c r="X210" t="s">
        <v>53</v>
      </c>
      <c r="Y210">
        <v>0</v>
      </c>
    </row>
    <row r="211" spans="1:25" x14ac:dyDescent="0.35">
      <c r="A211" t="s">
        <v>1561</v>
      </c>
      <c r="B211" s="1">
        <v>45345</v>
      </c>
      <c r="C211" s="1">
        <v>45351</v>
      </c>
      <c r="D211" t="s">
        <v>1562</v>
      </c>
      <c r="E211" t="s">
        <v>1563</v>
      </c>
      <c r="F211" t="s">
        <v>57</v>
      </c>
      <c r="G211" t="s">
        <v>1564</v>
      </c>
      <c r="H211" t="s">
        <v>206</v>
      </c>
      <c r="I211" t="s">
        <v>31</v>
      </c>
      <c r="J211" t="s">
        <v>97</v>
      </c>
      <c r="K211" t="s">
        <v>164</v>
      </c>
      <c r="L211" t="s">
        <v>1565</v>
      </c>
      <c r="M211">
        <v>5</v>
      </c>
      <c r="N211">
        <v>1775</v>
      </c>
      <c r="O211">
        <v>15</v>
      </c>
      <c r="P211">
        <v>8218.75</v>
      </c>
      <c r="Q211">
        <v>7544.37</v>
      </c>
      <c r="R211">
        <v>674.38</v>
      </c>
      <c r="S211" t="s">
        <v>49</v>
      </c>
      <c r="T211" t="s">
        <v>140</v>
      </c>
      <c r="U211" t="s">
        <v>1566</v>
      </c>
      <c r="V211" t="s">
        <v>1567</v>
      </c>
      <c r="W211">
        <v>4</v>
      </c>
      <c r="X211" t="s">
        <v>39</v>
      </c>
      <c r="Y211">
        <v>50</v>
      </c>
    </row>
    <row r="212" spans="1:25" x14ac:dyDescent="0.35">
      <c r="A212" t="s">
        <v>1568</v>
      </c>
      <c r="B212" s="1">
        <v>45784</v>
      </c>
      <c r="C212" s="1">
        <v>45786</v>
      </c>
      <c r="D212" t="s">
        <v>1569</v>
      </c>
      <c r="E212" t="s">
        <v>1570</v>
      </c>
      <c r="F212" t="s">
        <v>57</v>
      </c>
      <c r="G212" t="s">
        <v>1571</v>
      </c>
      <c r="H212" t="s">
        <v>189</v>
      </c>
      <c r="I212" t="s">
        <v>108</v>
      </c>
      <c r="J212" t="s">
        <v>32</v>
      </c>
      <c r="K212" t="s">
        <v>128</v>
      </c>
      <c r="L212" t="s">
        <v>1572</v>
      </c>
      <c r="M212">
        <v>4</v>
      </c>
      <c r="N212">
        <v>929</v>
      </c>
      <c r="O212">
        <v>10</v>
      </c>
      <c r="P212">
        <v>4019.4</v>
      </c>
      <c r="Q212">
        <v>3345.22</v>
      </c>
      <c r="R212">
        <v>674.18</v>
      </c>
      <c r="S212" t="s">
        <v>80</v>
      </c>
      <c r="T212" t="s">
        <v>36</v>
      </c>
      <c r="U212" t="s">
        <v>1573</v>
      </c>
      <c r="V212" t="s">
        <v>1574</v>
      </c>
      <c r="W212">
        <v>33</v>
      </c>
      <c r="X212" t="s">
        <v>53</v>
      </c>
      <c r="Y212">
        <v>0</v>
      </c>
    </row>
    <row r="213" spans="1:25" x14ac:dyDescent="0.35">
      <c r="A213" t="s">
        <v>1575</v>
      </c>
      <c r="B213" s="1">
        <v>45776</v>
      </c>
      <c r="C213" s="1">
        <v>45783</v>
      </c>
      <c r="D213" t="s">
        <v>1128</v>
      </c>
      <c r="E213" t="s">
        <v>1576</v>
      </c>
      <c r="F213" t="s">
        <v>28</v>
      </c>
      <c r="G213" t="s">
        <v>1577</v>
      </c>
      <c r="H213" t="s">
        <v>230</v>
      </c>
      <c r="I213" t="s">
        <v>137</v>
      </c>
      <c r="J213" t="s">
        <v>46</v>
      </c>
      <c r="K213" t="s">
        <v>312</v>
      </c>
      <c r="L213" t="s">
        <v>1578</v>
      </c>
      <c r="M213">
        <v>6</v>
      </c>
      <c r="N213">
        <v>1684</v>
      </c>
      <c r="O213">
        <v>20</v>
      </c>
      <c r="P213">
        <v>8758.2000000000007</v>
      </c>
      <c r="Q213">
        <v>8083.9</v>
      </c>
      <c r="R213">
        <v>674.3</v>
      </c>
      <c r="S213" t="s">
        <v>35</v>
      </c>
      <c r="T213" t="s">
        <v>36</v>
      </c>
      <c r="U213" t="s">
        <v>1579</v>
      </c>
      <c r="V213" t="s">
        <v>1580</v>
      </c>
      <c r="W213">
        <v>47</v>
      </c>
      <c r="X213" t="s">
        <v>53</v>
      </c>
      <c r="Y213">
        <v>0</v>
      </c>
    </row>
    <row r="214" spans="1:25" x14ac:dyDescent="0.35">
      <c r="A214" t="s">
        <v>1581</v>
      </c>
      <c r="B214" s="1">
        <v>45930</v>
      </c>
      <c r="C214" s="1">
        <v>45935</v>
      </c>
      <c r="D214" t="s">
        <v>1582</v>
      </c>
      <c r="E214" t="s">
        <v>1583</v>
      </c>
      <c r="F214" t="s">
        <v>28</v>
      </c>
      <c r="G214" t="s">
        <v>1584</v>
      </c>
      <c r="H214" t="s">
        <v>127</v>
      </c>
      <c r="I214" t="s">
        <v>45</v>
      </c>
      <c r="J214" t="s">
        <v>46</v>
      </c>
      <c r="K214" t="s">
        <v>190</v>
      </c>
      <c r="L214" t="s">
        <v>1585</v>
      </c>
      <c r="M214">
        <v>6</v>
      </c>
      <c r="N214">
        <v>1006</v>
      </c>
      <c r="O214">
        <v>5</v>
      </c>
      <c r="P214">
        <v>6409.2</v>
      </c>
      <c r="Q214">
        <v>5734.99</v>
      </c>
      <c r="R214">
        <v>674.21</v>
      </c>
      <c r="S214" t="s">
        <v>100</v>
      </c>
      <c r="T214" t="s">
        <v>140</v>
      </c>
      <c r="U214" t="s">
        <v>1586</v>
      </c>
      <c r="V214" t="s">
        <v>1587</v>
      </c>
      <c r="W214">
        <v>48</v>
      </c>
      <c r="X214" t="s">
        <v>53</v>
      </c>
      <c r="Y214">
        <v>0</v>
      </c>
    </row>
    <row r="215" spans="1:25" x14ac:dyDescent="0.35">
      <c r="A215" t="s">
        <v>1588</v>
      </c>
      <c r="B215" s="1">
        <v>45414</v>
      </c>
      <c r="C215" s="1">
        <v>45417</v>
      </c>
      <c r="D215" t="s">
        <v>1589</v>
      </c>
      <c r="E215" t="s">
        <v>1590</v>
      </c>
      <c r="F215" t="s">
        <v>28</v>
      </c>
      <c r="G215" t="s">
        <v>1591</v>
      </c>
      <c r="H215" t="s">
        <v>163</v>
      </c>
      <c r="I215" t="s">
        <v>108</v>
      </c>
      <c r="J215" t="s">
        <v>46</v>
      </c>
      <c r="K215" t="s">
        <v>231</v>
      </c>
      <c r="L215" t="s">
        <v>1592</v>
      </c>
      <c r="M215">
        <v>4</v>
      </c>
      <c r="N215">
        <v>4750</v>
      </c>
      <c r="O215">
        <v>15</v>
      </c>
      <c r="P215">
        <v>16825</v>
      </c>
      <c r="Q215">
        <v>16150.66</v>
      </c>
      <c r="R215">
        <v>674.34</v>
      </c>
      <c r="S215" t="s">
        <v>80</v>
      </c>
      <c r="T215" t="s">
        <v>50</v>
      </c>
      <c r="U215" t="s">
        <v>1593</v>
      </c>
      <c r="V215" t="s">
        <v>1594</v>
      </c>
      <c r="W215">
        <v>19</v>
      </c>
      <c r="X215" t="s">
        <v>53</v>
      </c>
      <c r="Y215">
        <v>0</v>
      </c>
    </row>
    <row r="216" spans="1:25" x14ac:dyDescent="0.35">
      <c r="A216" t="s">
        <v>1595</v>
      </c>
      <c r="B216" s="1">
        <v>45731</v>
      </c>
      <c r="C216" s="1">
        <v>45733</v>
      </c>
      <c r="D216" t="s">
        <v>1596</v>
      </c>
      <c r="E216" t="s">
        <v>1597</v>
      </c>
      <c r="F216" t="s">
        <v>95</v>
      </c>
      <c r="G216" t="s">
        <v>1598</v>
      </c>
      <c r="H216" t="s">
        <v>334</v>
      </c>
      <c r="I216" t="s">
        <v>108</v>
      </c>
      <c r="J216" t="s">
        <v>32</v>
      </c>
      <c r="K216" t="s">
        <v>239</v>
      </c>
      <c r="L216" t="s">
        <v>1599</v>
      </c>
      <c r="M216">
        <v>4</v>
      </c>
      <c r="N216">
        <v>1283</v>
      </c>
      <c r="O216">
        <v>15</v>
      </c>
      <c r="P216">
        <v>5037.2</v>
      </c>
      <c r="Q216">
        <v>4363.1000000000004</v>
      </c>
      <c r="R216">
        <v>674.1</v>
      </c>
      <c r="S216" t="s">
        <v>100</v>
      </c>
      <c r="T216" t="s">
        <v>50</v>
      </c>
      <c r="U216" t="s">
        <v>1600</v>
      </c>
      <c r="V216" t="s">
        <v>1601</v>
      </c>
      <c r="W216">
        <v>39</v>
      </c>
      <c r="X216" t="s">
        <v>53</v>
      </c>
      <c r="Y216">
        <v>0</v>
      </c>
    </row>
    <row r="217" spans="1:25" x14ac:dyDescent="0.35">
      <c r="A217" t="s">
        <v>1602</v>
      </c>
      <c r="B217" s="1">
        <v>45625</v>
      </c>
      <c r="C217" s="1">
        <v>45628</v>
      </c>
      <c r="D217" t="s">
        <v>1603</v>
      </c>
      <c r="E217" t="s">
        <v>1604</v>
      </c>
      <c r="F217" t="s">
        <v>28</v>
      </c>
      <c r="G217" t="s">
        <v>1605</v>
      </c>
      <c r="H217" t="s">
        <v>334</v>
      </c>
      <c r="I217" t="s">
        <v>108</v>
      </c>
      <c r="J217" t="s">
        <v>46</v>
      </c>
      <c r="K217" t="s">
        <v>155</v>
      </c>
      <c r="L217" t="s">
        <v>1606</v>
      </c>
      <c r="M217">
        <v>3</v>
      </c>
      <c r="N217">
        <v>3300</v>
      </c>
      <c r="O217">
        <v>10</v>
      </c>
      <c r="P217">
        <v>9585</v>
      </c>
      <c r="Q217">
        <v>8910.66</v>
      </c>
      <c r="R217">
        <v>674.34</v>
      </c>
      <c r="S217" t="s">
        <v>80</v>
      </c>
      <c r="T217" t="s">
        <v>140</v>
      </c>
      <c r="U217" t="s">
        <v>1607</v>
      </c>
      <c r="V217" t="s">
        <v>1608</v>
      </c>
      <c r="W217">
        <v>16</v>
      </c>
      <c r="X217" t="s">
        <v>53</v>
      </c>
      <c r="Y217">
        <v>0</v>
      </c>
    </row>
    <row r="218" spans="1:25" x14ac:dyDescent="0.35">
      <c r="A218" t="s">
        <v>1609</v>
      </c>
      <c r="B218" s="1">
        <v>45437</v>
      </c>
      <c r="C218" s="1">
        <v>45441</v>
      </c>
      <c r="D218" t="s">
        <v>1610</v>
      </c>
      <c r="E218" t="s">
        <v>1611</v>
      </c>
      <c r="F218" t="s">
        <v>95</v>
      </c>
      <c r="G218" t="s">
        <v>1612</v>
      </c>
      <c r="H218" t="s">
        <v>320</v>
      </c>
      <c r="I218" t="s">
        <v>137</v>
      </c>
      <c r="J218" t="s">
        <v>32</v>
      </c>
      <c r="K218" t="s">
        <v>474</v>
      </c>
      <c r="L218" t="s">
        <v>1613</v>
      </c>
      <c r="M218">
        <v>10</v>
      </c>
      <c r="N218">
        <v>2066</v>
      </c>
      <c r="O218">
        <v>15</v>
      </c>
      <c r="P218">
        <v>18236</v>
      </c>
      <c r="Q218">
        <v>17561.75</v>
      </c>
      <c r="R218">
        <v>674.25</v>
      </c>
      <c r="S218" t="s">
        <v>35</v>
      </c>
      <c r="T218" t="s">
        <v>50</v>
      </c>
      <c r="U218" t="s">
        <v>1614</v>
      </c>
      <c r="V218" t="s">
        <v>1615</v>
      </c>
      <c r="W218">
        <v>20</v>
      </c>
      <c r="X218" t="s">
        <v>53</v>
      </c>
      <c r="Y218">
        <v>0</v>
      </c>
    </row>
    <row r="219" spans="1:25" x14ac:dyDescent="0.35">
      <c r="A219" t="s">
        <v>1616</v>
      </c>
      <c r="B219" s="1">
        <v>45766</v>
      </c>
      <c r="C219" s="1">
        <v>45767</v>
      </c>
      <c r="D219" t="s">
        <v>1617</v>
      </c>
      <c r="E219" t="s">
        <v>1618</v>
      </c>
      <c r="F219" t="s">
        <v>28</v>
      </c>
      <c r="G219" t="s">
        <v>1619</v>
      </c>
      <c r="H219" t="s">
        <v>364</v>
      </c>
      <c r="I219" t="s">
        <v>137</v>
      </c>
      <c r="J219" t="s">
        <v>97</v>
      </c>
      <c r="K219" t="s">
        <v>60</v>
      </c>
      <c r="L219" t="s">
        <v>1620</v>
      </c>
      <c r="M219">
        <v>1</v>
      </c>
      <c r="N219">
        <v>2495</v>
      </c>
      <c r="O219">
        <v>20</v>
      </c>
      <c r="P219">
        <v>2671</v>
      </c>
      <c r="Q219">
        <v>1996.71</v>
      </c>
      <c r="R219">
        <v>674.29</v>
      </c>
      <c r="S219" t="s">
        <v>100</v>
      </c>
      <c r="T219" t="s">
        <v>50</v>
      </c>
      <c r="U219" t="s">
        <v>1621</v>
      </c>
      <c r="V219" t="s">
        <v>1622</v>
      </c>
      <c r="W219">
        <v>22</v>
      </c>
      <c r="X219" t="s">
        <v>53</v>
      </c>
      <c r="Y219">
        <v>0</v>
      </c>
    </row>
    <row r="220" spans="1:25" x14ac:dyDescent="0.35">
      <c r="A220" t="s">
        <v>1623</v>
      </c>
      <c r="B220" s="1">
        <v>45749</v>
      </c>
      <c r="C220" s="1">
        <v>45755</v>
      </c>
      <c r="D220" t="s">
        <v>1624</v>
      </c>
      <c r="E220" t="s">
        <v>1625</v>
      </c>
      <c r="F220" t="s">
        <v>28</v>
      </c>
      <c r="G220" t="s">
        <v>1626</v>
      </c>
      <c r="H220" t="s">
        <v>44</v>
      </c>
      <c r="I220" t="s">
        <v>45</v>
      </c>
      <c r="J220" t="s">
        <v>97</v>
      </c>
      <c r="K220" t="s">
        <v>691</v>
      </c>
      <c r="L220" t="s">
        <v>1627</v>
      </c>
      <c r="M220">
        <v>7</v>
      </c>
      <c r="N220">
        <v>1580</v>
      </c>
      <c r="O220">
        <v>5</v>
      </c>
      <c r="P220">
        <v>11182</v>
      </c>
      <c r="Q220">
        <v>10507.74</v>
      </c>
      <c r="R220">
        <v>674.26</v>
      </c>
      <c r="S220" t="s">
        <v>49</v>
      </c>
      <c r="T220" t="s">
        <v>36</v>
      </c>
      <c r="U220" t="s">
        <v>1628</v>
      </c>
      <c r="V220" t="s">
        <v>1629</v>
      </c>
      <c r="W220">
        <v>26</v>
      </c>
      <c r="X220" t="s">
        <v>53</v>
      </c>
      <c r="Y220">
        <v>0</v>
      </c>
    </row>
    <row r="221" spans="1:25" x14ac:dyDescent="0.35">
      <c r="A221" t="s">
        <v>1630</v>
      </c>
      <c r="B221" s="1">
        <v>45878</v>
      </c>
      <c r="C221" s="1">
        <v>45885</v>
      </c>
      <c r="D221" t="s">
        <v>1631</v>
      </c>
      <c r="E221" t="s">
        <v>1632</v>
      </c>
      <c r="F221" t="s">
        <v>57</v>
      </c>
      <c r="G221" t="s">
        <v>1633</v>
      </c>
      <c r="H221" t="s">
        <v>107</v>
      </c>
      <c r="I221" t="s">
        <v>108</v>
      </c>
      <c r="J221" t="s">
        <v>32</v>
      </c>
      <c r="K221" t="s">
        <v>699</v>
      </c>
      <c r="L221" t="s">
        <v>1634</v>
      </c>
      <c r="M221">
        <v>9</v>
      </c>
      <c r="N221">
        <v>4241</v>
      </c>
      <c r="O221">
        <v>5</v>
      </c>
      <c r="P221">
        <v>36935.550000000003</v>
      </c>
      <c r="Q221">
        <v>36261.19</v>
      </c>
      <c r="R221">
        <v>674.36</v>
      </c>
      <c r="S221" t="s">
        <v>35</v>
      </c>
      <c r="T221" t="s">
        <v>50</v>
      </c>
      <c r="U221" t="s">
        <v>1635</v>
      </c>
      <c r="V221" t="s">
        <v>1636</v>
      </c>
      <c r="W221">
        <v>15</v>
      </c>
      <c r="X221" t="s">
        <v>53</v>
      </c>
      <c r="Y221">
        <v>0</v>
      </c>
    </row>
    <row r="222" spans="1:25" x14ac:dyDescent="0.35">
      <c r="A222" t="s">
        <v>1637</v>
      </c>
      <c r="B222" s="1">
        <v>45448</v>
      </c>
      <c r="C222" s="1">
        <v>45452</v>
      </c>
      <c r="D222" t="s">
        <v>1638</v>
      </c>
      <c r="E222" t="s">
        <v>1639</v>
      </c>
      <c r="F222" t="s">
        <v>28</v>
      </c>
      <c r="G222" t="s">
        <v>1640</v>
      </c>
      <c r="H222" t="s">
        <v>77</v>
      </c>
      <c r="I222" t="s">
        <v>45</v>
      </c>
      <c r="J222" t="s">
        <v>97</v>
      </c>
      <c r="K222" t="s">
        <v>1275</v>
      </c>
      <c r="L222" t="s">
        <v>1641</v>
      </c>
      <c r="M222">
        <v>8</v>
      </c>
      <c r="N222">
        <v>2218</v>
      </c>
      <c r="O222">
        <v>5</v>
      </c>
      <c r="P222">
        <v>17531.8</v>
      </c>
      <c r="Q222">
        <v>16857.48</v>
      </c>
      <c r="R222">
        <v>674.32</v>
      </c>
      <c r="S222" t="s">
        <v>49</v>
      </c>
      <c r="T222" t="s">
        <v>36</v>
      </c>
      <c r="U222" t="s">
        <v>1642</v>
      </c>
      <c r="V222" t="s">
        <v>1643</v>
      </c>
      <c r="W222">
        <v>43</v>
      </c>
      <c r="X222" t="s">
        <v>53</v>
      </c>
      <c r="Y222">
        <v>0</v>
      </c>
    </row>
    <row r="223" spans="1:25" x14ac:dyDescent="0.35">
      <c r="A223" t="s">
        <v>1644</v>
      </c>
      <c r="B223" s="1">
        <v>45846</v>
      </c>
      <c r="C223" s="1">
        <v>45849</v>
      </c>
      <c r="D223" t="s">
        <v>1645</v>
      </c>
      <c r="E223" t="s">
        <v>1646</v>
      </c>
      <c r="F223" t="s">
        <v>57</v>
      </c>
      <c r="G223" t="s">
        <v>1647</v>
      </c>
      <c r="H223" t="s">
        <v>163</v>
      </c>
      <c r="I223" t="s">
        <v>108</v>
      </c>
      <c r="J223" t="s">
        <v>97</v>
      </c>
      <c r="K223" t="s">
        <v>207</v>
      </c>
      <c r="L223" t="s">
        <v>1648</v>
      </c>
      <c r="M223">
        <v>1</v>
      </c>
      <c r="N223">
        <v>1162</v>
      </c>
      <c r="O223">
        <v>10</v>
      </c>
      <c r="P223">
        <v>1720.8</v>
      </c>
      <c r="Q223">
        <v>1046.55</v>
      </c>
      <c r="R223">
        <v>674.25</v>
      </c>
      <c r="S223" t="s">
        <v>100</v>
      </c>
      <c r="T223" t="s">
        <v>89</v>
      </c>
      <c r="U223" t="s">
        <v>1649</v>
      </c>
      <c r="V223" t="s">
        <v>1650</v>
      </c>
      <c r="W223">
        <v>10</v>
      </c>
      <c r="X223" t="s">
        <v>53</v>
      </c>
      <c r="Y223">
        <v>0</v>
      </c>
    </row>
    <row r="224" spans="1:25" x14ac:dyDescent="0.35">
      <c r="A224" t="s">
        <v>1651</v>
      </c>
      <c r="B224" s="1">
        <v>45664</v>
      </c>
      <c r="C224" s="1">
        <v>45671</v>
      </c>
      <c r="D224" t="s">
        <v>603</v>
      </c>
      <c r="E224" t="s">
        <v>1652</v>
      </c>
      <c r="F224" t="s">
        <v>95</v>
      </c>
      <c r="G224" t="s">
        <v>1653</v>
      </c>
      <c r="H224" t="s">
        <v>172</v>
      </c>
      <c r="I224" t="s">
        <v>45</v>
      </c>
      <c r="J224" t="s">
        <v>97</v>
      </c>
      <c r="K224" t="s">
        <v>190</v>
      </c>
      <c r="L224" t="s">
        <v>1654</v>
      </c>
      <c r="M224">
        <v>8</v>
      </c>
      <c r="N224">
        <v>4330</v>
      </c>
      <c r="O224">
        <v>15</v>
      </c>
      <c r="P224">
        <v>30119</v>
      </c>
      <c r="Q224">
        <v>29444.69</v>
      </c>
      <c r="R224">
        <v>674.31</v>
      </c>
      <c r="S224" t="s">
        <v>35</v>
      </c>
      <c r="T224" t="s">
        <v>50</v>
      </c>
      <c r="U224" t="s">
        <v>1655</v>
      </c>
      <c r="V224" t="s">
        <v>1656</v>
      </c>
      <c r="W224">
        <v>25</v>
      </c>
      <c r="X224" t="s">
        <v>53</v>
      </c>
      <c r="Y224">
        <v>0</v>
      </c>
    </row>
    <row r="225" spans="1:25" x14ac:dyDescent="0.35">
      <c r="A225" t="s">
        <v>1657</v>
      </c>
      <c r="B225" s="1">
        <v>45447</v>
      </c>
      <c r="C225" s="1">
        <v>45450</v>
      </c>
      <c r="D225" t="s">
        <v>1658</v>
      </c>
      <c r="E225" t="s">
        <v>1659</v>
      </c>
      <c r="F225" t="s">
        <v>57</v>
      </c>
      <c r="G225" t="s">
        <v>1660</v>
      </c>
      <c r="H225" t="s">
        <v>127</v>
      </c>
      <c r="I225" t="s">
        <v>45</v>
      </c>
      <c r="J225" t="s">
        <v>118</v>
      </c>
      <c r="K225" t="s">
        <v>181</v>
      </c>
      <c r="L225" t="s">
        <v>1661</v>
      </c>
      <c r="M225">
        <v>4</v>
      </c>
      <c r="N225">
        <v>1476</v>
      </c>
      <c r="O225">
        <v>5</v>
      </c>
      <c r="P225">
        <v>6283.8</v>
      </c>
      <c r="Q225">
        <v>5609.57</v>
      </c>
      <c r="R225">
        <v>674.23</v>
      </c>
      <c r="S225" t="s">
        <v>80</v>
      </c>
      <c r="T225" t="s">
        <v>50</v>
      </c>
      <c r="U225" t="s">
        <v>1662</v>
      </c>
      <c r="V225" t="s">
        <v>1663</v>
      </c>
      <c r="W225">
        <v>10</v>
      </c>
      <c r="X225" t="s">
        <v>53</v>
      </c>
      <c r="Y225">
        <v>0</v>
      </c>
    </row>
    <row r="226" spans="1:25" x14ac:dyDescent="0.35">
      <c r="A226" t="s">
        <v>1664</v>
      </c>
      <c r="B226" s="1">
        <v>45357</v>
      </c>
      <c r="C226" s="1">
        <v>45360</v>
      </c>
      <c r="D226" t="s">
        <v>1665</v>
      </c>
      <c r="E226" t="s">
        <v>1666</v>
      </c>
      <c r="F226" t="s">
        <v>95</v>
      </c>
      <c r="G226" t="s">
        <v>1667</v>
      </c>
      <c r="H226" t="s">
        <v>189</v>
      </c>
      <c r="I226" t="s">
        <v>108</v>
      </c>
      <c r="J226" t="s">
        <v>46</v>
      </c>
      <c r="K226" t="s">
        <v>648</v>
      </c>
      <c r="L226" t="s">
        <v>1668</v>
      </c>
      <c r="M226">
        <v>8</v>
      </c>
      <c r="N226">
        <v>2339</v>
      </c>
      <c r="O226">
        <v>15</v>
      </c>
      <c r="P226">
        <v>16580.2</v>
      </c>
      <c r="Q226">
        <v>15906.01</v>
      </c>
      <c r="R226">
        <v>674.19</v>
      </c>
      <c r="S226" t="s">
        <v>49</v>
      </c>
      <c r="T226" t="s">
        <v>89</v>
      </c>
      <c r="U226" t="s">
        <v>1669</v>
      </c>
      <c r="V226" t="s">
        <v>1670</v>
      </c>
      <c r="W226">
        <v>3</v>
      </c>
      <c r="X226" t="s">
        <v>39</v>
      </c>
      <c r="Y226">
        <v>48</v>
      </c>
    </row>
    <row r="227" spans="1:25" x14ac:dyDescent="0.35">
      <c r="A227" t="s">
        <v>1671</v>
      </c>
      <c r="B227" s="1">
        <v>45889</v>
      </c>
      <c r="C227" s="1">
        <v>45893</v>
      </c>
      <c r="D227" t="s">
        <v>1672</v>
      </c>
      <c r="E227" t="s">
        <v>1673</v>
      </c>
      <c r="F227" t="s">
        <v>28</v>
      </c>
      <c r="G227" t="s">
        <v>1674</v>
      </c>
      <c r="H227" t="s">
        <v>189</v>
      </c>
      <c r="I227" t="s">
        <v>108</v>
      </c>
      <c r="J227" t="s">
        <v>32</v>
      </c>
      <c r="K227" t="s">
        <v>138</v>
      </c>
      <c r="L227" t="s">
        <v>1675</v>
      </c>
      <c r="M227">
        <v>10</v>
      </c>
      <c r="N227">
        <v>1540</v>
      </c>
      <c r="O227">
        <v>20</v>
      </c>
      <c r="P227">
        <v>12995</v>
      </c>
      <c r="Q227">
        <v>12320.77</v>
      </c>
      <c r="R227">
        <v>674.23</v>
      </c>
      <c r="S227" t="s">
        <v>80</v>
      </c>
      <c r="T227" t="s">
        <v>140</v>
      </c>
      <c r="U227" t="s">
        <v>1676</v>
      </c>
      <c r="V227" t="s">
        <v>1677</v>
      </c>
      <c r="W227">
        <v>4</v>
      </c>
      <c r="X227" t="s">
        <v>39</v>
      </c>
      <c r="Y227">
        <v>26</v>
      </c>
    </row>
    <row r="228" spans="1:25" x14ac:dyDescent="0.35">
      <c r="A228" t="s">
        <v>1678</v>
      </c>
      <c r="B228" s="1">
        <v>45274</v>
      </c>
      <c r="C228" s="1">
        <v>45275</v>
      </c>
      <c r="D228" t="s">
        <v>1679</v>
      </c>
      <c r="E228" t="s">
        <v>1680</v>
      </c>
      <c r="F228" t="s">
        <v>57</v>
      </c>
      <c r="G228" t="s">
        <v>1681</v>
      </c>
      <c r="H228" t="s">
        <v>189</v>
      </c>
      <c r="I228" t="s">
        <v>108</v>
      </c>
      <c r="J228" t="s">
        <v>118</v>
      </c>
      <c r="K228" t="s">
        <v>312</v>
      </c>
      <c r="L228" t="s">
        <v>1682</v>
      </c>
      <c r="M228">
        <v>6</v>
      </c>
      <c r="N228">
        <v>2720</v>
      </c>
      <c r="O228">
        <v>0</v>
      </c>
      <c r="P228">
        <v>16995</v>
      </c>
      <c r="Q228">
        <v>16320.79</v>
      </c>
      <c r="R228">
        <v>674.21</v>
      </c>
      <c r="S228" t="s">
        <v>80</v>
      </c>
      <c r="T228" t="s">
        <v>89</v>
      </c>
      <c r="U228" t="s">
        <v>1683</v>
      </c>
      <c r="V228" t="s">
        <v>1684</v>
      </c>
      <c r="W228">
        <v>29</v>
      </c>
      <c r="X228" t="s">
        <v>53</v>
      </c>
      <c r="Y228">
        <v>0</v>
      </c>
    </row>
    <row r="229" spans="1:25" x14ac:dyDescent="0.35">
      <c r="A229" t="s">
        <v>1685</v>
      </c>
      <c r="B229" s="1">
        <v>45249</v>
      </c>
      <c r="C229" s="1">
        <v>45254</v>
      </c>
      <c r="D229" t="s">
        <v>479</v>
      </c>
      <c r="E229" t="s">
        <v>1686</v>
      </c>
      <c r="F229" t="s">
        <v>28</v>
      </c>
      <c r="G229" t="s">
        <v>1687</v>
      </c>
      <c r="H229" t="s">
        <v>127</v>
      </c>
      <c r="I229" t="s">
        <v>45</v>
      </c>
      <c r="J229" t="s">
        <v>32</v>
      </c>
      <c r="K229" t="s">
        <v>691</v>
      </c>
      <c r="L229" t="s">
        <v>1283</v>
      </c>
      <c r="M229">
        <v>2</v>
      </c>
      <c r="N229">
        <v>741</v>
      </c>
      <c r="O229">
        <v>10</v>
      </c>
      <c r="P229">
        <v>2008.8</v>
      </c>
      <c r="Q229">
        <v>1334.59</v>
      </c>
      <c r="R229">
        <v>674.21</v>
      </c>
      <c r="S229" t="s">
        <v>80</v>
      </c>
      <c r="T229" t="s">
        <v>140</v>
      </c>
      <c r="U229" t="s">
        <v>1688</v>
      </c>
      <c r="V229" t="s">
        <v>1689</v>
      </c>
      <c r="W229">
        <v>5</v>
      </c>
      <c r="X229" t="s">
        <v>39</v>
      </c>
      <c r="Y229">
        <v>27</v>
      </c>
    </row>
    <row r="230" spans="1:25" x14ac:dyDescent="0.35">
      <c r="A230" t="s">
        <v>1690</v>
      </c>
      <c r="B230" s="1">
        <v>45407</v>
      </c>
      <c r="C230" s="1">
        <v>45414</v>
      </c>
      <c r="D230" t="s">
        <v>1691</v>
      </c>
      <c r="E230" t="s">
        <v>1692</v>
      </c>
      <c r="F230" t="s">
        <v>57</v>
      </c>
      <c r="G230" t="s">
        <v>1693</v>
      </c>
      <c r="H230" t="s">
        <v>30</v>
      </c>
      <c r="I230" t="s">
        <v>31</v>
      </c>
      <c r="J230" t="s">
        <v>97</v>
      </c>
      <c r="K230" t="s">
        <v>222</v>
      </c>
      <c r="L230" t="s">
        <v>1694</v>
      </c>
      <c r="M230">
        <v>8</v>
      </c>
      <c r="N230">
        <v>1052</v>
      </c>
      <c r="O230">
        <v>5</v>
      </c>
      <c r="P230">
        <v>8670.2000000000007</v>
      </c>
      <c r="Q230">
        <v>7995.99</v>
      </c>
      <c r="R230">
        <v>674.21</v>
      </c>
      <c r="S230" t="s">
        <v>49</v>
      </c>
      <c r="T230" t="s">
        <v>140</v>
      </c>
      <c r="U230" t="s">
        <v>1695</v>
      </c>
      <c r="V230" t="s">
        <v>1696</v>
      </c>
      <c r="W230">
        <v>50</v>
      </c>
      <c r="X230" t="s">
        <v>53</v>
      </c>
      <c r="Y230">
        <v>0</v>
      </c>
    </row>
    <row r="231" spans="1:25" x14ac:dyDescent="0.35">
      <c r="A231" t="s">
        <v>1697</v>
      </c>
      <c r="B231" s="1">
        <v>45874</v>
      </c>
      <c r="C231" s="1">
        <v>45877</v>
      </c>
      <c r="D231" t="s">
        <v>1698</v>
      </c>
      <c r="E231" t="s">
        <v>1699</v>
      </c>
      <c r="F231" t="s">
        <v>95</v>
      </c>
      <c r="G231" t="s">
        <v>1700</v>
      </c>
      <c r="H231" t="s">
        <v>334</v>
      </c>
      <c r="I231" t="s">
        <v>108</v>
      </c>
      <c r="J231" t="s">
        <v>32</v>
      </c>
      <c r="K231" t="s">
        <v>466</v>
      </c>
      <c r="L231" t="s">
        <v>1701</v>
      </c>
      <c r="M231">
        <v>8</v>
      </c>
      <c r="N231">
        <v>4588</v>
      </c>
      <c r="O231">
        <v>20</v>
      </c>
      <c r="P231">
        <v>30038.2</v>
      </c>
      <c r="Q231">
        <v>29364.06</v>
      </c>
      <c r="R231">
        <v>674.14</v>
      </c>
      <c r="S231" t="s">
        <v>100</v>
      </c>
      <c r="T231" t="s">
        <v>36</v>
      </c>
      <c r="U231" t="s">
        <v>1702</v>
      </c>
      <c r="V231" t="s">
        <v>1703</v>
      </c>
      <c r="W231">
        <v>34</v>
      </c>
      <c r="X231" t="s">
        <v>53</v>
      </c>
      <c r="Y231">
        <v>0</v>
      </c>
    </row>
    <row r="232" spans="1:25" x14ac:dyDescent="0.35">
      <c r="A232" t="s">
        <v>1704</v>
      </c>
      <c r="B232" s="1">
        <v>45515</v>
      </c>
      <c r="C232" s="1">
        <v>45520</v>
      </c>
      <c r="D232" t="s">
        <v>1705</v>
      </c>
      <c r="E232" t="s">
        <v>1706</v>
      </c>
      <c r="F232" t="s">
        <v>28</v>
      </c>
      <c r="G232" t="s">
        <v>1707</v>
      </c>
      <c r="H232" t="s">
        <v>59</v>
      </c>
      <c r="I232" t="s">
        <v>31</v>
      </c>
      <c r="J232" t="s">
        <v>32</v>
      </c>
      <c r="K232" t="s">
        <v>312</v>
      </c>
      <c r="L232" t="s">
        <v>1708</v>
      </c>
      <c r="M232">
        <v>7</v>
      </c>
      <c r="N232">
        <v>979</v>
      </c>
      <c r="O232">
        <v>10</v>
      </c>
      <c r="P232">
        <v>6842.7</v>
      </c>
      <c r="Q232">
        <v>6168.33</v>
      </c>
      <c r="R232">
        <v>674.37</v>
      </c>
      <c r="S232" t="s">
        <v>35</v>
      </c>
      <c r="T232" t="s">
        <v>36</v>
      </c>
      <c r="U232" t="s">
        <v>1709</v>
      </c>
      <c r="V232" t="s">
        <v>1710</v>
      </c>
      <c r="W232">
        <v>0</v>
      </c>
      <c r="X232" t="s">
        <v>39</v>
      </c>
      <c r="Y232">
        <v>49</v>
      </c>
    </row>
    <row r="233" spans="1:25" x14ac:dyDescent="0.35">
      <c r="A233" t="s">
        <v>1711</v>
      </c>
      <c r="B233" s="1">
        <v>45550</v>
      </c>
      <c r="C233" s="1">
        <v>45551</v>
      </c>
      <c r="D233" t="s">
        <v>41</v>
      </c>
      <c r="E233" t="s">
        <v>1712</v>
      </c>
      <c r="F233" t="s">
        <v>57</v>
      </c>
      <c r="G233" t="s">
        <v>1713</v>
      </c>
      <c r="H233" t="s">
        <v>320</v>
      </c>
      <c r="I233" t="s">
        <v>137</v>
      </c>
      <c r="J233" t="s">
        <v>32</v>
      </c>
      <c r="K233" t="s">
        <v>430</v>
      </c>
      <c r="L233" t="s">
        <v>1714</v>
      </c>
      <c r="M233">
        <v>7</v>
      </c>
      <c r="N233">
        <v>3475</v>
      </c>
      <c r="O233">
        <v>5</v>
      </c>
      <c r="P233">
        <v>23783.75</v>
      </c>
      <c r="Q233">
        <v>23109.5</v>
      </c>
      <c r="R233">
        <v>674.25</v>
      </c>
      <c r="S233" t="s">
        <v>49</v>
      </c>
      <c r="T233" t="s">
        <v>140</v>
      </c>
      <c r="U233" t="s">
        <v>1715</v>
      </c>
      <c r="V233" t="s">
        <v>1716</v>
      </c>
      <c r="W233">
        <v>27</v>
      </c>
      <c r="X233" t="s">
        <v>53</v>
      </c>
      <c r="Y233">
        <v>0</v>
      </c>
    </row>
    <row r="234" spans="1:25" x14ac:dyDescent="0.35">
      <c r="A234" t="s">
        <v>1717</v>
      </c>
      <c r="B234" s="1">
        <v>45896</v>
      </c>
      <c r="C234" s="1">
        <v>45900</v>
      </c>
      <c r="D234" t="s">
        <v>1718</v>
      </c>
      <c r="E234" t="s">
        <v>1719</v>
      </c>
      <c r="F234" t="s">
        <v>95</v>
      </c>
      <c r="G234" t="s">
        <v>1720</v>
      </c>
      <c r="H234" t="s">
        <v>68</v>
      </c>
      <c r="I234" t="s">
        <v>31</v>
      </c>
      <c r="J234" t="s">
        <v>46</v>
      </c>
      <c r="K234" t="s">
        <v>400</v>
      </c>
      <c r="L234" t="s">
        <v>1721</v>
      </c>
      <c r="M234">
        <v>7</v>
      </c>
      <c r="N234">
        <v>1068</v>
      </c>
      <c r="O234">
        <v>5</v>
      </c>
      <c r="P234">
        <v>7333.2</v>
      </c>
      <c r="Q234">
        <v>7102.91</v>
      </c>
      <c r="R234">
        <v>230.29</v>
      </c>
      <c r="S234" t="s">
        <v>49</v>
      </c>
      <c r="T234" t="s">
        <v>50</v>
      </c>
      <c r="U234" t="s">
        <v>1722</v>
      </c>
      <c r="V234" t="s">
        <v>1723</v>
      </c>
      <c r="W234">
        <v>22</v>
      </c>
      <c r="X234" t="s">
        <v>53</v>
      </c>
      <c r="Y234">
        <v>0</v>
      </c>
    </row>
    <row r="235" spans="1:25" x14ac:dyDescent="0.35">
      <c r="A235" t="s">
        <v>1724</v>
      </c>
      <c r="B235" s="1">
        <v>45641</v>
      </c>
      <c r="C235" s="1">
        <v>45643</v>
      </c>
      <c r="D235" t="s">
        <v>1725</v>
      </c>
      <c r="E235" t="s">
        <v>1726</v>
      </c>
      <c r="F235" t="s">
        <v>95</v>
      </c>
      <c r="G235" t="s">
        <v>1727</v>
      </c>
      <c r="H235" t="s">
        <v>30</v>
      </c>
      <c r="I235" t="s">
        <v>31</v>
      </c>
      <c r="J235" t="s">
        <v>118</v>
      </c>
      <c r="K235" t="s">
        <v>885</v>
      </c>
      <c r="L235" t="s">
        <v>1728</v>
      </c>
      <c r="M235">
        <v>2</v>
      </c>
      <c r="N235">
        <v>4943</v>
      </c>
      <c r="O235">
        <v>15</v>
      </c>
      <c r="P235">
        <v>8634.1</v>
      </c>
      <c r="Q235">
        <v>8403.9699999999993</v>
      </c>
      <c r="R235">
        <v>230.13</v>
      </c>
      <c r="S235" t="s">
        <v>80</v>
      </c>
      <c r="T235" t="s">
        <v>50</v>
      </c>
      <c r="U235" t="s">
        <v>1729</v>
      </c>
      <c r="V235" t="s">
        <v>1730</v>
      </c>
      <c r="W235">
        <v>42</v>
      </c>
      <c r="X235" t="s">
        <v>53</v>
      </c>
      <c r="Y235">
        <v>0</v>
      </c>
    </row>
    <row r="236" spans="1:25" x14ac:dyDescent="0.35">
      <c r="A236" t="s">
        <v>1731</v>
      </c>
      <c r="B236" s="1">
        <v>45553</v>
      </c>
      <c r="C236" s="1">
        <v>45560</v>
      </c>
      <c r="D236" t="s">
        <v>124</v>
      </c>
      <c r="E236" t="s">
        <v>1732</v>
      </c>
      <c r="F236" t="s">
        <v>95</v>
      </c>
      <c r="G236" t="s">
        <v>1733</v>
      </c>
      <c r="H236" t="s">
        <v>107</v>
      </c>
      <c r="I236" t="s">
        <v>108</v>
      </c>
      <c r="J236" t="s">
        <v>46</v>
      </c>
      <c r="K236" t="s">
        <v>662</v>
      </c>
      <c r="L236" t="s">
        <v>1734</v>
      </c>
      <c r="M236">
        <v>9</v>
      </c>
      <c r="N236">
        <v>4889</v>
      </c>
      <c r="O236">
        <v>15</v>
      </c>
      <c r="P236">
        <v>37631.85</v>
      </c>
      <c r="Q236">
        <v>37401.449999999997</v>
      </c>
      <c r="R236">
        <v>230.4</v>
      </c>
      <c r="S236" t="s">
        <v>35</v>
      </c>
      <c r="T236" t="s">
        <v>36</v>
      </c>
      <c r="U236" t="s">
        <v>1735</v>
      </c>
      <c r="V236" t="s">
        <v>1736</v>
      </c>
      <c r="W236">
        <v>41</v>
      </c>
      <c r="X236" t="s">
        <v>53</v>
      </c>
      <c r="Y236">
        <v>0</v>
      </c>
    </row>
    <row r="237" spans="1:25" x14ac:dyDescent="0.35">
      <c r="A237" t="s">
        <v>1737</v>
      </c>
      <c r="B237" s="1">
        <v>45896</v>
      </c>
      <c r="C237" s="1">
        <v>45901</v>
      </c>
      <c r="D237" t="s">
        <v>1725</v>
      </c>
      <c r="E237" t="s">
        <v>1738</v>
      </c>
      <c r="F237" t="s">
        <v>95</v>
      </c>
      <c r="G237" t="s">
        <v>1739</v>
      </c>
      <c r="H237" t="s">
        <v>334</v>
      </c>
      <c r="I237" t="s">
        <v>108</v>
      </c>
      <c r="J237" t="s">
        <v>118</v>
      </c>
      <c r="K237" t="s">
        <v>474</v>
      </c>
      <c r="L237" t="s">
        <v>1740</v>
      </c>
      <c r="M237">
        <v>9</v>
      </c>
      <c r="N237">
        <v>2698</v>
      </c>
      <c r="O237">
        <v>10</v>
      </c>
      <c r="P237">
        <v>22084.799999999999</v>
      </c>
      <c r="Q237">
        <v>21854.53</v>
      </c>
      <c r="R237">
        <v>230.27</v>
      </c>
      <c r="S237" t="s">
        <v>35</v>
      </c>
      <c r="T237" t="s">
        <v>89</v>
      </c>
      <c r="U237" t="s">
        <v>1741</v>
      </c>
      <c r="V237" t="s">
        <v>1742</v>
      </c>
      <c r="W237">
        <v>31</v>
      </c>
      <c r="X237" t="s">
        <v>53</v>
      </c>
      <c r="Y237">
        <v>0</v>
      </c>
    </row>
    <row r="238" spans="1:25" x14ac:dyDescent="0.35">
      <c r="A238" t="s">
        <v>1743</v>
      </c>
      <c r="B238" s="1">
        <v>45444</v>
      </c>
      <c r="C238" s="1">
        <v>45446</v>
      </c>
      <c r="D238" t="s">
        <v>1744</v>
      </c>
      <c r="E238" t="s">
        <v>1745</v>
      </c>
      <c r="F238" t="s">
        <v>28</v>
      </c>
      <c r="G238" t="s">
        <v>1746</v>
      </c>
      <c r="H238" t="s">
        <v>320</v>
      </c>
      <c r="I238" t="s">
        <v>137</v>
      </c>
      <c r="J238" t="s">
        <v>97</v>
      </c>
      <c r="K238" t="s">
        <v>415</v>
      </c>
      <c r="L238" t="s">
        <v>1747</v>
      </c>
      <c r="M238">
        <v>9</v>
      </c>
      <c r="N238">
        <v>563</v>
      </c>
      <c r="O238">
        <v>5</v>
      </c>
      <c r="P238">
        <v>5044.6499999999996</v>
      </c>
      <c r="Q238">
        <v>4814.29</v>
      </c>
      <c r="R238">
        <v>230.36</v>
      </c>
      <c r="S238" t="s">
        <v>35</v>
      </c>
      <c r="T238" t="s">
        <v>89</v>
      </c>
      <c r="U238" t="s">
        <v>1748</v>
      </c>
      <c r="V238" t="s">
        <v>1749</v>
      </c>
      <c r="W238">
        <v>13</v>
      </c>
      <c r="X238" t="s">
        <v>53</v>
      </c>
      <c r="Y238">
        <v>0</v>
      </c>
    </row>
    <row r="239" spans="1:25" x14ac:dyDescent="0.35">
      <c r="A239" t="s">
        <v>1750</v>
      </c>
      <c r="B239" s="1">
        <v>45717</v>
      </c>
      <c r="C239" s="1">
        <v>45720</v>
      </c>
      <c r="D239" t="s">
        <v>1751</v>
      </c>
      <c r="E239" t="s">
        <v>1752</v>
      </c>
      <c r="F239" t="s">
        <v>28</v>
      </c>
      <c r="G239" t="s">
        <v>1753</v>
      </c>
      <c r="H239" t="s">
        <v>172</v>
      </c>
      <c r="I239" t="s">
        <v>45</v>
      </c>
      <c r="J239" t="s">
        <v>118</v>
      </c>
      <c r="K239" t="s">
        <v>474</v>
      </c>
      <c r="L239" t="s">
        <v>1754</v>
      </c>
      <c r="M239">
        <v>7</v>
      </c>
      <c r="N239">
        <v>420</v>
      </c>
      <c r="O239">
        <v>20</v>
      </c>
      <c r="P239">
        <v>2583</v>
      </c>
      <c r="Q239">
        <v>2352.66</v>
      </c>
      <c r="R239">
        <v>230.34</v>
      </c>
      <c r="S239" t="s">
        <v>49</v>
      </c>
      <c r="T239" t="s">
        <v>36</v>
      </c>
      <c r="U239" t="s">
        <v>1755</v>
      </c>
      <c r="V239" t="s">
        <v>1756</v>
      </c>
      <c r="W239">
        <v>42</v>
      </c>
      <c r="X239" t="s">
        <v>53</v>
      </c>
      <c r="Y239">
        <v>0</v>
      </c>
    </row>
    <row r="240" spans="1:25" x14ac:dyDescent="0.35">
      <c r="A240" t="s">
        <v>1757</v>
      </c>
      <c r="B240" s="1">
        <v>45356</v>
      </c>
      <c r="C240" s="1">
        <v>45357</v>
      </c>
      <c r="D240" t="s">
        <v>1758</v>
      </c>
      <c r="E240" t="s">
        <v>1759</v>
      </c>
      <c r="F240" t="s">
        <v>28</v>
      </c>
      <c r="G240" t="s">
        <v>1760</v>
      </c>
      <c r="H240" t="s">
        <v>334</v>
      </c>
      <c r="I240" t="s">
        <v>108</v>
      </c>
      <c r="J240" t="s">
        <v>32</v>
      </c>
      <c r="K240" t="s">
        <v>482</v>
      </c>
      <c r="L240" t="s">
        <v>1761</v>
      </c>
      <c r="M240">
        <v>3</v>
      </c>
      <c r="N240">
        <v>4561</v>
      </c>
      <c r="O240">
        <v>15</v>
      </c>
      <c r="P240">
        <v>11861.55</v>
      </c>
      <c r="Q240">
        <v>11631.32</v>
      </c>
      <c r="R240">
        <v>230.23</v>
      </c>
      <c r="S240" t="s">
        <v>100</v>
      </c>
      <c r="T240" t="s">
        <v>36</v>
      </c>
      <c r="U240" t="s">
        <v>1762</v>
      </c>
      <c r="V240" t="s">
        <v>1763</v>
      </c>
      <c r="W240">
        <v>8</v>
      </c>
      <c r="X240" t="s">
        <v>39</v>
      </c>
      <c r="Y240">
        <v>26</v>
      </c>
    </row>
    <row r="241" spans="1:25" x14ac:dyDescent="0.35">
      <c r="A241" t="s">
        <v>1764</v>
      </c>
      <c r="B241" s="1">
        <v>45891</v>
      </c>
      <c r="C241" s="1">
        <v>45893</v>
      </c>
      <c r="D241" t="s">
        <v>1765</v>
      </c>
      <c r="E241" t="s">
        <v>1766</v>
      </c>
      <c r="F241" t="s">
        <v>57</v>
      </c>
      <c r="G241" t="s">
        <v>1767</v>
      </c>
      <c r="H241" t="s">
        <v>136</v>
      </c>
      <c r="I241" t="s">
        <v>137</v>
      </c>
      <c r="J241" t="s">
        <v>118</v>
      </c>
      <c r="K241" t="s">
        <v>128</v>
      </c>
      <c r="L241" t="s">
        <v>1768</v>
      </c>
      <c r="M241">
        <v>10</v>
      </c>
      <c r="N241">
        <v>2495</v>
      </c>
      <c r="O241">
        <v>5</v>
      </c>
      <c r="P241">
        <v>23933.5</v>
      </c>
      <c r="Q241">
        <v>23703.29</v>
      </c>
      <c r="R241">
        <v>230.21</v>
      </c>
      <c r="S241" t="s">
        <v>35</v>
      </c>
      <c r="T241" t="s">
        <v>50</v>
      </c>
      <c r="U241" t="s">
        <v>1769</v>
      </c>
      <c r="V241" t="s">
        <v>1770</v>
      </c>
      <c r="W241">
        <v>6</v>
      </c>
      <c r="X241" t="s">
        <v>39</v>
      </c>
      <c r="Y241">
        <v>27</v>
      </c>
    </row>
    <row r="242" spans="1:25" x14ac:dyDescent="0.35">
      <c r="A242" t="s">
        <v>1771</v>
      </c>
      <c r="B242" s="1">
        <v>45530</v>
      </c>
      <c r="C242" s="1">
        <v>45536</v>
      </c>
      <c r="D242" t="s">
        <v>1772</v>
      </c>
      <c r="E242" t="s">
        <v>1773</v>
      </c>
      <c r="F242" t="s">
        <v>57</v>
      </c>
      <c r="G242" t="s">
        <v>1774</v>
      </c>
      <c r="H242" t="s">
        <v>189</v>
      </c>
      <c r="I242" t="s">
        <v>108</v>
      </c>
      <c r="J242" t="s">
        <v>32</v>
      </c>
      <c r="K242" t="s">
        <v>706</v>
      </c>
      <c r="L242" t="s">
        <v>1775</v>
      </c>
      <c r="M242">
        <v>10</v>
      </c>
      <c r="N242">
        <v>2041</v>
      </c>
      <c r="O242">
        <v>15</v>
      </c>
      <c r="P242">
        <v>17579.5</v>
      </c>
      <c r="Q242">
        <v>17349.150000000001</v>
      </c>
      <c r="R242">
        <v>230.35</v>
      </c>
      <c r="S242" t="s">
        <v>49</v>
      </c>
      <c r="T242" t="s">
        <v>36</v>
      </c>
      <c r="U242" t="s">
        <v>1776</v>
      </c>
      <c r="V242" t="s">
        <v>1777</v>
      </c>
      <c r="W242">
        <v>32</v>
      </c>
      <c r="X242" t="s">
        <v>53</v>
      </c>
      <c r="Y242">
        <v>0</v>
      </c>
    </row>
    <row r="243" spans="1:25" x14ac:dyDescent="0.35">
      <c r="A243" t="s">
        <v>1778</v>
      </c>
      <c r="B243" s="1">
        <v>45651</v>
      </c>
      <c r="C243" s="1">
        <v>45654</v>
      </c>
      <c r="D243" t="s">
        <v>1779</v>
      </c>
      <c r="E243" t="s">
        <v>1780</v>
      </c>
      <c r="F243" t="s">
        <v>95</v>
      </c>
      <c r="G243" t="s">
        <v>1781</v>
      </c>
      <c r="H243" t="s">
        <v>198</v>
      </c>
      <c r="I243" t="s">
        <v>31</v>
      </c>
      <c r="J243" t="s">
        <v>118</v>
      </c>
      <c r="K243" t="s">
        <v>532</v>
      </c>
      <c r="L243" t="s">
        <v>1782</v>
      </c>
      <c r="M243">
        <v>9</v>
      </c>
      <c r="N243">
        <v>1170</v>
      </c>
      <c r="O243">
        <v>10</v>
      </c>
      <c r="P243">
        <v>9708</v>
      </c>
      <c r="Q243">
        <v>9477.81</v>
      </c>
      <c r="R243">
        <v>230.19</v>
      </c>
      <c r="S243" t="s">
        <v>100</v>
      </c>
      <c r="T243" t="s">
        <v>140</v>
      </c>
      <c r="U243" t="s">
        <v>1783</v>
      </c>
      <c r="V243" t="s">
        <v>1784</v>
      </c>
      <c r="W243">
        <v>6</v>
      </c>
      <c r="X243" t="s">
        <v>39</v>
      </c>
      <c r="Y243">
        <v>25</v>
      </c>
    </row>
    <row r="244" spans="1:25" x14ac:dyDescent="0.35">
      <c r="A244" t="s">
        <v>1785</v>
      </c>
      <c r="B244" s="1">
        <v>45565</v>
      </c>
      <c r="C244" s="1">
        <v>45569</v>
      </c>
      <c r="D244" t="s">
        <v>1786</v>
      </c>
      <c r="E244" t="s">
        <v>1787</v>
      </c>
      <c r="F244" t="s">
        <v>95</v>
      </c>
      <c r="G244" t="s">
        <v>1788</v>
      </c>
      <c r="H244" t="s">
        <v>77</v>
      </c>
      <c r="I244" t="s">
        <v>45</v>
      </c>
      <c r="J244" t="s">
        <v>118</v>
      </c>
      <c r="K244" t="s">
        <v>547</v>
      </c>
      <c r="L244" t="s">
        <v>1789</v>
      </c>
      <c r="M244">
        <v>1</v>
      </c>
      <c r="N244">
        <v>4602</v>
      </c>
      <c r="O244">
        <v>20</v>
      </c>
      <c r="P244">
        <v>3912.6</v>
      </c>
      <c r="Q244">
        <v>3682.2</v>
      </c>
      <c r="R244">
        <v>230.4</v>
      </c>
      <c r="S244" t="s">
        <v>49</v>
      </c>
      <c r="T244" t="s">
        <v>50</v>
      </c>
      <c r="U244" t="s">
        <v>1790</v>
      </c>
      <c r="V244" t="s">
        <v>1791</v>
      </c>
      <c r="W244">
        <v>50</v>
      </c>
      <c r="X244" t="s">
        <v>53</v>
      </c>
      <c r="Y244">
        <v>0</v>
      </c>
    </row>
    <row r="245" spans="1:25" x14ac:dyDescent="0.35">
      <c r="A245" t="s">
        <v>1792</v>
      </c>
      <c r="B245" s="1">
        <v>45826</v>
      </c>
      <c r="C245" s="1">
        <v>45833</v>
      </c>
      <c r="D245" t="s">
        <v>1793</v>
      </c>
      <c r="E245" t="s">
        <v>1794</v>
      </c>
      <c r="F245" t="s">
        <v>57</v>
      </c>
      <c r="G245" t="s">
        <v>1795</v>
      </c>
      <c r="H245" t="s">
        <v>283</v>
      </c>
      <c r="I245" t="s">
        <v>45</v>
      </c>
      <c r="J245" t="s">
        <v>97</v>
      </c>
      <c r="K245" t="s">
        <v>992</v>
      </c>
      <c r="L245" t="s">
        <v>1796</v>
      </c>
      <c r="M245">
        <v>1</v>
      </c>
      <c r="N245">
        <v>1032</v>
      </c>
      <c r="O245">
        <v>10</v>
      </c>
      <c r="P245">
        <v>1159.8</v>
      </c>
      <c r="Q245">
        <v>929.44</v>
      </c>
      <c r="R245">
        <v>230.36</v>
      </c>
      <c r="S245" t="s">
        <v>35</v>
      </c>
      <c r="T245" t="s">
        <v>140</v>
      </c>
      <c r="U245" t="s">
        <v>1797</v>
      </c>
      <c r="V245" t="s">
        <v>1798</v>
      </c>
      <c r="W245">
        <v>24</v>
      </c>
      <c r="X245" t="s">
        <v>53</v>
      </c>
      <c r="Y245">
        <v>0</v>
      </c>
    </row>
    <row r="246" spans="1:25" x14ac:dyDescent="0.35">
      <c r="A246" t="s">
        <v>1799</v>
      </c>
      <c r="B246" s="1">
        <v>45806</v>
      </c>
      <c r="C246" s="1">
        <v>45809</v>
      </c>
      <c r="D246" t="s">
        <v>1280</v>
      </c>
      <c r="E246" t="s">
        <v>1800</v>
      </c>
      <c r="F246" t="s">
        <v>57</v>
      </c>
      <c r="G246" t="s">
        <v>1801</v>
      </c>
      <c r="H246" t="s">
        <v>163</v>
      </c>
      <c r="I246" t="s">
        <v>108</v>
      </c>
      <c r="J246" t="s">
        <v>32</v>
      </c>
      <c r="K246" t="s">
        <v>181</v>
      </c>
      <c r="L246" t="s">
        <v>1802</v>
      </c>
      <c r="M246">
        <v>4</v>
      </c>
      <c r="N246">
        <v>1018</v>
      </c>
      <c r="O246">
        <v>5</v>
      </c>
      <c r="P246">
        <v>4099.3999999999996</v>
      </c>
      <c r="Q246">
        <v>3869.06</v>
      </c>
      <c r="R246">
        <v>230.34</v>
      </c>
      <c r="S246" t="s">
        <v>100</v>
      </c>
      <c r="T246" t="s">
        <v>50</v>
      </c>
      <c r="U246" t="s">
        <v>1803</v>
      </c>
      <c r="V246" t="s">
        <v>1804</v>
      </c>
      <c r="W246">
        <v>48</v>
      </c>
      <c r="X246" t="s">
        <v>53</v>
      </c>
      <c r="Y246">
        <v>0</v>
      </c>
    </row>
    <row r="247" spans="1:25" x14ac:dyDescent="0.35">
      <c r="A247" t="s">
        <v>1805</v>
      </c>
      <c r="B247" s="1">
        <v>45778</v>
      </c>
      <c r="C247" s="1">
        <v>45780</v>
      </c>
      <c r="D247" t="s">
        <v>917</v>
      </c>
      <c r="E247" t="s">
        <v>1806</v>
      </c>
      <c r="F247" t="s">
        <v>28</v>
      </c>
      <c r="G247" t="s">
        <v>1807</v>
      </c>
      <c r="H247" t="s">
        <v>127</v>
      </c>
      <c r="I247" t="s">
        <v>45</v>
      </c>
      <c r="J247" t="s">
        <v>32</v>
      </c>
      <c r="K247" t="s">
        <v>927</v>
      </c>
      <c r="L247" t="s">
        <v>1808</v>
      </c>
      <c r="M247">
        <v>10</v>
      </c>
      <c r="N247">
        <v>162</v>
      </c>
      <c r="O247">
        <v>20</v>
      </c>
      <c r="P247">
        <v>1527</v>
      </c>
      <c r="Q247">
        <v>1296.8800000000001</v>
      </c>
      <c r="R247">
        <v>230.12</v>
      </c>
      <c r="S247" t="s">
        <v>100</v>
      </c>
      <c r="T247" t="s">
        <v>89</v>
      </c>
      <c r="U247" t="s">
        <v>1809</v>
      </c>
      <c r="V247" t="s">
        <v>1810</v>
      </c>
      <c r="W247">
        <v>12</v>
      </c>
      <c r="X247" t="s">
        <v>53</v>
      </c>
      <c r="Y247">
        <v>0</v>
      </c>
    </row>
    <row r="248" spans="1:25" x14ac:dyDescent="0.35">
      <c r="A248" t="s">
        <v>1811</v>
      </c>
      <c r="B248" s="1">
        <v>45748</v>
      </c>
      <c r="C248" s="1">
        <v>45752</v>
      </c>
      <c r="D248" t="s">
        <v>1812</v>
      </c>
      <c r="E248" t="s">
        <v>1813</v>
      </c>
      <c r="F248" t="s">
        <v>95</v>
      </c>
      <c r="G248" t="s">
        <v>1814</v>
      </c>
      <c r="H248" t="s">
        <v>59</v>
      </c>
      <c r="I248" t="s">
        <v>31</v>
      </c>
      <c r="J248" t="s">
        <v>97</v>
      </c>
      <c r="K248" t="s">
        <v>190</v>
      </c>
      <c r="L248" t="s">
        <v>1815</v>
      </c>
      <c r="M248">
        <v>1</v>
      </c>
      <c r="N248">
        <v>1997</v>
      </c>
      <c r="O248">
        <v>20</v>
      </c>
      <c r="P248">
        <v>1828.6</v>
      </c>
      <c r="Q248">
        <v>1598.45</v>
      </c>
      <c r="R248">
        <v>230.15</v>
      </c>
      <c r="S248" t="s">
        <v>100</v>
      </c>
      <c r="T248" t="s">
        <v>140</v>
      </c>
      <c r="U248" t="s">
        <v>1816</v>
      </c>
      <c r="V248" t="s">
        <v>1817</v>
      </c>
      <c r="W248">
        <v>14</v>
      </c>
      <c r="X248" t="s">
        <v>53</v>
      </c>
      <c r="Y248">
        <v>0</v>
      </c>
    </row>
    <row r="249" spans="1:25" x14ac:dyDescent="0.35">
      <c r="A249" t="s">
        <v>1818</v>
      </c>
      <c r="B249" s="1">
        <v>45275</v>
      </c>
      <c r="C249" s="1">
        <v>45277</v>
      </c>
      <c r="D249" t="s">
        <v>1819</v>
      </c>
      <c r="E249" t="s">
        <v>1820</v>
      </c>
      <c r="F249" t="s">
        <v>57</v>
      </c>
      <c r="G249" t="s">
        <v>1821</v>
      </c>
      <c r="H249" t="s">
        <v>189</v>
      </c>
      <c r="I249" t="s">
        <v>108</v>
      </c>
      <c r="J249" t="s">
        <v>32</v>
      </c>
      <c r="K249" t="s">
        <v>662</v>
      </c>
      <c r="L249" t="s">
        <v>1822</v>
      </c>
      <c r="M249">
        <v>6</v>
      </c>
      <c r="N249">
        <v>3762</v>
      </c>
      <c r="O249">
        <v>10</v>
      </c>
      <c r="P249">
        <v>20545.8</v>
      </c>
      <c r="Q249">
        <v>20315.599999999999</v>
      </c>
      <c r="R249">
        <v>230.2</v>
      </c>
      <c r="S249" t="s">
        <v>100</v>
      </c>
      <c r="T249" t="s">
        <v>140</v>
      </c>
      <c r="U249" t="s">
        <v>1823</v>
      </c>
      <c r="V249" t="s">
        <v>1824</v>
      </c>
      <c r="W249">
        <v>36</v>
      </c>
      <c r="X249" t="s">
        <v>53</v>
      </c>
      <c r="Y249">
        <v>0</v>
      </c>
    </row>
    <row r="250" spans="1:25" x14ac:dyDescent="0.35">
      <c r="A250" t="s">
        <v>1825</v>
      </c>
      <c r="B250" s="1">
        <v>45810</v>
      </c>
      <c r="C250" s="1">
        <v>45814</v>
      </c>
      <c r="D250" t="s">
        <v>1582</v>
      </c>
      <c r="E250" t="s">
        <v>1826</v>
      </c>
      <c r="F250" t="s">
        <v>28</v>
      </c>
      <c r="G250" t="s">
        <v>1827</v>
      </c>
      <c r="H250" t="s">
        <v>206</v>
      </c>
      <c r="I250" t="s">
        <v>31</v>
      </c>
      <c r="J250" t="s">
        <v>46</v>
      </c>
      <c r="K250" t="s">
        <v>992</v>
      </c>
      <c r="L250" t="s">
        <v>1828</v>
      </c>
      <c r="M250">
        <v>5</v>
      </c>
      <c r="N250">
        <v>4599</v>
      </c>
      <c r="O250">
        <v>15</v>
      </c>
      <c r="P250">
        <v>19776.75</v>
      </c>
      <c r="Q250">
        <v>19546.38</v>
      </c>
      <c r="R250">
        <v>230.37</v>
      </c>
      <c r="S250" t="s">
        <v>35</v>
      </c>
      <c r="T250" t="s">
        <v>50</v>
      </c>
      <c r="U250" t="s">
        <v>157</v>
      </c>
      <c r="V250" t="s">
        <v>1829</v>
      </c>
      <c r="W250">
        <v>33</v>
      </c>
      <c r="X250" t="s">
        <v>53</v>
      </c>
      <c r="Y250">
        <v>0</v>
      </c>
    </row>
    <row r="251" spans="1:25" x14ac:dyDescent="0.35">
      <c r="A251" t="s">
        <v>1830</v>
      </c>
      <c r="B251" s="1">
        <v>45290</v>
      </c>
      <c r="C251" s="1">
        <v>45292</v>
      </c>
      <c r="D251" t="s">
        <v>1831</v>
      </c>
      <c r="E251" t="s">
        <v>1832</v>
      </c>
      <c r="F251" t="s">
        <v>28</v>
      </c>
      <c r="G251" t="s">
        <v>1833</v>
      </c>
      <c r="H251" t="s">
        <v>206</v>
      </c>
      <c r="I251" t="s">
        <v>31</v>
      </c>
      <c r="J251" t="s">
        <v>97</v>
      </c>
      <c r="K251" t="s">
        <v>98</v>
      </c>
      <c r="L251" t="s">
        <v>1834</v>
      </c>
      <c r="M251">
        <v>6</v>
      </c>
      <c r="N251">
        <v>3034</v>
      </c>
      <c r="O251">
        <v>10</v>
      </c>
      <c r="P251">
        <v>16614.599999999999</v>
      </c>
      <c r="Q251">
        <v>16384.259999999998</v>
      </c>
      <c r="R251">
        <v>230.34</v>
      </c>
      <c r="S251" t="s">
        <v>100</v>
      </c>
      <c r="T251" t="s">
        <v>140</v>
      </c>
      <c r="U251" t="s">
        <v>1835</v>
      </c>
      <c r="V251" t="s">
        <v>1836</v>
      </c>
      <c r="W251">
        <v>46</v>
      </c>
      <c r="X251" t="s">
        <v>53</v>
      </c>
      <c r="Y251">
        <v>0</v>
      </c>
    </row>
    <row r="252" spans="1:25" x14ac:dyDescent="0.35">
      <c r="A252" t="s">
        <v>1837</v>
      </c>
      <c r="B252" s="1">
        <v>45924</v>
      </c>
      <c r="C252" s="1">
        <v>45927</v>
      </c>
      <c r="D252" t="s">
        <v>711</v>
      </c>
      <c r="E252" t="s">
        <v>1838</v>
      </c>
      <c r="F252" t="s">
        <v>57</v>
      </c>
      <c r="G252" t="s">
        <v>1839</v>
      </c>
      <c r="H252" t="s">
        <v>107</v>
      </c>
      <c r="I252" t="s">
        <v>108</v>
      </c>
      <c r="J252" t="s">
        <v>46</v>
      </c>
      <c r="K252" t="s">
        <v>927</v>
      </c>
      <c r="L252" t="s">
        <v>1840</v>
      </c>
      <c r="M252">
        <v>3</v>
      </c>
      <c r="N252">
        <v>1604</v>
      </c>
      <c r="O252">
        <v>10</v>
      </c>
      <c r="P252">
        <v>4561.8</v>
      </c>
      <c r="Q252">
        <v>4331.62</v>
      </c>
      <c r="R252">
        <v>230.18</v>
      </c>
      <c r="S252" t="s">
        <v>80</v>
      </c>
      <c r="T252" t="s">
        <v>89</v>
      </c>
      <c r="U252" t="s">
        <v>1841</v>
      </c>
      <c r="V252" t="s">
        <v>1842</v>
      </c>
      <c r="W252">
        <v>28</v>
      </c>
      <c r="X252" t="s">
        <v>53</v>
      </c>
      <c r="Y252">
        <v>0</v>
      </c>
    </row>
    <row r="253" spans="1:25" x14ac:dyDescent="0.35">
      <c r="A253" t="s">
        <v>1843</v>
      </c>
      <c r="B253" s="1">
        <v>45427</v>
      </c>
      <c r="C253" s="1">
        <v>45430</v>
      </c>
      <c r="D253" t="s">
        <v>1844</v>
      </c>
      <c r="E253" t="s">
        <v>1845</v>
      </c>
      <c r="F253" t="s">
        <v>95</v>
      </c>
      <c r="G253" t="s">
        <v>1846</v>
      </c>
      <c r="H253" t="s">
        <v>334</v>
      </c>
      <c r="I253" t="s">
        <v>108</v>
      </c>
      <c r="J253" t="s">
        <v>118</v>
      </c>
      <c r="K253" t="s">
        <v>207</v>
      </c>
      <c r="L253" t="s">
        <v>1847</v>
      </c>
      <c r="M253">
        <v>5</v>
      </c>
      <c r="N253">
        <v>1262</v>
      </c>
      <c r="O253">
        <v>10</v>
      </c>
      <c r="P253">
        <v>5910</v>
      </c>
      <c r="Q253">
        <v>5679.83</v>
      </c>
      <c r="R253">
        <v>230.17</v>
      </c>
      <c r="S253" t="s">
        <v>35</v>
      </c>
      <c r="T253" t="s">
        <v>50</v>
      </c>
      <c r="U253" t="s">
        <v>1848</v>
      </c>
      <c r="V253" t="s">
        <v>1849</v>
      </c>
      <c r="W253">
        <v>7</v>
      </c>
      <c r="X253" t="s">
        <v>39</v>
      </c>
      <c r="Y253">
        <v>45</v>
      </c>
    </row>
    <row r="254" spans="1:25" x14ac:dyDescent="0.35">
      <c r="A254" t="s">
        <v>1850</v>
      </c>
      <c r="B254" s="1">
        <v>45549</v>
      </c>
      <c r="C254" s="1">
        <v>45554</v>
      </c>
      <c r="D254" t="s">
        <v>1772</v>
      </c>
      <c r="E254" t="s">
        <v>1851</v>
      </c>
      <c r="F254" t="s">
        <v>95</v>
      </c>
      <c r="G254" t="s">
        <v>1852</v>
      </c>
      <c r="H254" t="s">
        <v>136</v>
      </c>
      <c r="I254" t="s">
        <v>137</v>
      </c>
      <c r="J254" t="s">
        <v>32</v>
      </c>
      <c r="K254" t="s">
        <v>69</v>
      </c>
      <c r="L254" t="s">
        <v>1853</v>
      </c>
      <c r="M254">
        <v>1</v>
      </c>
      <c r="N254">
        <v>4616</v>
      </c>
      <c r="O254">
        <v>0</v>
      </c>
      <c r="P254">
        <v>4847</v>
      </c>
      <c r="Q254">
        <v>4616.84</v>
      </c>
      <c r="R254">
        <v>230.16</v>
      </c>
      <c r="S254" t="s">
        <v>100</v>
      </c>
      <c r="T254" t="s">
        <v>50</v>
      </c>
      <c r="U254" t="s">
        <v>1854</v>
      </c>
      <c r="V254" t="s">
        <v>1855</v>
      </c>
      <c r="W254">
        <v>9</v>
      </c>
      <c r="X254" t="s">
        <v>39</v>
      </c>
      <c r="Y254">
        <v>40</v>
      </c>
    </row>
    <row r="255" spans="1:25" x14ac:dyDescent="0.35">
      <c r="A255" t="s">
        <v>1856</v>
      </c>
      <c r="B255" s="1">
        <v>45906</v>
      </c>
      <c r="C255" s="1">
        <v>45912</v>
      </c>
      <c r="D255" t="s">
        <v>1857</v>
      </c>
      <c r="E255" t="s">
        <v>1858</v>
      </c>
      <c r="F255" t="s">
        <v>95</v>
      </c>
      <c r="G255" t="s">
        <v>1859</v>
      </c>
      <c r="H255" t="s">
        <v>127</v>
      </c>
      <c r="I255" t="s">
        <v>45</v>
      </c>
      <c r="J255" t="s">
        <v>118</v>
      </c>
      <c r="K255" t="s">
        <v>562</v>
      </c>
      <c r="L255" t="s">
        <v>1860</v>
      </c>
      <c r="M255">
        <v>4</v>
      </c>
      <c r="N255">
        <v>2376</v>
      </c>
      <c r="O255">
        <v>10</v>
      </c>
      <c r="P255">
        <v>8784.6</v>
      </c>
      <c r="Q255">
        <v>8554.2900000000009</v>
      </c>
      <c r="R255">
        <v>230.31</v>
      </c>
      <c r="S255" t="s">
        <v>80</v>
      </c>
      <c r="T255" t="s">
        <v>140</v>
      </c>
      <c r="U255" t="s">
        <v>1861</v>
      </c>
      <c r="V255" t="s">
        <v>1862</v>
      </c>
      <c r="W255">
        <v>14</v>
      </c>
      <c r="X255" t="s">
        <v>53</v>
      </c>
      <c r="Y255">
        <v>0</v>
      </c>
    </row>
    <row r="256" spans="1:25" x14ac:dyDescent="0.35">
      <c r="A256" t="s">
        <v>1863</v>
      </c>
      <c r="B256" s="1">
        <v>45470</v>
      </c>
      <c r="C256" s="1">
        <v>45474</v>
      </c>
      <c r="D256" t="s">
        <v>1204</v>
      </c>
      <c r="E256" t="s">
        <v>1864</v>
      </c>
      <c r="F256" t="s">
        <v>57</v>
      </c>
      <c r="G256" t="s">
        <v>1865</v>
      </c>
      <c r="H256" t="s">
        <v>117</v>
      </c>
      <c r="I256" t="s">
        <v>108</v>
      </c>
      <c r="J256" t="s">
        <v>32</v>
      </c>
      <c r="K256" t="s">
        <v>415</v>
      </c>
      <c r="L256" t="s">
        <v>1866</v>
      </c>
      <c r="M256">
        <v>8</v>
      </c>
      <c r="N256">
        <v>4182</v>
      </c>
      <c r="O256">
        <v>15</v>
      </c>
      <c r="P256">
        <v>28668.6</v>
      </c>
      <c r="Q256">
        <v>28438.45</v>
      </c>
      <c r="R256">
        <v>230.15</v>
      </c>
      <c r="S256" t="s">
        <v>100</v>
      </c>
      <c r="T256" t="s">
        <v>36</v>
      </c>
      <c r="U256" t="s">
        <v>1867</v>
      </c>
      <c r="V256" t="s">
        <v>1868</v>
      </c>
      <c r="W256">
        <v>14</v>
      </c>
      <c r="X256" t="s">
        <v>53</v>
      </c>
      <c r="Y256">
        <v>0</v>
      </c>
    </row>
    <row r="257" spans="1:25" x14ac:dyDescent="0.35">
      <c r="A257" t="s">
        <v>1869</v>
      </c>
      <c r="B257" s="1">
        <v>45509</v>
      </c>
      <c r="C257" s="1">
        <v>45516</v>
      </c>
      <c r="D257" t="s">
        <v>354</v>
      </c>
      <c r="E257" t="s">
        <v>1870</v>
      </c>
      <c r="F257" t="s">
        <v>95</v>
      </c>
      <c r="G257" t="s">
        <v>1871</v>
      </c>
      <c r="H257" t="s">
        <v>334</v>
      </c>
      <c r="I257" t="s">
        <v>108</v>
      </c>
      <c r="J257" t="s">
        <v>46</v>
      </c>
      <c r="K257" t="s">
        <v>312</v>
      </c>
      <c r="L257" t="s">
        <v>1872</v>
      </c>
      <c r="M257">
        <v>4</v>
      </c>
      <c r="N257">
        <v>2091</v>
      </c>
      <c r="O257">
        <v>10</v>
      </c>
      <c r="P257">
        <v>7758.6</v>
      </c>
      <c r="Q257">
        <v>7528.3</v>
      </c>
      <c r="R257">
        <v>230.3</v>
      </c>
      <c r="S257" t="s">
        <v>49</v>
      </c>
      <c r="T257" t="s">
        <v>89</v>
      </c>
      <c r="U257" t="s">
        <v>1873</v>
      </c>
      <c r="V257" t="s">
        <v>1874</v>
      </c>
      <c r="W257">
        <v>49</v>
      </c>
      <c r="X257" t="s">
        <v>53</v>
      </c>
      <c r="Y257">
        <v>0</v>
      </c>
    </row>
    <row r="258" spans="1:25" x14ac:dyDescent="0.35">
      <c r="A258" t="s">
        <v>1875</v>
      </c>
      <c r="B258" s="1">
        <v>45313</v>
      </c>
      <c r="C258" s="1">
        <v>45315</v>
      </c>
      <c r="D258" t="s">
        <v>1876</v>
      </c>
      <c r="E258" t="s">
        <v>1877</v>
      </c>
      <c r="F258" t="s">
        <v>95</v>
      </c>
      <c r="G258" t="s">
        <v>912</v>
      </c>
      <c r="H258" t="s">
        <v>198</v>
      </c>
      <c r="I258" t="s">
        <v>31</v>
      </c>
      <c r="J258" t="s">
        <v>118</v>
      </c>
      <c r="K258" t="s">
        <v>400</v>
      </c>
      <c r="L258" t="s">
        <v>1878</v>
      </c>
      <c r="M258">
        <v>9</v>
      </c>
      <c r="N258">
        <v>1938</v>
      </c>
      <c r="O258">
        <v>15</v>
      </c>
      <c r="P258">
        <v>15056.7</v>
      </c>
      <c r="Q258">
        <v>14826.43</v>
      </c>
      <c r="R258">
        <v>230.27</v>
      </c>
      <c r="S258" t="s">
        <v>49</v>
      </c>
      <c r="T258" t="s">
        <v>36</v>
      </c>
      <c r="U258" t="s">
        <v>1879</v>
      </c>
      <c r="V258" t="s">
        <v>1880</v>
      </c>
      <c r="W258">
        <v>21</v>
      </c>
      <c r="X258" t="s">
        <v>53</v>
      </c>
      <c r="Y258">
        <v>0</v>
      </c>
    </row>
    <row r="259" spans="1:25" x14ac:dyDescent="0.35">
      <c r="A259" t="s">
        <v>1881</v>
      </c>
      <c r="B259" s="1">
        <v>45462</v>
      </c>
      <c r="C259" s="1">
        <v>45464</v>
      </c>
      <c r="D259" t="s">
        <v>1882</v>
      </c>
      <c r="E259" t="s">
        <v>1883</v>
      </c>
      <c r="F259" t="s">
        <v>95</v>
      </c>
      <c r="G259" t="s">
        <v>1884</v>
      </c>
      <c r="H259" t="s">
        <v>364</v>
      </c>
      <c r="I259" t="s">
        <v>137</v>
      </c>
      <c r="J259" t="s">
        <v>97</v>
      </c>
      <c r="K259" t="s">
        <v>47</v>
      </c>
      <c r="L259" t="s">
        <v>1885</v>
      </c>
      <c r="M259">
        <v>1</v>
      </c>
      <c r="N259">
        <v>3644</v>
      </c>
      <c r="O259">
        <v>15</v>
      </c>
      <c r="P259">
        <v>3328.4</v>
      </c>
      <c r="Q259">
        <v>3098.1</v>
      </c>
      <c r="R259">
        <v>230.3</v>
      </c>
      <c r="S259" t="s">
        <v>80</v>
      </c>
      <c r="T259" t="s">
        <v>36</v>
      </c>
      <c r="U259" t="s">
        <v>1886</v>
      </c>
      <c r="V259" t="s">
        <v>1887</v>
      </c>
      <c r="W259">
        <v>44</v>
      </c>
      <c r="X259" t="s">
        <v>53</v>
      </c>
      <c r="Y259">
        <v>0</v>
      </c>
    </row>
    <row r="260" spans="1:25" x14ac:dyDescent="0.35">
      <c r="A260" t="s">
        <v>1888</v>
      </c>
      <c r="B260" s="1">
        <v>45279</v>
      </c>
      <c r="C260" s="1">
        <v>45286</v>
      </c>
      <c r="D260" t="s">
        <v>1889</v>
      </c>
      <c r="E260" t="s">
        <v>1890</v>
      </c>
      <c r="F260" t="s">
        <v>95</v>
      </c>
      <c r="G260" t="s">
        <v>1891</v>
      </c>
      <c r="H260" t="s">
        <v>44</v>
      </c>
      <c r="I260" t="s">
        <v>45</v>
      </c>
      <c r="J260" t="s">
        <v>46</v>
      </c>
      <c r="K260" t="s">
        <v>1275</v>
      </c>
      <c r="L260" t="s">
        <v>1892</v>
      </c>
      <c r="M260">
        <v>4</v>
      </c>
      <c r="N260">
        <v>2891</v>
      </c>
      <c r="O260">
        <v>5</v>
      </c>
      <c r="P260">
        <v>11216.8</v>
      </c>
      <c r="Q260">
        <v>10986.52</v>
      </c>
      <c r="R260">
        <v>230.28</v>
      </c>
      <c r="S260" t="s">
        <v>100</v>
      </c>
      <c r="T260" t="s">
        <v>140</v>
      </c>
      <c r="U260" t="s">
        <v>1893</v>
      </c>
      <c r="V260" t="s">
        <v>1894</v>
      </c>
      <c r="W260">
        <v>29</v>
      </c>
      <c r="X260" t="s">
        <v>53</v>
      </c>
      <c r="Y260">
        <v>0</v>
      </c>
    </row>
    <row r="261" spans="1:25" x14ac:dyDescent="0.35">
      <c r="A261" t="s">
        <v>1895</v>
      </c>
      <c r="B261" s="1">
        <v>45916</v>
      </c>
      <c r="C261" s="1">
        <v>45917</v>
      </c>
      <c r="D261" t="s">
        <v>882</v>
      </c>
      <c r="E261" t="s">
        <v>1896</v>
      </c>
      <c r="F261" t="s">
        <v>57</v>
      </c>
      <c r="G261" t="s">
        <v>1897</v>
      </c>
      <c r="H261" t="s">
        <v>68</v>
      </c>
      <c r="I261" t="s">
        <v>31</v>
      </c>
      <c r="J261" t="s">
        <v>118</v>
      </c>
      <c r="K261" t="s">
        <v>1898</v>
      </c>
      <c r="L261" t="s">
        <v>1899</v>
      </c>
      <c r="M261">
        <v>3</v>
      </c>
      <c r="N261">
        <v>4831</v>
      </c>
      <c r="O261">
        <v>0</v>
      </c>
      <c r="P261">
        <v>14724</v>
      </c>
      <c r="Q261">
        <v>14493.75</v>
      </c>
      <c r="R261">
        <v>230.25</v>
      </c>
      <c r="S261" t="s">
        <v>80</v>
      </c>
      <c r="T261" t="s">
        <v>36</v>
      </c>
      <c r="U261" t="s">
        <v>1900</v>
      </c>
      <c r="V261" t="s">
        <v>1901</v>
      </c>
      <c r="W261">
        <v>35</v>
      </c>
      <c r="X261" t="s">
        <v>53</v>
      </c>
      <c r="Y261">
        <v>0</v>
      </c>
    </row>
    <row r="262" spans="1:25" x14ac:dyDescent="0.35">
      <c r="A262" t="s">
        <v>1902</v>
      </c>
      <c r="B262" s="1">
        <v>45619</v>
      </c>
      <c r="C262" s="1">
        <v>45621</v>
      </c>
      <c r="D262" t="s">
        <v>1903</v>
      </c>
      <c r="E262" t="s">
        <v>1904</v>
      </c>
      <c r="F262" t="s">
        <v>28</v>
      </c>
      <c r="G262" t="s">
        <v>1905</v>
      </c>
      <c r="H262" t="s">
        <v>77</v>
      </c>
      <c r="I262" t="s">
        <v>45</v>
      </c>
      <c r="J262" t="s">
        <v>32</v>
      </c>
      <c r="K262" t="s">
        <v>190</v>
      </c>
      <c r="L262" t="s">
        <v>1906</v>
      </c>
      <c r="M262">
        <v>3</v>
      </c>
      <c r="N262">
        <v>3022</v>
      </c>
      <c r="O262">
        <v>5</v>
      </c>
      <c r="P262">
        <v>8843.7000000000007</v>
      </c>
      <c r="Q262">
        <v>8613.3799999999992</v>
      </c>
      <c r="R262">
        <v>230.32</v>
      </c>
      <c r="S262" t="s">
        <v>35</v>
      </c>
      <c r="T262" t="s">
        <v>50</v>
      </c>
      <c r="U262" t="s">
        <v>1907</v>
      </c>
      <c r="V262" t="s">
        <v>1908</v>
      </c>
      <c r="W262">
        <v>34</v>
      </c>
      <c r="X262" t="s">
        <v>53</v>
      </c>
      <c r="Y262">
        <v>0</v>
      </c>
    </row>
    <row r="263" spans="1:25" x14ac:dyDescent="0.35">
      <c r="A263" t="s">
        <v>1909</v>
      </c>
      <c r="B263" s="1">
        <v>45236</v>
      </c>
      <c r="C263" s="1">
        <v>45240</v>
      </c>
      <c r="D263" t="s">
        <v>1910</v>
      </c>
      <c r="E263" t="s">
        <v>1911</v>
      </c>
      <c r="F263" t="s">
        <v>95</v>
      </c>
      <c r="G263" t="s">
        <v>1912</v>
      </c>
      <c r="H263" t="s">
        <v>172</v>
      </c>
      <c r="I263" t="s">
        <v>45</v>
      </c>
      <c r="J263" t="s">
        <v>46</v>
      </c>
      <c r="K263" t="s">
        <v>87</v>
      </c>
      <c r="L263" t="s">
        <v>1913</v>
      </c>
      <c r="M263">
        <v>6</v>
      </c>
      <c r="N263">
        <v>1016</v>
      </c>
      <c r="O263">
        <v>15</v>
      </c>
      <c r="P263">
        <v>5412.6</v>
      </c>
      <c r="Q263">
        <v>5182.5</v>
      </c>
      <c r="R263">
        <v>230.1</v>
      </c>
      <c r="S263" t="s">
        <v>80</v>
      </c>
      <c r="T263" t="s">
        <v>89</v>
      </c>
      <c r="U263" t="s">
        <v>1914</v>
      </c>
      <c r="V263" t="s">
        <v>1915</v>
      </c>
      <c r="W263">
        <v>48</v>
      </c>
      <c r="X263" t="s">
        <v>53</v>
      </c>
      <c r="Y263">
        <v>0</v>
      </c>
    </row>
    <row r="264" spans="1:25" x14ac:dyDescent="0.35">
      <c r="A264" t="s">
        <v>1916</v>
      </c>
      <c r="B264" s="1">
        <v>45693</v>
      </c>
      <c r="C264" s="1">
        <v>45699</v>
      </c>
      <c r="D264" t="s">
        <v>1751</v>
      </c>
      <c r="E264" t="s">
        <v>1917</v>
      </c>
      <c r="F264" t="s">
        <v>57</v>
      </c>
      <c r="G264" t="s">
        <v>1918</v>
      </c>
      <c r="H264" t="s">
        <v>154</v>
      </c>
      <c r="I264" t="s">
        <v>137</v>
      </c>
      <c r="J264" t="s">
        <v>118</v>
      </c>
      <c r="K264" t="s">
        <v>750</v>
      </c>
      <c r="L264" t="s">
        <v>1919</v>
      </c>
      <c r="M264">
        <v>2</v>
      </c>
      <c r="N264">
        <v>3880</v>
      </c>
      <c r="O264">
        <v>10</v>
      </c>
      <c r="P264">
        <v>7215</v>
      </c>
      <c r="Q264">
        <v>6984.83</v>
      </c>
      <c r="R264">
        <v>230.17</v>
      </c>
      <c r="S264" t="s">
        <v>35</v>
      </c>
      <c r="T264" t="s">
        <v>50</v>
      </c>
      <c r="U264" t="s">
        <v>1920</v>
      </c>
      <c r="V264" t="s">
        <v>1921</v>
      </c>
      <c r="W264">
        <v>14</v>
      </c>
      <c r="X264" t="s">
        <v>53</v>
      </c>
      <c r="Y264">
        <v>0</v>
      </c>
    </row>
    <row r="265" spans="1:25" x14ac:dyDescent="0.35">
      <c r="A265" t="s">
        <v>1922</v>
      </c>
      <c r="B265" s="1">
        <v>45557</v>
      </c>
      <c r="C265" s="1">
        <v>45563</v>
      </c>
      <c r="D265" t="s">
        <v>1923</v>
      </c>
      <c r="E265" t="s">
        <v>1924</v>
      </c>
      <c r="F265" t="s">
        <v>57</v>
      </c>
      <c r="G265" t="s">
        <v>1925</v>
      </c>
      <c r="H265" t="s">
        <v>136</v>
      </c>
      <c r="I265" t="s">
        <v>137</v>
      </c>
      <c r="J265" t="s">
        <v>118</v>
      </c>
      <c r="K265" t="s">
        <v>98</v>
      </c>
      <c r="L265" t="s">
        <v>1926</v>
      </c>
      <c r="M265">
        <v>1</v>
      </c>
      <c r="N265">
        <v>2543</v>
      </c>
      <c r="O265">
        <v>0</v>
      </c>
      <c r="P265">
        <v>2774</v>
      </c>
      <c r="Q265">
        <v>2543.65</v>
      </c>
      <c r="R265">
        <v>230.35</v>
      </c>
      <c r="S265" t="s">
        <v>49</v>
      </c>
      <c r="T265" t="s">
        <v>140</v>
      </c>
      <c r="U265" t="s">
        <v>1927</v>
      </c>
      <c r="V265" t="s">
        <v>1928</v>
      </c>
      <c r="W265">
        <v>19</v>
      </c>
      <c r="X265" t="s">
        <v>53</v>
      </c>
      <c r="Y265">
        <v>0</v>
      </c>
    </row>
    <row r="266" spans="1:25" x14ac:dyDescent="0.35">
      <c r="A266" t="s">
        <v>1929</v>
      </c>
      <c r="B266" s="1">
        <v>45913</v>
      </c>
      <c r="C266" s="1">
        <v>45914</v>
      </c>
      <c r="D266" t="s">
        <v>383</v>
      </c>
      <c r="E266" t="s">
        <v>1930</v>
      </c>
      <c r="F266" t="s">
        <v>95</v>
      </c>
      <c r="G266" t="s">
        <v>1931</v>
      </c>
      <c r="H266" t="s">
        <v>117</v>
      </c>
      <c r="I266" t="s">
        <v>108</v>
      </c>
      <c r="J266" t="s">
        <v>46</v>
      </c>
      <c r="K266" t="s">
        <v>1898</v>
      </c>
      <c r="L266" t="s">
        <v>1932</v>
      </c>
      <c r="M266">
        <v>3</v>
      </c>
      <c r="N266">
        <v>2153</v>
      </c>
      <c r="O266">
        <v>10</v>
      </c>
      <c r="P266">
        <v>6044.1</v>
      </c>
      <c r="Q266">
        <v>5813.87</v>
      </c>
      <c r="R266">
        <v>230.23</v>
      </c>
      <c r="S266" t="s">
        <v>35</v>
      </c>
      <c r="T266" t="s">
        <v>140</v>
      </c>
      <c r="U266" t="s">
        <v>1933</v>
      </c>
      <c r="V266" t="s">
        <v>1934</v>
      </c>
      <c r="W266">
        <v>7</v>
      </c>
      <c r="X266" t="s">
        <v>39</v>
      </c>
      <c r="Y266">
        <v>50</v>
      </c>
    </row>
    <row r="267" spans="1:25" x14ac:dyDescent="0.35">
      <c r="A267" t="s">
        <v>1935</v>
      </c>
      <c r="B267" s="1">
        <v>45697</v>
      </c>
      <c r="C267" s="1">
        <v>45701</v>
      </c>
      <c r="D267" t="s">
        <v>1936</v>
      </c>
      <c r="E267" t="s">
        <v>1937</v>
      </c>
      <c r="F267" t="s">
        <v>57</v>
      </c>
      <c r="G267" t="s">
        <v>1938</v>
      </c>
      <c r="H267" t="s">
        <v>117</v>
      </c>
      <c r="I267" t="s">
        <v>108</v>
      </c>
      <c r="J267" t="s">
        <v>46</v>
      </c>
      <c r="K267" t="s">
        <v>1088</v>
      </c>
      <c r="L267" t="s">
        <v>1939</v>
      </c>
      <c r="M267">
        <v>1</v>
      </c>
      <c r="N267">
        <v>2076</v>
      </c>
      <c r="O267">
        <v>10</v>
      </c>
      <c r="P267">
        <v>2099.4</v>
      </c>
      <c r="Q267">
        <v>1869.07</v>
      </c>
      <c r="R267">
        <v>230.33</v>
      </c>
      <c r="S267" t="s">
        <v>35</v>
      </c>
      <c r="T267" t="s">
        <v>50</v>
      </c>
      <c r="U267" t="s">
        <v>1940</v>
      </c>
      <c r="V267" t="s">
        <v>1941</v>
      </c>
      <c r="W267">
        <v>31</v>
      </c>
      <c r="X267" t="s">
        <v>53</v>
      </c>
      <c r="Y267">
        <v>0</v>
      </c>
    </row>
    <row r="268" spans="1:25" x14ac:dyDescent="0.35">
      <c r="A268" t="s">
        <v>1942</v>
      </c>
      <c r="B268" s="1">
        <v>45498</v>
      </c>
      <c r="C268" s="1">
        <v>45503</v>
      </c>
      <c r="D268" t="s">
        <v>1943</v>
      </c>
      <c r="E268" t="s">
        <v>1944</v>
      </c>
      <c r="F268" t="s">
        <v>57</v>
      </c>
      <c r="G268" t="s">
        <v>1945</v>
      </c>
      <c r="H268" t="s">
        <v>127</v>
      </c>
      <c r="I268" t="s">
        <v>45</v>
      </c>
      <c r="J268" t="s">
        <v>46</v>
      </c>
      <c r="K268" t="s">
        <v>524</v>
      </c>
      <c r="L268" t="s">
        <v>1946</v>
      </c>
      <c r="M268">
        <v>5</v>
      </c>
      <c r="N268">
        <v>711</v>
      </c>
      <c r="O268">
        <v>20</v>
      </c>
      <c r="P268">
        <v>3075</v>
      </c>
      <c r="Q268">
        <v>2844.87</v>
      </c>
      <c r="R268">
        <v>230.13</v>
      </c>
      <c r="S268" t="s">
        <v>49</v>
      </c>
      <c r="T268" t="s">
        <v>140</v>
      </c>
      <c r="U268" t="s">
        <v>1947</v>
      </c>
      <c r="V268" t="s">
        <v>1948</v>
      </c>
      <c r="W268">
        <v>13</v>
      </c>
      <c r="X268" t="s">
        <v>53</v>
      </c>
      <c r="Y268">
        <v>0</v>
      </c>
    </row>
    <row r="269" spans="1:25" x14ac:dyDescent="0.35">
      <c r="A269" t="s">
        <v>1949</v>
      </c>
      <c r="B269" s="1">
        <v>45577</v>
      </c>
      <c r="C269" s="1">
        <v>45584</v>
      </c>
      <c r="D269" t="s">
        <v>1950</v>
      </c>
      <c r="E269" t="s">
        <v>1951</v>
      </c>
      <c r="F269" t="s">
        <v>28</v>
      </c>
      <c r="G269" t="s">
        <v>1952</v>
      </c>
      <c r="H269" t="s">
        <v>163</v>
      </c>
      <c r="I269" t="s">
        <v>108</v>
      </c>
      <c r="J269" t="s">
        <v>97</v>
      </c>
      <c r="K269" t="s">
        <v>927</v>
      </c>
      <c r="L269" t="s">
        <v>1953</v>
      </c>
      <c r="M269">
        <v>2</v>
      </c>
      <c r="N269">
        <v>4925</v>
      </c>
      <c r="O269">
        <v>15</v>
      </c>
      <c r="P269">
        <v>8603.5</v>
      </c>
      <c r="Q269">
        <v>8373.17</v>
      </c>
      <c r="R269">
        <v>230.33</v>
      </c>
      <c r="S269" t="s">
        <v>100</v>
      </c>
      <c r="T269" t="s">
        <v>36</v>
      </c>
      <c r="U269" t="s">
        <v>1954</v>
      </c>
      <c r="V269" t="s">
        <v>1955</v>
      </c>
      <c r="W269">
        <v>6</v>
      </c>
      <c r="X269" t="s">
        <v>39</v>
      </c>
      <c r="Y269">
        <v>35</v>
      </c>
    </row>
    <row r="270" spans="1:25" x14ac:dyDescent="0.35">
      <c r="A270" t="s">
        <v>1956</v>
      </c>
      <c r="B270" s="1">
        <v>45298</v>
      </c>
      <c r="C270" s="1">
        <v>45301</v>
      </c>
      <c r="D270" t="s">
        <v>1957</v>
      </c>
      <c r="E270" t="s">
        <v>1958</v>
      </c>
      <c r="F270" t="s">
        <v>57</v>
      </c>
      <c r="G270" t="s">
        <v>1959</v>
      </c>
      <c r="H270" t="s">
        <v>44</v>
      </c>
      <c r="I270" t="s">
        <v>45</v>
      </c>
      <c r="J270" t="s">
        <v>32</v>
      </c>
      <c r="K270" t="s">
        <v>247</v>
      </c>
      <c r="L270" t="s">
        <v>1960</v>
      </c>
      <c r="M270">
        <v>10</v>
      </c>
      <c r="N270">
        <v>512</v>
      </c>
      <c r="O270">
        <v>20</v>
      </c>
      <c r="P270">
        <v>4327</v>
      </c>
      <c r="Q270">
        <v>4096.62</v>
      </c>
      <c r="R270">
        <v>230.38</v>
      </c>
      <c r="S270" t="s">
        <v>80</v>
      </c>
      <c r="T270" t="s">
        <v>89</v>
      </c>
      <c r="U270" t="s">
        <v>1961</v>
      </c>
      <c r="V270" t="s">
        <v>1962</v>
      </c>
      <c r="W270">
        <v>3</v>
      </c>
      <c r="X270" t="s">
        <v>39</v>
      </c>
      <c r="Y270">
        <v>48</v>
      </c>
    </row>
    <row r="271" spans="1:25" x14ac:dyDescent="0.35">
      <c r="A271" t="s">
        <v>1963</v>
      </c>
      <c r="B271" s="1">
        <v>45813</v>
      </c>
      <c r="C271" s="1">
        <v>45816</v>
      </c>
      <c r="D271" t="s">
        <v>1964</v>
      </c>
      <c r="E271" t="s">
        <v>1965</v>
      </c>
      <c r="F271" t="s">
        <v>95</v>
      </c>
      <c r="G271" t="s">
        <v>1966</v>
      </c>
      <c r="H271" t="s">
        <v>163</v>
      </c>
      <c r="I271" t="s">
        <v>108</v>
      </c>
      <c r="J271" t="s">
        <v>118</v>
      </c>
      <c r="K271" t="s">
        <v>699</v>
      </c>
      <c r="L271" t="s">
        <v>1967</v>
      </c>
      <c r="M271">
        <v>10</v>
      </c>
      <c r="N271">
        <v>1872</v>
      </c>
      <c r="O271">
        <v>10</v>
      </c>
      <c r="P271">
        <v>17079</v>
      </c>
      <c r="Q271">
        <v>16848.77</v>
      </c>
      <c r="R271">
        <v>230.23</v>
      </c>
      <c r="S271" t="s">
        <v>35</v>
      </c>
      <c r="T271" t="s">
        <v>140</v>
      </c>
      <c r="U271" t="s">
        <v>1968</v>
      </c>
      <c r="V271" t="s">
        <v>1969</v>
      </c>
      <c r="W271">
        <v>15</v>
      </c>
      <c r="X271" t="s">
        <v>53</v>
      </c>
      <c r="Y271">
        <v>0</v>
      </c>
    </row>
    <row r="272" spans="1:25" x14ac:dyDescent="0.35">
      <c r="A272" t="s">
        <v>1970</v>
      </c>
      <c r="B272" s="1">
        <v>45683</v>
      </c>
      <c r="C272" s="1">
        <v>45686</v>
      </c>
      <c r="D272" t="s">
        <v>1971</v>
      </c>
      <c r="E272" t="s">
        <v>1972</v>
      </c>
      <c r="F272" t="s">
        <v>57</v>
      </c>
      <c r="G272" t="s">
        <v>1973</v>
      </c>
      <c r="H272" t="s">
        <v>198</v>
      </c>
      <c r="I272" t="s">
        <v>31</v>
      </c>
      <c r="J272" t="s">
        <v>97</v>
      </c>
      <c r="K272" t="s">
        <v>47</v>
      </c>
      <c r="L272" t="s">
        <v>1974</v>
      </c>
      <c r="M272">
        <v>8</v>
      </c>
      <c r="N272">
        <v>4204</v>
      </c>
      <c r="O272">
        <v>20</v>
      </c>
      <c r="P272">
        <v>27136.6</v>
      </c>
      <c r="Q272">
        <v>26906.22</v>
      </c>
      <c r="R272">
        <v>230.38</v>
      </c>
      <c r="S272" t="s">
        <v>35</v>
      </c>
      <c r="T272" t="s">
        <v>50</v>
      </c>
      <c r="U272" t="s">
        <v>1975</v>
      </c>
      <c r="V272" t="s">
        <v>1976</v>
      </c>
      <c r="W272">
        <v>48</v>
      </c>
      <c r="X272" t="s">
        <v>53</v>
      </c>
      <c r="Y272">
        <v>0</v>
      </c>
    </row>
    <row r="273" spans="1:25" x14ac:dyDescent="0.35">
      <c r="A273" t="s">
        <v>1977</v>
      </c>
      <c r="B273" s="1">
        <v>45915</v>
      </c>
      <c r="C273" s="1">
        <v>45916</v>
      </c>
      <c r="D273" t="s">
        <v>719</v>
      </c>
      <c r="E273" t="s">
        <v>1978</v>
      </c>
      <c r="F273" t="s">
        <v>28</v>
      </c>
      <c r="G273" t="s">
        <v>1979</v>
      </c>
      <c r="H273" t="s">
        <v>44</v>
      </c>
      <c r="I273" t="s">
        <v>45</v>
      </c>
      <c r="J273" t="s">
        <v>97</v>
      </c>
      <c r="K273" t="s">
        <v>714</v>
      </c>
      <c r="L273" t="s">
        <v>1980</v>
      </c>
      <c r="M273">
        <v>10</v>
      </c>
      <c r="N273">
        <v>1145</v>
      </c>
      <c r="O273">
        <v>0</v>
      </c>
      <c r="P273">
        <v>11681</v>
      </c>
      <c r="Q273">
        <v>11450.84</v>
      </c>
      <c r="R273">
        <v>230.16</v>
      </c>
      <c r="S273" t="s">
        <v>100</v>
      </c>
      <c r="T273" t="s">
        <v>36</v>
      </c>
      <c r="U273" t="s">
        <v>1981</v>
      </c>
      <c r="V273" t="s">
        <v>1982</v>
      </c>
      <c r="W273">
        <v>3</v>
      </c>
      <c r="X273" t="s">
        <v>39</v>
      </c>
      <c r="Y273">
        <v>44</v>
      </c>
    </row>
    <row r="274" spans="1:25" x14ac:dyDescent="0.35">
      <c r="A274" t="s">
        <v>1983</v>
      </c>
      <c r="B274" s="1">
        <v>45460</v>
      </c>
      <c r="C274" s="1">
        <v>45465</v>
      </c>
      <c r="D274" t="s">
        <v>1779</v>
      </c>
      <c r="E274" t="s">
        <v>1984</v>
      </c>
      <c r="F274" t="s">
        <v>95</v>
      </c>
      <c r="G274" t="s">
        <v>1985</v>
      </c>
      <c r="H274" t="s">
        <v>334</v>
      </c>
      <c r="I274" t="s">
        <v>108</v>
      </c>
      <c r="J274" t="s">
        <v>118</v>
      </c>
      <c r="K274" t="s">
        <v>699</v>
      </c>
      <c r="L274" t="s">
        <v>1986</v>
      </c>
      <c r="M274">
        <v>10</v>
      </c>
      <c r="N274">
        <v>1992</v>
      </c>
      <c r="O274">
        <v>20</v>
      </c>
      <c r="P274">
        <v>16167</v>
      </c>
      <c r="Q274">
        <v>15936.83</v>
      </c>
      <c r="R274">
        <v>230.17</v>
      </c>
      <c r="S274" t="s">
        <v>80</v>
      </c>
      <c r="T274" t="s">
        <v>50</v>
      </c>
      <c r="U274" t="s">
        <v>1987</v>
      </c>
      <c r="V274" t="s">
        <v>1988</v>
      </c>
      <c r="W274">
        <v>10</v>
      </c>
      <c r="X274" t="s">
        <v>53</v>
      </c>
      <c r="Y274">
        <v>0</v>
      </c>
    </row>
    <row r="275" spans="1:25" x14ac:dyDescent="0.35">
      <c r="A275" t="s">
        <v>1989</v>
      </c>
      <c r="B275" s="1">
        <v>45798</v>
      </c>
      <c r="C275" s="1">
        <v>45800</v>
      </c>
      <c r="D275" t="s">
        <v>1990</v>
      </c>
      <c r="E275" t="s">
        <v>1991</v>
      </c>
      <c r="F275" t="s">
        <v>28</v>
      </c>
      <c r="G275" t="s">
        <v>1992</v>
      </c>
      <c r="H275" t="s">
        <v>283</v>
      </c>
      <c r="I275" t="s">
        <v>45</v>
      </c>
      <c r="J275" t="s">
        <v>97</v>
      </c>
      <c r="K275" t="s">
        <v>119</v>
      </c>
      <c r="L275" t="s">
        <v>1993</v>
      </c>
      <c r="M275">
        <v>6</v>
      </c>
      <c r="N275">
        <v>1381</v>
      </c>
      <c r="O275">
        <v>0</v>
      </c>
      <c r="P275">
        <v>8517</v>
      </c>
      <c r="Q275">
        <v>8286.74</v>
      </c>
      <c r="R275">
        <v>230.26</v>
      </c>
      <c r="S275" t="s">
        <v>49</v>
      </c>
      <c r="T275" t="s">
        <v>140</v>
      </c>
      <c r="U275" t="s">
        <v>1994</v>
      </c>
      <c r="V275" t="s">
        <v>1995</v>
      </c>
      <c r="W275">
        <v>3</v>
      </c>
      <c r="X275" t="s">
        <v>39</v>
      </c>
      <c r="Y275">
        <v>33</v>
      </c>
    </row>
    <row r="276" spans="1:25" x14ac:dyDescent="0.35">
      <c r="A276" t="s">
        <v>1996</v>
      </c>
      <c r="B276" s="1">
        <v>45768</v>
      </c>
      <c r="C276" s="1">
        <v>45769</v>
      </c>
      <c r="D276" t="s">
        <v>1997</v>
      </c>
      <c r="E276" t="s">
        <v>1998</v>
      </c>
      <c r="F276" t="s">
        <v>28</v>
      </c>
      <c r="G276" t="s">
        <v>1999</v>
      </c>
      <c r="H276" t="s">
        <v>230</v>
      </c>
      <c r="I276" t="s">
        <v>137</v>
      </c>
      <c r="J276" t="s">
        <v>118</v>
      </c>
      <c r="K276" t="s">
        <v>786</v>
      </c>
      <c r="L276" t="s">
        <v>2000</v>
      </c>
      <c r="M276">
        <v>4</v>
      </c>
      <c r="N276">
        <v>3670</v>
      </c>
      <c r="O276">
        <v>5</v>
      </c>
      <c r="P276">
        <v>14177</v>
      </c>
      <c r="Q276">
        <v>13946.68</v>
      </c>
      <c r="R276">
        <v>230.32</v>
      </c>
      <c r="S276" t="s">
        <v>35</v>
      </c>
      <c r="T276" t="s">
        <v>140</v>
      </c>
      <c r="U276" t="s">
        <v>2001</v>
      </c>
      <c r="V276" t="s">
        <v>2002</v>
      </c>
      <c r="W276">
        <v>19</v>
      </c>
      <c r="X276" t="s">
        <v>53</v>
      </c>
      <c r="Y276">
        <v>0</v>
      </c>
    </row>
    <row r="277" spans="1:25" x14ac:dyDescent="0.35">
      <c r="A277" t="s">
        <v>2003</v>
      </c>
      <c r="B277" s="1">
        <v>45817</v>
      </c>
      <c r="C277" s="1">
        <v>45821</v>
      </c>
      <c r="D277" t="s">
        <v>1582</v>
      </c>
      <c r="E277" t="s">
        <v>2004</v>
      </c>
      <c r="F277" t="s">
        <v>95</v>
      </c>
      <c r="G277" t="s">
        <v>2005</v>
      </c>
      <c r="H277" t="s">
        <v>44</v>
      </c>
      <c r="I277" t="s">
        <v>45</v>
      </c>
      <c r="J277" t="s">
        <v>118</v>
      </c>
      <c r="K277" t="s">
        <v>138</v>
      </c>
      <c r="L277" t="s">
        <v>2006</v>
      </c>
      <c r="M277">
        <v>8</v>
      </c>
      <c r="N277">
        <v>3891</v>
      </c>
      <c r="O277">
        <v>20</v>
      </c>
      <c r="P277">
        <v>25133.4</v>
      </c>
      <c r="Q277">
        <v>24903.21</v>
      </c>
      <c r="R277">
        <v>230.19</v>
      </c>
      <c r="S277" t="s">
        <v>49</v>
      </c>
      <c r="T277" t="s">
        <v>36</v>
      </c>
      <c r="U277" t="s">
        <v>2007</v>
      </c>
      <c r="V277" t="s">
        <v>2008</v>
      </c>
      <c r="W277">
        <v>43</v>
      </c>
      <c r="X277" t="s">
        <v>53</v>
      </c>
      <c r="Y277">
        <v>0</v>
      </c>
    </row>
    <row r="278" spans="1:25" x14ac:dyDescent="0.35">
      <c r="A278" t="s">
        <v>2009</v>
      </c>
      <c r="B278" s="1">
        <v>45820</v>
      </c>
      <c r="C278" s="1">
        <v>45824</v>
      </c>
      <c r="D278" t="s">
        <v>2010</v>
      </c>
      <c r="E278" t="s">
        <v>2011</v>
      </c>
      <c r="F278" t="s">
        <v>57</v>
      </c>
      <c r="G278" t="s">
        <v>2012</v>
      </c>
      <c r="H278" t="s">
        <v>127</v>
      </c>
      <c r="I278" t="s">
        <v>45</v>
      </c>
      <c r="J278" t="s">
        <v>46</v>
      </c>
      <c r="K278" t="s">
        <v>691</v>
      </c>
      <c r="L278" t="s">
        <v>2013</v>
      </c>
      <c r="M278">
        <v>10</v>
      </c>
      <c r="N278">
        <v>584</v>
      </c>
      <c r="O278">
        <v>5</v>
      </c>
      <c r="P278">
        <v>5779</v>
      </c>
      <c r="Q278">
        <v>5548.72</v>
      </c>
      <c r="R278">
        <v>230.28</v>
      </c>
      <c r="S278" t="s">
        <v>35</v>
      </c>
      <c r="T278" t="s">
        <v>36</v>
      </c>
      <c r="U278" t="s">
        <v>2014</v>
      </c>
      <c r="V278" t="s">
        <v>2015</v>
      </c>
      <c r="W278">
        <v>41</v>
      </c>
      <c r="X278" t="s">
        <v>53</v>
      </c>
      <c r="Y278">
        <v>0</v>
      </c>
    </row>
    <row r="279" spans="1:25" x14ac:dyDescent="0.35">
      <c r="A279" t="s">
        <v>2016</v>
      </c>
      <c r="B279" s="1">
        <v>45809</v>
      </c>
      <c r="C279" s="1">
        <v>45815</v>
      </c>
      <c r="D279" t="s">
        <v>2017</v>
      </c>
      <c r="E279" t="s">
        <v>2018</v>
      </c>
      <c r="F279" t="s">
        <v>57</v>
      </c>
      <c r="G279" t="s">
        <v>2019</v>
      </c>
      <c r="H279" t="s">
        <v>189</v>
      </c>
      <c r="I279" t="s">
        <v>108</v>
      </c>
      <c r="J279" t="s">
        <v>118</v>
      </c>
      <c r="K279" t="s">
        <v>181</v>
      </c>
      <c r="L279" t="s">
        <v>2020</v>
      </c>
      <c r="M279">
        <v>7</v>
      </c>
      <c r="N279">
        <v>2565</v>
      </c>
      <c r="O279">
        <v>0</v>
      </c>
      <c r="P279">
        <v>18186</v>
      </c>
      <c r="Q279">
        <v>17955.82</v>
      </c>
      <c r="R279">
        <v>230.18</v>
      </c>
      <c r="S279" t="s">
        <v>100</v>
      </c>
      <c r="T279" t="s">
        <v>89</v>
      </c>
      <c r="U279" t="s">
        <v>2021</v>
      </c>
      <c r="V279" t="s">
        <v>2022</v>
      </c>
      <c r="W279">
        <v>35</v>
      </c>
      <c r="X279" t="s">
        <v>53</v>
      </c>
      <c r="Y279">
        <v>0</v>
      </c>
    </row>
    <row r="280" spans="1:25" x14ac:dyDescent="0.35">
      <c r="A280" t="s">
        <v>2023</v>
      </c>
      <c r="B280" s="1">
        <v>45744</v>
      </c>
      <c r="C280" s="1">
        <v>45748</v>
      </c>
      <c r="D280" t="s">
        <v>2024</v>
      </c>
      <c r="E280" t="s">
        <v>2025</v>
      </c>
      <c r="F280" t="s">
        <v>95</v>
      </c>
      <c r="G280" t="s">
        <v>2026</v>
      </c>
      <c r="H280" t="s">
        <v>163</v>
      </c>
      <c r="I280" t="s">
        <v>108</v>
      </c>
      <c r="J280" t="s">
        <v>32</v>
      </c>
      <c r="K280" t="s">
        <v>47</v>
      </c>
      <c r="L280" t="s">
        <v>2027</v>
      </c>
      <c r="M280">
        <v>4</v>
      </c>
      <c r="N280">
        <v>4038</v>
      </c>
      <c r="O280">
        <v>5</v>
      </c>
      <c r="P280">
        <v>15575.4</v>
      </c>
      <c r="Q280">
        <v>15345.24</v>
      </c>
      <c r="R280">
        <v>230.16</v>
      </c>
      <c r="S280" t="s">
        <v>49</v>
      </c>
      <c r="T280" t="s">
        <v>89</v>
      </c>
      <c r="U280" t="s">
        <v>650</v>
      </c>
      <c r="V280" t="s">
        <v>2028</v>
      </c>
      <c r="W280">
        <v>47</v>
      </c>
      <c r="X280" t="s">
        <v>53</v>
      </c>
      <c r="Y280">
        <v>0</v>
      </c>
    </row>
    <row r="281" spans="1:25" x14ac:dyDescent="0.35">
      <c r="A281" t="s">
        <v>2029</v>
      </c>
      <c r="B281" s="1">
        <v>45936</v>
      </c>
      <c r="C281" s="1">
        <v>45938</v>
      </c>
      <c r="D281" t="s">
        <v>2030</v>
      </c>
      <c r="E281" t="s">
        <v>2031</v>
      </c>
      <c r="F281" t="s">
        <v>28</v>
      </c>
      <c r="G281" t="s">
        <v>2032</v>
      </c>
      <c r="H281" t="s">
        <v>30</v>
      </c>
      <c r="I281" t="s">
        <v>31</v>
      </c>
      <c r="J281" t="s">
        <v>32</v>
      </c>
      <c r="K281" t="s">
        <v>78</v>
      </c>
      <c r="L281" t="s">
        <v>2033</v>
      </c>
      <c r="M281">
        <v>4</v>
      </c>
      <c r="N281">
        <v>1346</v>
      </c>
      <c r="O281">
        <v>20</v>
      </c>
      <c r="P281">
        <v>4538.2</v>
      </c>
      <c r="Q281">
        <v>4308.0200000000004</v>
      </c>
      <c r="R281">
        <v>230.18</v>
      </c>
      <c r="S281" t="s">
        <v>80</v>
      </c>
      <c r="T281" t="s">
        <v>36</v>
      </c>
      <c r="U281" t="s">
        <v>2034</v>
      </c>
      <c r="V281" t="s">
        <v>2035</v>
      </c>
      <c r="W281">
        <v>26</v>
      </c>
      <c r="X281" t="s">
        <v>53</v>
      </c>
      <c r="Y281">
        <v>0</v>
      </c>
    </row>
    <row r="282" spans="1:25" x14ac:dyDescent="0.35">
      <c r="A282" t="s">
        <v>2036</v>
      </c>
      <c r="B282" s="1">
        <v>45798</v>
      </c>
      <c r="C282" s="1">
        <v>45802</v>
      </c>
      <c r="D282" t="s">
        <v>1308</v>
      </c>
      <c r="E282" t="s">
        <v>2037</v>
      </c>
      <c r="F282" t="s">
        <v>28</v>
      </c>
      <c r="G282" t="s">
        <v>2038</v>
      </c>
      <c r="H282" t="s">
        <v>206</v>
      </c>
      <c r="I282" t="s">
        <v>31</v>
      </c>
      <c r="J282" t="s">
        <v>32</v>
      </c>
      <c r="K282" t="s">
        <v>231</v>
      </c>
      <c r="L282" t="s">
        <v>2039</v>
      </c>
      <c r="M282">
        <v>6</v>
      </c>
      <c r="N282">
        <v>3889</v>
      </c>
      <c r="O282">
        <v>0</v>
      </c>
      <c r="P282">
        <v>23565</v>
      </c>
      <c r="Q282">
        <v>23334.61</v>
      </c>
      <c r="R282">
        <v>230.39</v>
      </c>
      <c r="S282" t="s">
        <v>35</v>
      </c>
      <c r="T282" t="s">
        <v>36</v>
      </c>
      <c r="U282" t="s">
        <v>2040</v>
      </c>
      <c r="V282" t="s">
        <v>2041</v>
      </c>
      <c r="W282">
        <v>41</v>
      </c>
      <c r="X282" t="s">
        <v>53</v>
      </c>
      <c r="Y282">
        <v>0</v>
      </c>
    </row>
    <row r="283" spans="1:25" x14ac:dyDescent="0.35">
      <c r="A283" t="s">
        <v>2042</v>
      </c>
      <c r="B283" s="1">
        <v>45518</v>
      </c>
      <c r="C283" s="1">
        <v>45519</v>
      </c>
      <c r="D283" t="s">
        <v>2043</v>
      </c>
      <c r="E283" t="s">
        <v>2044</v>
      </c>
      <c r="F283" t="s">
        <v>57</v>
      </c>
      <c r="G283" t="s">
        <v>2045</v>
      </c>
      <c r="H283" t="s">
        <v>59</v>
      </c>
      <c r="I283" t="s">
        <v>31</v>
      </c>
      <c r="J283" t="s">
        <v>46</v>
      </c>
      <c r="K283" t="s">
        <v>207</v>
      </c>
      <c r="L283" t="s">
        <v>2046</v>
      </c>
      <c r="M283">
        <v>5</v>
      </c>
      <c r="N283">
        <v>279</v>
      </c>
      <c r="O283">
        <v>5</v>
      </c>
      <c r="P283">
        <v>1556.25</v>
      </c>
      <c r="Q283">
        <v>1326.15</v>
      </c>
      <c r="R283">
        <v>230.1</v>
      </c>
      <c r="S283" t="s">
        <v>80</v>
      </c>
      <c r="T283" t="s">
        <v>36</v>
      </c>
      <c r="U283" t="s">
        <v>2047</v>
      </c>
      <c r="V283" t="s">
        <v>2048</v>
      </c>
      <c r="W283">
        <v>11</v>
      </c>
      <c r="X283" t="s">
        <v>53</v>
      </c>
      <c r="Y283">
        <v>0</v>
      </c>
    </row>
    <row r="284" spans="1:25" x14ac:dyDescent="0.35">
      <c r="A284" t="s">
        <v>2049</v>
      </c>
      <c r="B284" s="1">
        <v>45954</v>
      </c>
      <c r="C284" s="1">
        <v>45956</v>
      </c>
      <c r="D284" t="s">
        <v>2050</v>
      </c>
      <c r="E284" t="s">
        <v>2051</v>
      </c>
      <c r="F284" t="s">
        <v>57</v>
      </c>
      <c r="G284" t="s">
        <v>2052</v>
      </c>
      <c r="H284" t="s">
        <v>44</v>
      </c>
      <c r="I284" t="s">
        <v>45</v>
      </c>
      <c r="J284" t="s">
        <v>118</v>
      </c>
      <c r="K284" t="s">
        <v>87</v>
      </c>
      <c r="L284" t="s">
        <v>2053</v>
      </c>
      <c r="M284">
        <v>9</v>
      </c>
      <c r="N284">
        <v>974</v>
      </c>
      <c r="O284">
        <v>15</v>
      </c>
      <c r="P284">
        <v>7682.1</v>
      </c>
      <c r="Q284">
        <v>7451.82</v>
      </c>
      <c r="R284">
        <v>230.28</v>
      </c>
      <c r="S284" t="s">
        <v>80</v>
      </c>
      <c r="T284" t="s">
        <v>36</v>
      </c>
      <c r="U284" t="s">
        <v>2054</v>
      </c>
      <c r="V284" t="s">
        <v>2055</v>
      </c>
      <c r="W284">
        <v>3</v>
      </c>
      <c r="X284" t="s">
        <v>39</v>
      </c>
      <c r="Y284">
        <v>31</v>
      </c>
    </row>
    <row r="285" spans="1:25" x14ac:dyDescent="0.35">
      <c r="A285" t="s">
        <v>2056</v>
      </c>
      <c r="B285" s="1">
        <v>45907</v>
      </c>
      <c r="C285" s="1">
        <v>45910</v>
      </c>
      <c r="D285" t="s">
        <v>2057</v>
      </c>
      <c r="E285" t="s">
        <v>2058</v>
      </c>
      <c r="F285" t="s">
        <v>28</v>
      </c>
      <c r="G285" t="s">
        <v>2059</v>
      </c>
      <c r="H285" t="s">
        <v>30</v>
      </c>
      <c r="I285" t="s">
        <v>31</v>
      </c>
      <c r="J285" t="s">
        <v>118</v>
      </c>
      <c r="K285" t="s">
        <v>69</v>
      </c>
      <c r="L285" t="s">
        <v>2060</v>
      </c>
      <c r="M285">
        <v>4</v>
      </c>
      <c r="N285">
        <v>1353</v>
      </c>
      <c r="O285">
        <v>0</v>
      </c>
      <c r="P285">
        <v>5643</v>
      </c>
      <c r="Q285">
        <v>5412.83</v>
      </c>
      <c r="R285">
        <v>230.17</v>
      </c>
      <c r="S285" t="s">
        <v>100</v>
      </c>
      <c r="T285" t="s">
        <v>50</v>
      </c>
      <c r="U285" t="s">
        <v>2061</v>
      </c>
      <c r="V285" t="s">
        <v>2062</v>
      </c>
      <c r="W285">
        <v>1</v>
      </c>
      <c r="X285" t="s">
        <v>39</v>
      </c>
      <c r="Y285">
        <v>31</v>
      </c>
    </row>
    <row r="286" spans="1:25" x14ac:dyDescent="0.35">
      <c r="A286" t="s">
        <v>2063</v>
      </c>
      <c r="B286" s="1">
        <v>45823</v>
      </c>
      <c r="C286" s="1">
        <v>45828</v>
      </c>
      <c r="D286" t="s">
        <v>160</v>
      </c>
      <c r="E286" t="s">
        <v>2064</v>
      </c>
      <c r="F286" t="s">
        <v>95</v>
      </c>
      <c r="G286" t="s">
        <v>2065</v>
      </c>
      <c r="H286" t="s">
        <v>107</v>
      </c>
      <c r="I286" t="s">
        <v>108</v>
      </c>
      <c r="J286" t="s">
        <v>118</v>
      </c>
      <c r="K286" t="s">
        <v>60</v>
      </c>
      <c r="L286" t="s">
        <v>2066</v>
      </c>
      <c r="M286">
        <v>6</v>
      </c>
      <c r="N286">
        <v>4430</v>
      </c>
      <c r="O286">
        <v>5</v>
      </c>
      <c r="P286">
        <v>25482</v>
      </c>
      <c r="Q286">
        <v>25251.86</v>
      </c>
      <c r="R286">
        <v>230.14</v>
      </c>
      <c r="S286" t="s">
        <v>80</v>
      </c>
      <c r="T286" t="s">
        <v>50</v>
      </c>
      <c r="U286" t="s">
        <v>2067</v>
      </c>
      <c r="V286" t="s">
        <v>2068</v>
      </c>
      <c r="W286">
        <v>17</v>
      </c>
      <c r="X286" t="s">
        <v>53</v>
      </c>
      <c r="Y286">
        <v>0</v>
      </c>
    </row>
    <row r="287" spans="1:25" x14ac:dyDescent="0.35">
      <c r="A287" t="s">
        <v>2069</v>
      </c>
      <c r="B287" s="1">
        <v>45930</v>
      </c>
      <c r="C287" s="1">
        <v>45937</v>
      </c>
      <c r="D287" t="s">
        <v>2070</v>
      </c>
      <c r="E287" t="s">
        <v>2071</v>
      </c>
      <c r="F287" t="s">
        <v>28</v>
      </c>
      <c r="G287" t="s">
        <v>2072</v>
      </c>
      <c r="H287" t="s">
        <v>206</v>
      </c>
      <c r="I287" t="s">
        <v>31</v>
      </c>
      <c r="J287" t="s">
        <v>46</v>
      </c>
      <c r="K287" t="s">
        <v>691</v>
      </c>
      <c r="L287" t="s">
        <v>2073</v>
      </c>
      <c r="M287">
        <v>4</v>
      </c>
      <c r="N287">
        <v>1443</v>
      </c>
      <c r="O287">
        <v>0</v>
      </c>
      <c r="P287">
        <v>6003</v>
      </c>
      <c r="Q287">
        <v>5772.68</v>
      </c>
      <c r="R287">
        <v>230.32</v>
      </c>
      <c r="S287" t="s">
        <v>100</v>
      </c>
      <c r="T287" t="s">
        <v>140</v>
      </c>
      <c r="U287" t="s">
        <v>2074</v>
      </c>
      <c r="V287" t="s">
        <v>2075</v>
      </c>
      <c r="W287">
        <v>1</v>
      </c>
      <c r="X287" t="s">
        <v>39</v>
      </c>
      <c r="Y287">
        <v>32</v>
      </c>
    </row>
    <row r="288" spans="1:25" x14ac:dyDescent="0.35">
      <c r="A288" t="s">
        <v>2076</v>
      </c>
      <c r="B288" s="1">
        <v>45279</v>
      </c>
      <c r="C288" s="1">
        <v>45283</v>
      </c>
      <c r="D288" t="s">
        <v>2077</v>
      </c>
      <c r="E288" t="s">
        <v>2078</v>
      </c>
      <c r="F288" t="s">
        <v>95</v>
      </c>
      <c r="G288" t="s">
        <v>2079</v>
      </c>
      <c r="H288" t="s">
        <v>59</v>
      </c>
      <c r="I288" t="s">
        <v>31</v>
      </c>
      <c r="J288" t="s">
        <v>97</v>
      </c>
      <c r="K288" t="s">
        <v>1088</v>
      </c>
      <c r="L288" t="s">
        <v>2080</v>
      </c>
      <c r="M288">
        <v>2</v>
      </c>
      <c r="N288">
        <v>1720</v>
      </c>
      <c r="O288">
        <v>20</v>
      </c>
      <c r="P288">
        <v>2983</v>
      </c>
      <c r="Q288">
        <v>2752.9</v>
      </c>
      <c r="R288">
        <v>230.1</v>
      </c>
      <c r="S288" t="s">
        <v>49</v>
      </c>
      <c r="T288" t="s">
        <v>50</v>
      </c>
      <c r="U288" t="s">
        <v>2081</v>
      </c>
      <c r="V288" t="s">
        <v>2082</v>
      </c>
      <c r="W288">
        <v>1</v>
      </c>
      <c r="X288" t="s">
        <v>39</v>
      </c>
      <c r="Y288">
        <v>29</v>
      </c>
    </row>
    <row r="289" spans="1:25" x14ac:dyDescent="0.35">
      <c r="A289" t="s">
        <v>2083</v>
      </c>
      <c r="B289" s="1">
        <v>45672</v>
      </c>
      <c r="C289" s="1">
        <v>45679</v>
      </c>
      <c r="D289" t="s">
        <v>2084</v>
      </c>
      <c r="E289" t="s">
        <v>2085</v>
      </c>
      <c r="F289" t="s">
        <v>57</v>
      </c>
      <c r="G289" t="s">
        <v>2086</v>
      </c>
      <c r="H289" t="s">
        <v>30</v>
      </c>
      <c r="I289" t="s">
        <v>31</v>
      </c>
      <c r="J289" t="s">
        <v>118</v>
      </c>
      <c r="K289" t="s">
        <v>181</v>
      </c>
      <c r="L289" t="s">
        <v>2087</v>
      </c>
      <c r="M289">
        <v>5</v>
      </c>
      <c r="N289">
        <v>2838</v>
      </c>
      <c r="O289">
        <v>0</v>
      </c>
      <c r="P289">
        <v>14421</v>
      </c>
      <c r="Q289">
        <v>14190.81</v>
      </c>
      <c r="R289">
        <v>230.19</v>
      </c>
      <c r="S289" t="s">
        <v>49</v>
      </c>
      <c r="T289" t="s">
        <v>140</v>
      </c>
      <c r="U289" t="s">
        <v>2088</v>
      </c>
      <c r="V289" t="s">
        <v>2089</v>
      </c>
      <c r="W289">
        <v>3</v>
      </c>
      <c r="X289" t="s">
        <v>39</v>
      </c>
      <c r="Y289">
        <v>50</v>
      </c>
    </row>
    <row r="290" spans="1:25" x14ac:dyDescent="0.35">
      <c r="A290" t="s">
        <v>2090</v>
      </c>
      <c r="B290" s="1">
        <v>45722</v>
      </c>
      <c r="C290" s="1">
        <v>45726</v>
      </c>
      <c r="D290" t="s">
        <v>2091</v>
      </c>
      <c r="E290" t="s">
        <v>2092</v>
      </c>
      <c r="F290" t="s">
        <v>57</v>
      </c>
      <c r="G290" t="s">
        <v>2093</v>
      </c>
      <c r="H290" t="s">
        <v>107</v>
      </c>
      <c r="I290" t="s">
        <v>108</v>
      </c>
      <c r="J290" t="s">
        <v>97</v>
      </c>
      <c r="K290" t="s">
        <v>247</v>
      </c>
      <c r="L290" t="s">
        <v>2094</v>
      </c>
      <c r="M290">
        <v>8</v>
      </c>
      <c r="N290">
        <v>4292</v>
      </c>
      <c r="O290">
        <v>20</v>
      </c>
      <c r="P290">
        <v>27699.8</v>
      </c>
      <c r="Q290">
        <v>27469.64</v>
      </c>
      <c r="R290">
        <v>230.16</v>
      </c>
      <c r="S290" t="s">
        <v>35</v>
      </c>
      <c r="T290" t="s">
        <v>89</v>
      </c>
      <c r="U290" t="s">
        <v>2095</v>
      </c>
      <c r="V290" t="s">
        <v>2096</v>
      </c>
      <c r="W290">
        <v>9</v>
      </c>
      <c r="X290" t="s">
        <v>39</v>
      </c>
      <c r="Y290">
        <v>31</v>
      </c>
    </row>
    <row r="291" spans="1:25" x14ac:dyDescent="0.35">
      <c r="A291" t="s">
        <v>2097</v>
      </c>
      <c r="B291" s="1">
        <v>45411</v>
      </c>
      <c r="C291" s="1">
        <v>45416</v>
      </c>
      <c r="D291" t="s">
        <v>435</v>
      </c>
      <c r="E291" t="s">
        <v>2098</v>
      </c>
      <c r="F291" t="s">
        <v>95</v>
      </c>
      <c r="G291" t="s">
        <v>2099</v>
      </c>
      <c r="H291" t="s">
        <v>320</v>
      </c>
      <c r="I291" t="s">
        <v>137</v>
      </c>
      <c r="J291" t="s">
        <v>46</v>
      </c>
      <c r="K291" t="s">
        <v>885</v>
      </c>
      <c r="L291" t="s">
        <v>2100</v>
      </c>
      <c r="M291">
        <v>3</v>
      </c>
      <c r="N291">
        <v>1596</v>
      </c>
      <c r="O291">
        <v>10</v>
      </c>
      <c r="P291">
        <v>4540.2</v>
      </c>
      <c r="Q291">
        <v>4309.8100000000004</v>
      </c>
      <c r="R291">
        <v>230.39</v>
      </c>
      <c r="S291" t="s">
        <v>100</v>
      </c>
      <c r="T291" t="s">
        <v>89</v>
      </c>
      <c r="U291" t="s">
        <v>2101</v>
      </c>
      <c r="V291" t="s">
        <v>2102</v>
      </c>
      <c r="W291">
        <v>41</v>
      </c>
      <c r="X291" t="s">
        <v>53</v>
      </c>
      <c r="Y291">
        <v>0</v>
      </c>
    </row>
    <row r="292" spans="1:25" x14ac:dyDescent="0.35">
      <c r="A292" t="s">
        <v>2103</v>
      </c>
      <c r="B292" s="1">
        <v>45949</v>
      </c>
      <c r="C292" s="1">
        <v>45956</v>
      </c>
      <c r="D292" t="s">
        <v>2104</v>
      </c>
      <c r="E292" t="s">
        <v>2105</v>
      </c>
      <c r="F292" t="s">
        <v>28</v>
      </c>
      <c r="G292" t="s">
        <v>2106</v>
      </c>
      <c r="H292" t="s">
        <v>30</v>
      </c>
      <c r="I292" t="s">
        <v>31</v>
      </c>
      <c r="J292" t="s">
        <v>118</v>
      </c>
      <c r="K292" t="s">
        <v>466</v>
      </c>
      <c r="L292" t="s">
        <v>69</v>
      </c>
      <c r="M292">
        <v>2</v>
      </c>
      <c r="N292">
        <v>308</v>
      </c>
      <c r="O292">
        <v>0</v>
      </c>
      <c r="P292">
        <v>847</v>
      </c>
      <c r="Q292">
        <v>616.77</v>
      </c>
      <c r="R292">
        <v>230.23</v>
      </c>
      <c r="S292" t="s">
        <v>49</v>
      </c>
      <c r="T292" t="s">
        <v>36</v>
      </c>
      <c r="U292" t="s">
        <v>2107</v>
      </c>
      <c r="V292" t="s">
        <v>2108</v>
      </c>
      <c r="W292">
        <v>45</v>
      </c>
      <c r="X292" t="s">
        <v>53</v>
      </c>
      <c r="Y292">
        <v>0</v>
      </c>
    </row>
    <row r="293" spans="1:25" x14ac:dyDescent="0.35">
      <c r="A293" t="s">
        <v>2109</v>
      </c>
      <c r="B293" s="1">
        <v>45492</v>
      </c>
      <c r="C293" s="1">
        <v>45493</v>
      </c>
      <c r="D293" t="s">
        <v>2110</v>
      </c>
      <c r="E293" t="s">
        <v>2111</v>
      </c>
      <c r="F293" t="s">
        <v>57</v>
      </c>
      <c r="G293" t="s">
        <v>2112</v>
      </c>
      <c r="H293" t="s">
        <v>320</v>
      </c>
      <c r="I293" t="s">
        <v>137</v>
      </c>
      <c r="J293" t="s">
        <v>46</v>
      </c>
      <c r="K293" t="s">
        <v>173</v>
      </c>
      <c r="L293" t="s">
        <v>191</v>
      </c>
      <c r="M293">
        <v>5</v>
      </c>
      <c r="N293">
        <v>3362</v>
      </c>
      <c r="O293">
        <v>15</v>
      </c>
      <c r="P293">
        <v>14519.5</v>
      </c>
      <c r="Q293">
        <v>14289.37</v>
      </c>
      <c r="R293">
        <v>230.13</v>
      </c>
      <c r="S293" t="s">
        <v>80</v>
      </c>
      <c r="T293" t="s">
        <v>140</v>
      </c>
      <c r="U293" t="s">
        <v>2113</v>
      </c>
      <c r="V293" t="s">
        <v>2114</v>
      </c>
      <c r="W293">
        <v>11</v>
      </c>
      <c r="X293" t="s">
        <v>53</v>
      </c>
      <c r="Y293">
        <v>0</v>
      </c>
    </row>
    <row r="294" spans="1:25" x14ac:dyDescent="0.35">
      <c r="A294" t="s">
        <v>2115</v>
      </c>
      <c r="B294" s="1">
        <v>45305</v>
      </c>
      <c r="C294" s="1">
        <v>45311</v>
      </c>
      <c r="D294" t="s">
        <v>2116</v>
      </c>
      <c r="E294" t="s">
        <v>2117</v>
      </c>
      <c r="F294" t="s">
        <v>95</v>
      </c>
      <c r="G294" t="s">
        <v>2118</v>
      </c>
      <c r="H294" t="s">
        <v>117</v>
      </c>
      <c r="I294" t="s">
        <v>108</v>
      </c>
      <c r="J294" t="s">
        <v>32</v>
      </c>
      <c r="K294" t="s">
        <v>415</v>
      </c>
      <c r="L294" t="s">
        <v>2119</v>
      </c>
      <c r="M294">
        <v>9</v>
      </c>
      <c r="N294">
        <v>1202</v>
      </c>
      <c r="O294">
        <v>5</v>
      </c>
      <c r="P294">
        <v>10508.1</v>
      </c>
      <c r="Q294">
        <v>10277.91</v>
      </c>
      <c r="R294">
        <v>230.19</v>
      </c>
      <c r="S294" t="s">
        <v>35</v>
      </c>
      <c r="T294" t="s">
        <v>36</v>
      </c>
      <c r="U294" t="s">
        <v>2120</v>
      </c>
      <c r="V294" t="s">
        <v>2121</v>
      </c>
      <c r="W294">
        <v>44</v>
      </c>
      <c r="X294" t="s">
        <v>53</v>
      </c>
      <c r="Y294">
        <v>0</v>
      </c>
    </row>
    <row r="295" spans="1:25" x14ac:dyDescent="0.35">
      <c r="A295" t="s">
        <v>2122</v>
      </c>
      <c r="B295" s="1">
        <v>45916</v>
      </c>
      <c r="C295" s="1">
        <v>45921</v>
      </c>
      <c r="D295" t="s">
        <v>2123</v>
      </c>
      <c r="E295" t="s">
        <v>2124</v>
      </c>
      <c r="F295" t="s">
        <v>57</v>
      </c>
      <c r="G295" t="s">
        <v>2125</v>
      </c>
      <c r="H295" t="s">
        <v>154</v>
      </c>
      <c r="I295" t="s">
        <v>137</v>
      </c>
      <c r="J295" t="s">
        <v>32</v>
      </c>
      <c r="K295" t="s">
        <v>598</v>
      </c>
      <c r="L295" t="s">
        <v>2126</v>
      </c>
      <c r="M295">
        <v>3</v>
      </c>
      <c r="N295">
        <v>2509</v>
      </c>
      <c r="O295">
        <v>5</v>
      </c>
      <c r="P295">
        <v>7381.65</v>
      </c>
      <c r="Q295">
        <v>7151.53</v>
      </c>
      <c r="R295">
        <v>230.12</v>
      </c>
      <c r="S295" t="s">
        <v>80</v>
      </c>
      <c r="T295" t="s">
        <v>140</v>
      </c>
      <c r="U295" t="s">
        <v>2127</v>
      </c>
      <c r="V295" t="s">
        <v>2128</v>
      </c>
      <c r="W295">
        <v>15</v>
      </c>
      <c r="X295" t="s">
        <v>53</v>
      </c>
      <c r="Y295">
        <v>0</v>
      </c>
    </row>
    <row r="296" spans="1:25" x14ac:dyDescent="0.35">
      <c r="A296" t="s">
        <v>2129</v>
      </c>
      <c r="B296" s="1">
        <v>45681</v>
      </c>
      <c r="C296" s="1">
        <v>45687</v>
      </c>
      <c r="D296" t="s">
        <v>2130</v>
      </c>
      <c r="E296" t="s">
        <v>2131</v>
      </c>
      <c r="F296" t="s">
        <v>95</v>
      </c>
      <c r="G296" t="s">
        <v>2132</v>
      </c>
      <c r="H296" t="s">
        <v>127</v>
      </c>
      <c r="I296" t="s">
        <v>45</v>
      </c>
      <c r="J296" t="s">
        <v>46</v>
      </c>
      <c r="K296" t="s">
        <v>155</v>
      </c>
      <c r="L296" t="s">
        <v>2133</v>
      </c>
      <c r="M296">
        <v>5</v>
      </c>
      <c r="N296">
        <v>2778</v>
      </c>
      <c r="O296">
        <v>15</v>
      </c>
      <c r="P296">
        <v>12037.5</v>
      </c>
      <c r="Q296">
        <v>11807.29</v>
      </c>
      <c r="R296">
        <v>230.21</v>
      </c>
      <c r="S296" t="s">
        <v>80</v>
      </c>
      <c r="T296" t="s">
        <v>36</v>
      </c>
      <c r="U296" t="s">
        <v>2134</v>
      </c>
      <c r="V296" t="s">
        <v>2135</v>
      </c>
      <c r="W296">
        <v>29</v>
      </c>
      <c r="X296" t="s">
        <v>53</v>
      </c>
      <c r="Y296">
        <v>0</v>
      </c>
    </row>
    <row r="297" spans="1:25" x14ac:dyDescent="0.35">
      <c r="A297" t="s">
        <v>2136</v>
      </c>
      <c r="B297" s="1">
        <v>45265</v>
      </c>
      <c r="C297" s="1">
        <v>45267</v>
      </c>
      <c r="D297" t="s">
        <v>2137</v>
      </c>
      <c r="E297" t="s">
        <v>2138</v>
      </c>
      <c r="F297" t="s">
        <v>28</v>
      </c>
      <c r="G297" t="s">
        <v>2139</v>
      </c>
      <c r="H297" t="s">
        <v>283</v>
      </c>
      <c r="I297" t="s">
        <v>45</v>
      </c>
      <c r="J297" t="s">
        <v>32</v>
      </c>
      <c r="K297" t="s">
        <v>662</v>
      </c>
      <c r="L297" t="s">
        <v>2140</v>
      </c>
      <c r="M297">
        <v>8</v>
      </c>
      <c r="N297">
        <v>3610</v>
      </c>
      <c r="O297">
        <v>5</v>
      </c>
      <c r="P297">
        <v>27667</v>
      </c>
      <c r="Q297">
        <v>27436.77</v>
      </c>
      <c r="R297">
        <v>230.23</v>
      </c>
      <c r="S297" t="s">
        <v>35</v>
      </c>
      <c r="T297" t="s">
        <v>140</v>
      </c>
      <c r="U297" t="s">
        <v>2141</v>
      </c>
      <c r="V297" t="s">
        <v>2142</v>
      </c>
      <c r="W297">
        <v>17</v>
      </c>
      <c r="X297" t="s">
        <v>53</v>
      </c>
      <c r="Y297">
        <v>0</v>
      </c>
    </row>
    <row r="298" spans="1:25" x14ac:dyDescent="0.35">
      <c r="A298" t="s">
        <v>2143</v>
      </c>
      <c r="B298" s="1">
        <v>45372</v>
      </c>
      <c r="C298" s="1">
        <v>45379</v>
      </c>
      <c r="D298" t="s">
        <v>2144</v>
      </c>
      <c r="E298" t="s">
        <v>2145</v>
      </c>
      <c r="F298" t="s">
        <v>95</v>
      </c>
      <c r="G298" t="s">
        <v>2146</v>
      </c>
      <c r="H298" t="s">
        <v>283</v>
      </c>
      <c r="I298" t="s">
        <v>45</v>
      </c>
      <c r="J298" t="s">
        <v>97</v>
      </c>
      <c r="K298" t="s">
        <v>109</v>
      </c>
      <c r="L298" t="s">
        <v>2147</v>
      </c>
      <c r="M298">
        <v>5</v>
      </c>
      <c r="N298">
        <v>581</v>
      </c>
      <c r="O298">
        <v>15</v>
      </c>
      <c r="P298">
        <v>2700.25</v>
      </c>
      <c r="Q298">
        <v>2470</v>
      </c>
      <c r="R298">
        <v>230.25</v>
      </c>
      <c r="S298" t="s">
        <v>49</v>
      </c>
      <c r="T298" t="s">
        <v>36</v>
      </c>
      <c r="U298" t="s">
        <v>2148</v>
      </c>
      <c r="V298" t="s">
        <v>2149</v>
      </c>
      <c r="W298">
        <v>20</v>
      </c>
      <c r="X298" t="s">
        <v>53</v>
      </c>
      <c r="Y298">
        <v>0</v>
      </c>
    </row>
    <row r="299" spans="1:25" x14ac:dyDescent="0.35">
      <c r="A299" t="s">
        <v>2150</v>
      </c>
      <c r="B299" s="1">
        <v>45700</v>
      </c>
      <c r="C299" s="1">
        <v>45707</v>
      </c>
      <c r="D299" t="s">
        <v>861</v>
      </c>
      <c r="E299" t="s">
        <v>2151</v>
      </c>
      <c r="F299" t="s">
        <v>28</v>
      </c>
      <c r="G299" t="s">
        <v>2152</v>
      </c>
      <c r="H299" t="s">
        <v>198</v>
      </c>
      <c r="I299" t="s">
        <v>31</v>
      </c>
      <c r="J299" t="s">
        <v>118</v>
      </c>
      <c r="K299" t="s">
        <v>430</v>
      </c>
      <c r="L299" t="s">
        <v>2153</v>
      </c>
      <c r="M299">
        <v>2</v>
      </c>
      <c r="N299">
        <v>2203</v>
      </c>
      <c r="O299">
        <v>15</v>
      </c>
      <c r="P299">
        <v>3976.1</v>
      </c>
      <c r="Q299">
        <v>3745.86</v>
      </c>
      <c r="R299">
        <v>230.24</v>
      </c>
      <c r="S299" t="s">
        <v>35</v>
      </c>
      <c r="T299" t="s">
        <v>89</v>
      </c>
      <c r="U299" t="s">
        <v>2154</v>
      </c>
      <c r="V299" t="s">
        <v>2155</v>
      </c>
      <c r="W299">
        <v>22</v>
      </c>
      <c r="X299" t="s">
        <v>53</v>
      </c>
      <c r="Y299">
        <v>0</v>
      </c>
    </row>
    <row r="300" spans="1:25" x14ac:dyDescent="0.35">
      <c r="A300" t="s">
        <v>2156</v>
      </c>
      <c r="B300" s="1">
        <v>45492</v>
      </c>
      <c r="C300" s="1">
        <v>45497</v>
      </c>
      <c r="D300" t="s">
        <v>2157</v>
      </c>
      <c r="E300" t="s">
        <v>2158</v>
      </c>
      <c r="F300" t="s">
        <v>28</v>
      </c>
      <c r="G300" t="s">
        <v>2159</v>
      </c>
      <c r="H300" t="s">
        <v>320</v>
      </c>
      <c r="I300" t="s">
        <v>137</v>
      </c>
      <c r="J300" t="s">
        <v>46</v>
      </c>
      <c r="K300" t="s">
        <v>970</v>
      </c>
      <c r="L300" t="s">
        <v>2160</v>
      </c>
      <c r="M300">
        <v>2</v>
      </c>
      <c r="N300">
        <v>3462</v>
      </c>
      <c r="O300">
        <v>20</v>
      </c>
      <c r="P300">
        <v>5770.2</v>
      </c>
      <c r="Q300">
        <v>5539.8</v>
      </c>
      <c r="R300">
        <v>230.4</v>
      </c>
      <c r="S300" t="s">
        <v>100</v>
      </c>
      <c r="T300" t="s">
        <v>89</v>
      </c>
      <c r="U300" t="s">
        <v>2161</v>
      </c>
      <c r="V300" t="s">
        <v>2162</v>
      </c>
      <c r="W300">
        <v>13</v>
      </c>
      <c r="X300" t="s">
        <v>53</v>
      </c>
      <c r="Y300">
        <v>0</v>
      </c>
    </row>
    <row r="301" spans="1:25" x14ac:dyDescent="0.35">
      <c r="A301" t="s">
        <v>2163</v>
      </c>
      <c r="B301" s="1">
        <v>45761</v>
      </c>
      <c r="C301" s="1">
        <v>45765</v>
      </c>
      <c r="D301" t="s">
        <v>631</v>
      </c>
      <c r="E301" t="s">
        <v>2164</v>
      </c>
      <c r="F301" t="s">
        <v>57</v>
      </c>
      <c r="G301" t="s">
        <v>2165</v>
      </c>
      <c r="H301" t="s">
        <v>136</v>
      </c>
      <c r="I301" t="s">
        <v>137</v>
      </c>
      <c r="J301" t="s">
        <v>32</v>
      </c>
      <c r="K301" t="s">
        <v>349</v>
      </c>
      <c r="L301" t="s">
        <v>1158</v>
      </c>
      <c r="M301">
        <v>1</v>
      </c>
      <c r="N301">
        <v>1972</v>
      </c>
      <c r="O301">
        <v>0</v>
      </c>
      <c r="P301">
        <v>2203</v>
      </c>
      <c r="Q301">
        <v>1972.61</v>
      </c>
      <c r="R301">
        <v>230.39</v>
      </c>
      <c r="S301" t="s">
        <v>35</v>
      </c>
      <c r="T301" t="s">
        <v>36</v>
      </c>
      <c r="U301" t="s">
        <v>2166</v>
      </c>
      <c r="V301" t="s">
        <v>2167</v>
      </c>
      <c r="W301">
        <v>32</v>
      </c>
      <c r="X301" t="s">
        <v>53</v>
      </c>
      <c r="Y301">
        <v>0</v>
      </c>
    </row>
    <row r="302" spans="1:25" x14ac:dyDescent="0.35">
      <c r="A302" t="s">
        <v>2168</v>
      </c>
      <c r="B302" s="1">
        <v>45503</v>
      </c>
      <c r="C302" s="1">
        <v>45507</v>
      </c>
      <c r="D302" t="s">
        <v>2169</v>
      </c>
      <c r="E302" t="s">
        <v>2170</v>
      </c>
      <c r="F302" t="s">
        <v>95</v>
      </c>
      <c r="G302" t="s">
        <v>2171</v>
      </c>
      <c r="H302" t="s">
        <v>68</v>
      </c>
      <c r="I302" t="s">
        <v>31</v>
      </c>
      <c r="J302" t="s">
        <v>32</v>
      </c>
      <c r="K302" t="s">
        <v>47</v>
      </c>
      <c r="L302" t="s">
        <v>2172</v>
      </c>
      <c r="M302">
        <v>10</v>
      </c>
      <c r="N302">
        <v>4744</v>
      </c>
      <c r="O302">
        <v>5</v>
      </c>
      <c r="P302">
        <v>45299</v>
      </c>
      <c r="Q302">
        <v>45068.65</v>
      </c>
      <c r="R302">
        <v>230.35</v>
      </c>
      <c r="S302" t="s">
        <v>80</v>
      </c>
      <c r="T302" t="s">
        <v>36</v>
      </c>
      <c r="U302" t="s">
        <v>2173</v>
      </c>
      <c r="V302" t="s">
        <v>2174</v>
      </c>
      <c r="W302">
        <v>28</v>
      </c>
      <c r="X302" t="s">
        <v>53</v>
      </c>
      <c r="Y302">
        <v>0</v>
      </c>
    </row>
    <row r="303" spans="1:25" x14ac:dyDescent="0.35">
      <c r="A303" t="s">
        <v>2175</v>
      </c>
      <c r="B303" s="1">
        <v>45700</v>
      </c>
      <c r="C303" s="1">
        <v>45707</v>
      </c>
      <c r="D303" t="s">
        <v>2176</v>
      </c>
      <c r="E303" t="s">
        <v>2177</v>
      </c>
      <c r="F303" t="s">
        <v>57</v>
      </c>
      <c r="G303" t="s">
        <v>2178</v>
      </c>
      <c r="H303" t="s">
        <v>68</v>
      </c>
      <c r="I303" t="s">
        <v>31</v>
      </c>
      <c r="J303" t="s">
        <v>97</v>
      </c>
      <c r="K303" t="s">
        <v>78</v>
      </c>
      <c r="L303" t="s">
        <v>2179</v>
      </c>
      <c r="M303">
        <v>10</v>
      </c>
      <c r="N303">
        <v>4965</v>
      </c>
      <c r="O303">
        <v>0</v>
      </c>
      <c r="P303">
        <v>49881</v>
      </c>
      <c r="Q303">
        <v>49650.74</v>
      </c>
      <c r="R303">
        <v>230.26</v>
      </c>
      <c r="S303" t="s">
        <v>49</v>
      </c>
      <c r="T303" t="s">
        <v>36</v>
      </c>
      <c r="U303" t="s">
        <v>2180</v>
      </c>
      <c r="V303" t="s">
        <v>2181</v>
      </c>
      <c r="W303">
        <v>15</v>
      </c>
      <c r="X303" t="s">
        <v>53</v>
      </c>
      <c r="Y303">
        <v>0</v>
      </c>
    </row>
    <row r="304" spans="1:25" x14ac:dyDescent="0.35">
      <c r="A304" t="s">
        <v>2182</v>
      </c>
      <c r="B304" s="1">
        <v>45628</v>
      </c>
      <c r="C304" s="1">
        <v>45632</v>
      </c>
      <c r="D304" t="s">
        <v>711</v>
      </c>
      <c r="E304" t="s">
        <v>2183</v>
      </c>
      <c r="F304" t="s">
        <v>28</v>
      </c>
      <c r="G304" t="s">
        <v>2184</v>
      </c>
      <c r="H304" t="s">
        <v>127</v>
      </c>
      <c r="I304" t="s">
        <v>45</v>
      </c>
      <c r="J304" t="s">
        <v>118</v>
      </c>
      <c r="K304" t="s">
        <v>155</v>
      </c>
      <c r="L304" t="s">
        <v>2185</v>
      </c>
      <c r="M304">
        <v>1</v>
      </c>
      <c r="N304">
        <v>4127</v>
      </c>
      <c r="O304">
        <v>20</v>
      </c>
      <c r="P304">
        <v>3532.6</v>
      </c>
      <c r="Q304">
        <v>3302.26</v>
      </c>
      <c r="R304">
        <v>230.34</v>
      </c>
      <c r="S304" t="s">
        <v>80</v>
      </c>
      <c r="T304" t="s">
        <v>140</v>
      </c>
      <c r="U304" t="s">
        <v>2186</v>
      </c>
      <c r="V304" t="s">
        <v>2187</v>
      </c>
      <c r="W304">
        <v>22</v>
      </c>
      <c r="X304" t="s">
        <v>53</v>
      </c>
      <c r="Y304">
        <v>0</v>
      </c>
    </row>
    <row r="305" spans="1:25" x14ac:dyDescent="0.35">
      <c r="A305" t="s">
        <v>2188</v>
      </c>
      <c r="B305" s="1">
        <v>45342</v>
      </c>
      <c r="C305" s="1">
        <v>45346</v>
      </c>
      <c r="D305" t="s">
        <v>2050</v>
      </c>
      <c r="E305" t="s">
        <v>2189</v>
      </c>
      <c r="F305" t="s">
        <v>28</v>
      </c>
      <c r="G305" t="s">
        <v>2190</v>
      </c>
      <c r="H305" t="s">
        <v>283</v>
      </c>
      <c r="I305" t="s">
        <v>45</v>
      </c>
      <c r="J305" t="s">
        <v>32</v>
      </c>
      <c r="K305" t="s">
        <v>562</v>
      </c>
      <c r="L305" t="s">
        <v>2191</v>
      </c>
      <c r="M305">
        <v>7</v>
      </c>
      <c r="N305">
        <v>333</v>
      </c>
      <c r="O305">
        <v>20</v>
      </c>
      <c r="P305">
        <v>2095.8000000000002</v>
      </c>
      <c r="Q305">
        <v>1865.52</v>
      </c>
      <c r="R305">
        <v>230.28</v>
      </c>
      <c r="S305" t="s">
        <v>49</v>
      </c>
      <c r="T305" t="s">
        <v>50</v>
      </c>
      <c r="U305" t="s">
        <v>2192</v>
      </c>
      <c r="V305" t="s">
        <v>2193</v>
      </c>
      <c r="W305">
        <v>5</v>
      </c>
      <c r="X305" t="s">
        <v>39</v>
      </c>
      <c r="Y305">
        <v>43</v>
      </c>
    </row>
    <row r="306" spans="1:25" x14ac:dyDescent="0.35">
      <c r="A306" t="s">
        <v>2194</v>
      </c>
      <c r="B306" s="1">
        <v>45656</v>
      </c>
      <c r="C306" s="1">
        <v>45661</v>
      </c>
      <c r="D306" t="s">
        <v>2010</v>
      </c>
      <c r="E306" t="s">
        <v>2195</v>
      </c>
      <c r="F306" t="s">
        <v>95</v>
      </c>
      <c r="G306" t="s">
        <v>2196</v>
      </c>
      <c r="H306" t="s">
        <v>163</v>
      </c>
      <c r="I306" t="s">
        <v>108</v>
      </c>
      <c r="J306" t="s">
        <v>46</v>
      </c>
      <c r="K306" t="s">
        <v>885</v>
      </c>
      <c r="L306" t="s">
        <v>1060</v>
      </c>
      <c r="M306">
        <v>4</v>
      </c>
      <c r="N306">
        <v>3051</v>
      </c>
      <c r="O306">
        <v>5</v>
      </c>
      <c r="P306">
        <v>11824.8</v>
      </c>
      <c r="Q306">
        <v>11594.47</v>
      </c>
      <c r="R306">
        <v>230.33</v>
      </c>
      <c r="S306" t="s">
        <v>100</v>
      </c>
      <c r="T306" t="s">
        <v>140</v>
      </c>
      <c r="U306" t="s">
        <v>2197</v>
      </c>
      <c r="V306" t="s">
        <v>2198</v>
      </c>
      <c r="W306">
        <v>34</v>
      </c>
      <c r="X306" t="s">
        <v>53</v>
      </c>
      <c r="Y306">
        <v>0</v>
      </c>
    </row>
    <row r="307" spans="1:25" x14ac:dyDescent="0.35">
      <c r="A307" t="s">
        <v>2199</v>
      </c>
      <c r="B307" s="1">
        <v>45807</v>
      </c>
      <c r="C307" s="1">
        <v>45809</v>
      </c>
      <c r="D307" t="s">
        <v>2200</v>
      </c>
      <c r="E307" t="s">
        <v>2201</v>
      </c>
      <c r="F307" t="s">
        <v>28</v>
      </c>
      <c r="G307" t="s">
        <v>2202</v>
      </c>
      <c r="H307" t="s">
        <v>44</v>
      </c>
      <c r="I307" t="s">
        <v>45</v>
      </c>
      <c r="J307" t="s">
        <v>118</v>
      </c>
      <c r="K307" t="s">
        <v>532</v>
      </c>
      <c r="L307" t="s">
        <v>2203</v>
      </c>
      <c r="M307">
        <v>8</v>
      </c>
      <c r="N307">
        <v>4238</v>
      </c>
      <c r="O307">
        <v>5</v>
      </c>
      <c r="P307">
        <v>32439.8</v>
      </c>
      <c r="Q307">
        <v>32209.5</v>
      </c>
      <c r="R307">
        <v>230.3</v>
      </c>
      <c r="S307" t="s">
        <v>49</v>
      </c>
      <c r="T307" t="s">
        <v>89</v>
      </c>
      <c r="U307" t="s">
        <v>2204</v>
      </c>
      <c r="V307" t="s">
        <v>2205</v>
      </c>
      <c r="W307">
        <v>48</v>
      </c>
      <c r="X307" t="s">
        <v>53</v>
      </c>
      <c r="Y307">
        <v>0</v>
      </c>
    </row>
    <row r="308" spans="1:25" x14ac:dyDescent="0.35">
      <c r="A308" t="s">
        <v>2206</v>
      </c>
      <c r="B308" s="1">
        <v>45461</v>
      </c>
      <c r="C308" s="1">
        <v>45467</v>
      </c>
      <c r="D308" t="s">
        <v>2207</v>
      </c>
      <c r="E308" t="s">
        <v>2208</v>
      </c>
      <c r="F308" t="s">
        <v>57</v>
      </c>
      <c r="G308" t="s">
        <v>2209</v>
      </c>
      <c r="H308" t="s">
        <v>127</v>
      </c>
      <c r="I308" t="s">
        <v>45</v>
      </c>
      <c r="J308" t="s">
        <v>32</v>
      </c>
      <c r="K308" t="s">
        <v>78</v>
      </c>
      <c r="L308" t="s">
        <v>2210</v>
      </c>
      <c r="M308">
        <v>7</v>
      </c>
      <c r="N308">
        <v>3247</v>
      </c>
      <c r="O308">
        <v>20</v>
      </c>
      <c r="P308">
        <v>18414.2</v>
      </c>
      <c r="Q308">
        <v>18183.849999999999</v>
      </c>
      <c r="R308">
        <v>230.35</v>
      </c>
      <c r="S308" t="s">
        <v>100</v>
      </c>
      <c r="T308" t="s">
        <v>50</v>
      </c>
      <c r="U308" t="s">
        <v>2211</v>
      </c>
      <c r="V308" t="s">
        <v>2212</v>
      </c>
      <c r="W308">
        <v>8</v>
      </c>
      <c r="X308" t="s">
        <v>39</v>
      </c>
      <c r="Y308">
        <v>36</v>
      </c>
    </row>
    <row r="309" spans="1:25" x14ac:dyDescent="0.35">
      <c r="A309" t="s">
        <v>2213</v>
      </c>
      <c r="B309" s="1">
        <v>45707</v>
      </c>
      <c r="C309" s="1">
        <v>45714</v>
      </c>
      <c r="D309" t="s">
        <v>1010</v>
      </c>
      <c r="E309" t="s">
        <v>2214</v>
      </c>
      <c r="F309" t="s">
        <v>57</v>
      </c>
      <c r="G309" t="s">
        <v>2215</v>
      </c>
      <c r="H309" t="s">
        <v>230</v>
      </c>
      <c r="I309" t="s">
        <v>137</v>
      </c>
      <c r="J309" t="s">
        <v>97</v>
      </c>
      <c r="K309" t="s">
        <v>222</v>
      </c>
      <c r="L309" t="s">
        <v>2216</v>
      </c>
      <c r="M309">
        <v>6</v>
      </c>
      <c r="N309">
        <v>1330</v>
      </c>
      <c r="O309">
        <v>5</v>
      </c>
      <c r="P309">
        <v>7812</v>
      </c>
      <c r="Q309">
        <v>7581.77</v>
      </c>
      <c r="R309">
        <v>230.23</v>
      </c>
      <c r="S309" t="s">
        <v>49</v>
      </c>
      <c r="T309" t="s">
        <v>140</v>
      </c>
      <c r="U309" t="s">
        <v>2217</v>
      </c>
      <c r="V309" t="s">
        <v>2218</v>
      </c>
      <c r="W309">
        <v>8</v>
      </c>
      <c r="X309" t="s">
        <v>39</v>
      </c>
      <c r="Y309">
        <v>49</v>
      </c>
    </row>
    <row r="310" spans="1:25" x14ac:dyDescent="0.35">
      <c r="A310" t="s">
        <v>2219</v>
      </c>
      <c r="B310" s="1">
        <v>45960</v>
      </c>
      <c r="C310" s="1">
        <v>45967</v>
      </c>
      <c r="D310" t="s">
        <v>1624</v>
      </c>
      <c r="E310" t="s">
        <v>2220</v>
      </c>
      <c r="F310" t="s">
        <v>95</v>
      </c>
      <c r="G310" t="s">
        <v>2221</v>
      </c>
      <c r="H310" t="s">
        <v>136</v>
      </c>
      <c r="I310" t="s">
        <v>137</v>
      </c>
      <c r="J310" t="s">
        <v>32</v>
      </c>
      <c r="K310" t="s">
        <v>222</v>
      </c>
      <c r="L310" t="s">
        <v>2222</v>
      </c>
      <c r="M310">
        <v>3</v>
      </c>
      <c r="N310">
        <v>4236</v>
      </c>
      <c r="O310">
        <v>15</v>
      </c>
      <c r="P310">
        <v>11254.8</v>
      </c>
      <c r="Q310">
        <v>10802.68</v>
      </c>
      <c r="R310">
        <v>452.12</v>
      </c>
      <c r="S310" t="s">
        <v>80</v>
      </c>
      <c r="T310" t="s">
        <v>36</v>
      </c>
      <c r="U310" t="s">
        <v>1662</v>
      </c>
      <c r="V310" t="s">
        <v>2223</v>
      </c>
      <c r="W310">
        <v>6</v>
      </c>
      <c r="X310" t="s">
        <v>39</v>
      </c>
      <c r="Y310">
        <v>22</v>
      </c>
    </row>
    <row r="311" spans="1:25" x14ac:dyDescent="0.35">
      <c r="A311" t="s">
        <v>2224</v>
      </c>
      <c r="B311" s="1">
        <v>45388</v>
      </c>
      <c r="C311" s="1">
        <v>45395</v>
      </c>
      <c r="D311" t="s">
        <v>2225</v>
      </c>
      <c r="E311" t="s">
        <v>2226</v>
      </c>
      <c r="F311" t="s">
        <v>95</v>
      </c>
      <c r="G311" t="s">
        <v>2227</v>
      </c>
      <c r="H311" t="s">
        <v>154</v>
      </c>
      <c r="I311" t="s">
        <v>137</v>
      </c>
      <c r="J311" t="s">
        <v>46</v>
      </c>
      <c r="K311" t="s">
        <v>78</v>
      </c>
      <c r="L311" t="s">
        <v>2228</v>
      </c>
      <c r="M311">
        <v>7</v>
      </c>
      <c r="N311">
        <v>436</v>
      </c>
      <c r="O311">
        <v>5</v>
      </c>
      <c r="P311">
        <v>3352.4</v>
      </c>
      <c r="Q311">
        <v>2900.16</v>
      </c>
      <c r="R311">
        <v>452.24</v>
      </c>
      <c r="S311" t="s">
        <v>100</v>
      </c>
      <c r="T311" t="s">
        <v>36</v>
      </c>
      <c r="U311" t="s">
        <v>2229</v>
      </c>
      <c r="V311" t="s">
        <v>2230</v>
      </c>
      <c r="W311">
        <v>37</v>
      </c>
      <c r="X311" t="s">
        <v>53</v>
      </c>
      <c r="Y311">
        <v>0</v>
      </c>
    </row>
    <row r="312" spans="1:25" x14ac:dyDescent="0.35">
      <c r="A312" t="s">
        <v>2231</v>
      </c>
      <c r="B312" s="1">
        <v>45922</v>
      </c>
      <c r="C312" s="1">
        <v>45929</v>
      </c>
      <c r="D312" t="s">
        <v>2232</v>
      </c>
      <c r="E312" t="s">
        <v>2233</v>
      </c>
      <c r="F312" t="s">
        <v>28</v>
      </c>
      <c r="G312" t="s">
        <v>2234</v>
      </c>
      <c r="H312" t="s">
        <v>154</v>
      </c>
      <c r="I312" t="s">
        <v>137</v>
      </c>
      <c r="J312" t="s">
        <v>97</v>
      </c>
      <c r="K312" t="s">
        <v>231</v>
      </c>
      <c r="L312" t="s">
        <v>2235</v>
      </c>
      <c r="M312">
        <v>6</v>
      </c>
      <c r="N312">
        <v>4303</v>
      </c>
      <c r="O312">
        <v>0</v>
      </c>
      <c r="P312">
        <v>26271</v>
      </c>
      <c r="Q312">
        <v>25818.74</v>
      </c>
      <c r="R312">
        <v>452.26</v>
      </c>
      <c r="S312" t="s">
        <v>49</v>
      </c>
      <c r="T312" t="s">
        <v>140</v>
      </c>
      <c r="U312" t="s">
        <v>2236</v>
      </c>
      <c r="V312" t="s">
        <v>2237</v>
      </c>
      <c r="W312">
        <v>35</v>
      </c>
      <c r="X312" t="s">
        <v>53</v>
      </c>
      <c r="Y312">
        <v>0</v>
      </c>
    </row>
    <row r="313" spans="1:25" x14ac:dyDescent="0.35">
      <c r="A313" t="s">
        <v>2238</v>
      </c>
      <c r="B313" s="1">
        <v>45284</v>
      </c>
      <c r="C313" s="1">
        <v>45285</v>
      </c>
      <c r="D313" t="s">
        <v>2239</v>
      </c>
      <c r="E313" t="s">
        <v>2240</v>
      </c>
      <c r="F313" t="s">
        <v>95</v>
      </c>
      <c r="G313" t="s">
        <v>2241</v>
      </c>
      <c r="H313" t="s">
        <v>30</v>
      </c>
      <c r="I313" t="s">
        <v>31</v>
      </c>
      <c r="J313" t="s">
        <v>118</v>
      </c>
      <c r="K313" t="s">
        <v>482</v>
      </c>
      <c r="L313" t="s">
        <v>2242</v>
      </c>
      <c r="M313">
        <v>6</v>
      </c>
      <c r="N313">
        <v>1042</v>
      </c>
      <c r="O313">
        <v>15</v>
      </c>
      <c r="P313">
        <v>5767.2</v>
      </c>
      <c r="Q313">
        <v>5315</v>
      </c>
      <c r="R313">
        <v>452.2</v>
      </c>
      <c r="S313" t="s">
        <v>49</v>
      </c>
      <c r="T313" t="s">
        <v>50</v>
      </c>
      <c r="U313" t="s">
        <v>2243</v>
      </c>
      <c r="V313" t="s">
        <v>2244</v>
      </c>
      <c r="W313">
        <v>24</v>
      </c>
      <c r="X313" t="s">
        <v>53</v>
      </c>
      <c r="Y313">
        <v>0</v>
      </c>
    </row>
    <row r="314" spans="1:25" x14ac:dyDescent="0.35">
      <c r="A314" t="s">
        <v>2245</v>
      </c>
      <c r="B314" s="1">
        <v>45428</v>
      </c>
      <c r="C314" s="1">
        <v>45433</v>
      </c>
      <c r="D314" t="s">
        <v>219</v>
      </c>
      <c r="E314" t="s">
        <v>2246</v>
      </c>
      <c r="F314" t="s">
        <v>57</v>
      </c>
      <c r="G314" t="s">
        <v>2247</v>
      </c>
      <c r="H314" t="s">
        <v>364</v>
      </c>
      <c r="I314" t="s">
        <v>137</v>
      </c>
      <c r="J314" t="s">
        <v>32</v>
      </c>
      <c r="K314" t="s">
        <v>466</v>
      </c>
      <c r="L314" t="s">
        <v>2248</v>
      </c>
      <c r="M314">
        <v>3</v>
      </c>
      <c r="N314">
        <v>1891</v>
      </c>
      <c r="O314">
        <v>15</v>
      </c>
      <c r="P314">
        <v>5275.05</v>
      </c>
      <c r="Q314">
        <v>4822.82</v>
      </c>
      <c r="R314">
        <v>452.23</v>
      </c>
      <c r="S314" t="s">
        <v>80</v>
      </c>
      <c r="T314" t="s">
        <v>140</v>
      </c>
      <c r="U314" t="s">
        <v>2249</v>
      </c>
      <c r="V314" t="s">
        <v>2250</v>
      </c>
      <c r="W314">
        <v>46</v>
      </c>
      <c r="X314" t="s">
        <v>53</v>
      </c>
      <c r="Y314">
        <v>0</v>
      </c>
    </row>
    <row r="315" spans="1:25" x14ac:dyDescent="0.35">
      <c r="A315" t="s">
        <v>2251</v>
      </c>
      <c r="B315" s="1">
        <v>45893</v>
      </c>
      <c r="C315" s="1">
        <v>45895</v>
      </c>
      <c r="D315" t="s">
        <v>2252</v>
      </c>
      <c r="E315" t="s">
        <v>2253</v>
      </c>
      <c r="F315" t="s">
        <v>28</v>
      </c>
      <c r="G315" t="s">
        <v>2254</v>
      </c>
      <c r="H315" t="s">
        <v>230</v>
      </c>
      <c r="I315" t="s">
        <v>137</v>
      </c>
      <c r="J315" t="s">
        <v>118</v>
      </c>
      <c r="K315" t="s">
        <v>119</v>
      </c>
      <c r="L315" t="s">
        <v>2255</v>
      </c>
      <c r="M315">
        <v>4</v>
      </c>
      <c r="N315">
        <v>3061</v>
      </c>
      <c r="O315">
        <v>15</v>
      </c>
      <c r="P315">
        <v>10860.4</v>
      </c>
      <c r="Q315">
        <v>10408.09</v>
      </c>
      <c r="R315">
        <v>452.31</v>
      </c>
      <c r="S315" t="s">
        <v>35</v>
      </c>
      <c r="T315" t="s">
        <v>50</v>
      </c>
      <c r="U315" t="s">
        <v>2256</v>
      </c>
      <c r="V315" t="s">
        <v>2257</v>
      </c>
      <c r="W315">
        <v>47</v>
      </c>
      <c r="X315" t="s">
        <v>53</v>
      </c>
      <c r="Y315">
        <v>0</v>
      </c>
    </row>
    <row r="316" spans="1:25" x14ac:dyDescent="0.35">
      <c r="A316" t="s">
        <v>2258</v>
      </c>
      <c r="B316" s="1">
        <v>45653</v>
      </c>
      <c r="C316" s="1">
        <v>45659</v>
      </c>
      <c r="D316" t="s">
        <v>2259</v>
      </c>
      <c r="E316" t="s">
        <v>2260</v>
      </c>
      <c r="F316" t="s">
        <v>95</v>
      </c>
      <c r="G316" t="s">
        <v>2261</v>
      </c>
      <c r="H316" t="s">
        <v>283</v>
      </c>
      <c r="I316" t="s">
        <v>45</v>
      </c>
      <c r="J316" t="s">
        <v>32</v>
      </c>
      <c r="K316" t="s">
        <v>598</v>
      </c>
      <c r="L316" t="s">
        <v>2262</v>
      </c>
      <c r="M316">
        <v>10</v>
      </c>
      <c r="N316">
        <v>1283</v>
      </c>
      <c r="O316">
        <v>20</v>
      </c>
      <c r="P316">
        <v>10717</v>
      </c>
      <c r="Q316">
        <v>10264.75</v>
      </c>
      <c r="R316">
        <v>452.25</v>
      </c>
      <c r="S316" t="s">
        <v>35</v>
      </c>
      <c r="T316" t="s">
        <v>36</v>
      </c>
      <c r="U316" t="s">
        <v>2263</v>
      </c>
      <c r="V316" t="s">
        <v>2264</v>
      </c>
      <c r="W316">
        <v>27</v>
      </c>
      <c r="X316" t="s">
        <v>53</v>
      </c>
      <c r="Y316">
        <v>0</v>
      </c>
    </row>
    <row r="317" spans="1:25" x14ac:dyDescent="0.35">
      <c r="A317" t="s">
        <v>2265</v>
      </c>
      <c r="B317" s="1">
        <v>45860</v>
      </c>
      <c r="C317" s="1">
        <v>45864</v>
      </c>
      <c r="D317" t="s">
        <v>41</v>
      </c>
      <c r="E317" t="s">
        <v>2266</v>
      </c>
      <c r="F317" t="s">
        <v>57</v>
      </c>
      <c r="G317" t="s">
        <v>2267</v>
      </c>
      <c r="H317" t="s">
        <v>127</v>
      </c>
      <c r="I317" t="s">
        <v>45</v>
      </c>
      <c r="J317" t="s">
        <v>97</v>
      </c>
      <c r="K317" t="s">
        <v>247</v>
      </c>
      <c r="L317" t="s">
        <v>2268</v>
      </c>
      <c r="M317">
        <v>9</v>
      </c>
      <c r="N317">
        <v>1135</v>
      </c>
      <c r="O317">
        <v>20</v>
      </c>
      <c r="P317">
        <v>8625</v>
      </c>
      <c r="Q317">
        <v>8172.74</v>
      </c>
      <c r="R317">
        <v>452.26</v>
      </c>
      <c r="S317" t="s">
        <v>35</v>
      </c>
      <c r="T317" t="s">
        <v>89</v>
      </c>
      <c r="U317" t="s">
        <v>2269</v>
      </c>
      <c r="V317" t="s">
        <v>2270</v>
      </c>
      <c r="W317">
        <v>16</v>
      </c>
      <c r="X317" t="s">
        <v>53</v>
      </c>
      <c r="Y317">
        <v>0</v>
      </c>
    </row>
    <row r="318" spans="1:25" x14ac:dyDescent="0.35">
      <c r="A318" t="s">
        <v>2271</v>
      </c>
      <c r="B318" s="1">
        <v>45378</v>
      </c>
      <c r="C318" s="1">
        <v>45385</v>
      </c>
      <c r="D318" t="s">
        <v>346</v>
      </c>
      <c r="E318" t="s">
        <v>2272</v>
      </c>
      <c r="F318" t="s">
        <v>95</v>
      </c>
      <c r="G318" t="s">
        <v>2273</v>
      </c>
      <c r="H318" t="s">
        <v>283</v>
      </c>
      <c r="I318" t="s">
        <v>45</v>
      </c>
      <c r="J318" t="s">
        <v>32</v>
      </c>
      <c r="K318" t="s">
        <v>598</v>
      </c>
      <c r="L318" t="s">
        <v>2274</v>
      </c>
      <c r="M318">
        <v>1</v>
      </c>
      <c r="N318">
        <v>1301</v>
      </c>
      <c r="O318">
        <v>15</v>
      </c>
      <c r="P318">
        <v>1558.85</v>
      </c>
      <c r="Q318">
        <v>1106.49</v>
      </c>
      <c r="R318">
        <v>452.36</v>
      </c>
      <c r="S318" t="s">
        <v>49</v>
      </c>
      <c r="T318" t="s">
        <v>140</v>
      </c>
      <c r="U318" t="s">
        <v>2275</v>
      </c>
      <c r="V318" t="s">
        <v>2276</v>
      </c>
      <c r="W318">
        <v>27</v>
      </c>
      <c r="X318" t="s">
        <v>53</v>
      </c>
      <c r="Y318">
        <v>0</v>
      </c>
    </row>
    <row r="319" spans="1:25" x14ac:dyDescent="0.35">
      <c r="A319" t="s">
        <v>2277</v>
      </c>
      <c r="B319" s="1">
        <v>45285</v>
      </c>
      <c r="C319" s="1">
        <v>45288</v>
      </c>
      <c r="D319" t="s">
        <v>2278</v>
      </c>
      <c r="E319" t="s">
        <v>2279</v>
      </c>
      <c r="F319" t="s">
        <v>95</v>
      </c>
      <c r="G319" t="s">
        <v>2280</v>
      </c>
      <c r="H319" t="s">
        <v>30</v>
      </c>
      <c r="I319" t="s">
        <v>31</v>
      </c>
      <c r="J319" t="s">
        <v>46</v>
      </c>
      <c r="K319" t="s">
        <v>532</v>
      </c>
      <c r="L319" t="s">
        <v>2281</v>
      </c>
      <c r="M319">
        <v>7</v>
      </c>
      <c r="N319">
        <v>2090</v>
      </c>
      <c r="O319">
        <v>15</v>
      </c>
      <c r="P319">
        <v>12888.5</v>
      </c>
      <c r="Q319">
        <v>12436.13</v>
      </c>
      <c r="R319">
        <v>452.37</v>
      </c>
      <c r="S319" t="s">
        <v>80</v>
      </c>
      <c r="T319" t="s">
        <v>50</v>
      </c>
      <c r="U319" t="s">
        <v>2282</v>
      </c>
      <c r="V319" t="s">
        <v>2283</v>
      </c>
      <c r="W319">
        <v>36</v>
      </c>
      <c r="X319" t="s">
        <v>53</v>
      </c>
      <c r="Y319">
        <v>0</v>
      </c>
    </row>
    <row r="320" spans="1:25" x14ac:dyDescent="0.35">
      <c r="A320" t="s">
        <v>2284</v>
      </c>
      <c r="B320" s="1">
        <v>45389</v>
      </c>
      <c r="C320" s="1">
        <v>45392</v>
      </c>
      <c r="D320" t="s">
        <v>295</v>
      </c>
      <c r="E320" t="s">
        <v>2285</v>
      </c>
      <c r="F320" t="s">
        <v>28</v>
      </c>
      <c r="G320" t="s">
        <v>2286</v>
      </c>
      <c r="H320" t="s">
        <v>283</v>
      </c>
      <c r="I320" t="s">
        <v>45</v>
      </c>
      <c r="J320" t="s">
        <v>46</v>
      </c>
      <c r="K320" t="s">
        <v>691</v>
      </c>
      <c r="L320" t="s">
        <v>2287</v>
      </c>
      <c r="M320">
        <v>8</v>
      </c>
      <c r="N320">
        <v>1617</v>
      </c>
      <c r="O320">
        <v>15</v>
      </c>
      <c r="P320">
        <v>11448.6</v>
      </c>
      <c r="Q320">
        <v>10996.24</v>
      </c>
      <c r="R320">
        <v>452.36</v>
      </c>
      <c r="S320" t="s">
        <v>49</v>
      </c>
      <c r="T320" t="s">
        <v>140</v>
      </c>
      <c r="U320" t="s">
        <v>2288</v>
      </c>
      <c r="V320" t="s">
        <v>2289</v>
      </c>
      <c r="W320">
        <v>4</v>
      </c>
      <c r="X320" t="s">
        <v>39</v>
      </c>
      <c r="Y320">
        <v>43</v>
      </c>
    </row>
    <row r="321" spans="1:25" x14ac:dyDescent="0.35">
      <c r="A321" t="s">
        <v>2290</v>
      </c>
      <c r="B321" s="1">
        <v>45423</v>
      </c>
      <c r="C321" s="1">
        <v>45426</v>
      </c>
      <c r="D321" t="s">
        <v>2291</v>
      </c>
      <c r="E321" t="s">
        <v>2292</v>
      </c>
      <c r="F321" t="s">
        <v>57</v>
      </c>
      <c r="G321" t="s">
        <v>2293</v>
      </c>
      <c r="H321" t="s">
        <v>198</v>
      </c>
      <c r="I321" t="s">
        <v>31</v>
      </c>
      <c r="J321" t="s">
        <v>97</v>
      </c>
      <c r="K321" t="s">
        <v>69</v>
      </c>
      <c r="L321" t="s">
        <v>2294</v>
      </c>
      <c r="M321">
        <v>8</v>
      </c>
      <c r="N321">
        <v>3208</v>
      </c>
      <c r="O321">
        <v>20</v>
      </c>
      <c r="P321">
        <v>20984.2</v>
      </c>
      <c r="Q321">
        <v>20532.04</v>
      </c>
      <c r="R321">
        <v>452.16</v>
      </c>
      <c r="S321" t="s">
        <v>35</v>
      </c>
      <c r="T321" t="s">
        <v>50</v>
      </c>
      <c r="U321" t="s">
        <v>2295</v>
      </c>
      <c r="V321" t="s">
        <v>2296</v>
      </c>
      <c r="W321">
        <v>24</v>
      </c>
      <c r="X321" t="s">
        <v>53</v>
      </c>
      <c r="Y321">
        <v>0</v>
      </c>
    </row>
    <row r="322" spans="1:25" x14ac:dyDescent="0.35">
      <c r="A322" t="s">
        <v>2297</v>
      </c>
      <c r="B322" s="1">
        <v>45442</v>
      </c>
      <c r="C322" s="1">
        <v>45445</v>
      </c>
      <c r="D322" t="s">
        <v>2298</v>
      </c>
      <c r="E322" t="s">
        <v>2299</v>
      </c>
      <c r="F322" t="s">
        <v>28</v>
      </c>
      <c r="G322" t="s">
        <v>2300</v>
      </c>
      <c r="H322" t="s">
        <v>230</v>
      </c>
      <c r="I322" t="s">
        <v>137</v>
      </c>
      <c r="J322" t="s">
        <v>32</v>
      </c>
      <c r="K322" t="s">
        <v>474</v>
      </c>
      <c r="L322" t="s">
        <v>2301</v>
      </c>
      <c r="M322">
        <v>3</v>
      </c>
      <c r="N322">
        <v>3522</v>
      </c>
      <c r="O322">
        <v>5</v>
      </c>
      <c r="P322">
        <v>10490.7</v>
      </c>
      <c r="Q322">
        <v>10038.59</v>
      </c>
      <c r="R322">
        <v>452.11</v>
      </c>
      <c r="S322" t="s">
        <v>100</v>
      </c>
      <c r="T322" t="s">
        <v>36</v>
      </c>
      <c r="U322" t="s">
        <v>2302</v>
      </c>
      <c r="V322" t="s">
        <v>2303</v>
      </c>
      <c r="W322">
        <v>5</v>
      </c>
      <c r="X322" t="s">
        <v>39</v>
      </c>
      <c r="Y322">
        <v>26</v>
      </c>
    </row>
    <row r="323" spans="1:25" x14ac:dyDescent="0.35">
      <c r="A323" t="s">
        <v>2304</v>
      </c>
      <c r="B323" s="1">
        <v>45483</v>
      </c>
      <c r="C323" s="1">
        <v>45484</v>
      </c>
      <c r="D323" t="s">
        <v>2305</v>
      </c>
      <c r="E323" t="s">
        <v>2306</v>
      </c>
      <c r="F323" t="s">
        <v>57</v>
      </c>
      <c r="G323" t="s">
        <v>2307</v>
      </c>
      <c r="H323" t="s">
        <v>59</v>
      </c>
      <c r="I323" t="s">
        <v>31</v>
      </c>
      <c r="J323" t="s">
        <v>46</v>
      </c>
      <c r="K323" t="s">
        <v>98</v>
      </c>
      <c r="L323" t="s">
        <v>2308</v>
      </c>
      <c r="M323">
        <v>2</v>
      </c>
      <c r="N323">
        <v>107</v>
      </c>
      <c r="O323">
        <v>20</v>
      </c>
      <c r="P323">
        <v>624.20000000000005</v>
      </c>
      <c r="Q323">
        <v>171.84</v>
      </c>
      <c r="R323">
        <v>452.36</v>
      </c>
      <c r="S323" t="s">
        <v>49</v>
      </c>
      <c r="T323" t="s">
        <v>36</v>
      </c>
      <c r="U323" t="s">
        <v>2309</v>
      </c>
      <c r="V323" t="s">
        <v>2310</v>
      </c>
      <c r="W323">
        <v>11</v>
      </c>
      <c r="X323" t="s">
        <v>53</v>
      </c>
      <c r="Y323">
        <v>0</v>
      </c>
    </row>
    <row r="324" spans="1:25" x14ac:dyDescent="0.35">
      <c r="A324" t="s">
        <v>2311</v>
      </c>
      <c r="B324" s="1">
        <v>45757</v>
      </c>
      <c r="C324" s="1">
        <v>45761</v>
      </c>
      <c r="D324" t="s">
        <v>755</v>
      </c>
      <c r="E324" t="s">
        <v>2312</v>
      </c>
      <c r="F324" t="s">
        <v>28</v>
      </c>
      <c r="G324" t="s">
        <v>2313</v>
      </c>
      <c r="H324" t="s">
        <v>117</v>
      </c>
      <c r="I324" t="s">
        <v>108</v>
      </c>
      <c r="J324" t="s">
        <v>32</v>
      </c>
      <c r="K324" t="s">
        <v>247</v>
      </c>
      <c r="L324" t="s">
        <v>2314</v>
      </c>
      <c r="M324">
        <v>8</v>
      </c>
      <c r="N324">
        <v>2938</v>
      </c>
      <c r="O324">
        <v>5</v>
      </c>
      <c r="P324">
        <v>22781.8</v>
      </c>
      <c r="Q324">
        <v>22329.58</v>
      </c>
      <c r="R324">
        <v>452.22</v>
      </c>
      <c r="S324" t="s">
        <v>80</v>
      </c>
      <c r="T324" t="s">
        <v>36</v>
      </c>
      <c r="U324" t="s">
        <v>2315</v>
      </c>
      <c r="V324" t="s">
        <v>2316</v>
      </c>
      <c r="W324">
        <v>40</v>
      </c>
      <c r="X324" t="s">
        <v>53</v>
      </c>
      <c r="Y324">
        <v>0</v>
      </c>
    </row>
    <row r="325" spans="1:25" x14ac:dyDescent="0.35">
      <c r="A325" t="s">
        <v>2317</v>
      </c>
      <c r="B325" s="1">
        <v>45859</v>
      </c>
      <c r="C325" s="1">
        <v>45860</v>
      </c>
      <c r="D325" t="s">
        <v>2318</v>
      </c>
      <c r="E325" t="s">
        <v>2319</v>
      </c>
      <c r="F325" t="s">
        <v>95</v>
      </c>
      <c r="G325" t="s">
        <v>2320</v>
      </c>
      <c r="H325" t="s">
        <v>107</v>
      </c>
      <c r="I325" t="s">
        <v>108</v>
      </c>
      <c r="J325" t="s">
        <v>118</v>
      </c>
      <c r="K325" t="s">
        <v>207</v>
      </c>
      <c r="L325" t="s">
        <v>2321</v>
      </c>
      <c r="M325">
        <v>6</v>
      </c>
      <c r="N325">
        <v>750</v>
      </c>
      <c r="O325">
        <v>0</v>
      </c>
      <c r="P325">
        <v>4953</v>
      </c>
      <c r="Q325">
        <v>4500.79</v>
      </c>
      <c r="R325">
        <v>452.21</v>
      </c>
      <c r="S325" t="s">
        <v>35</v>
      </c>
      <c r="T325" t="s">
        <v>140</v>
      </c>
      <c r="U325" t="s">
        <v>2322</v>
      </c>
      <c r="V325" t="s">
        <v>2323</v>
      </c>
      <c r="W325">
        <v>39</v>
      </c>
      <c r="X325" t="s">
        <v>53</v>
      </c>
      <c r="Y325">
        <v>0</v>
      </c>
    </row>
    <row r="326" spans="1:25" x14ac:dyDescent="0.35">
      <c r="A326" t="s">
        <v>2324</v>
      </c>
      <c r="B326" s="1">
        <v>45691</v>
      </c>
      <c r="C326" s="1">
        <v>45695</v>
      </c>
      <c r="D326" t="s">
        <v>169</v>
      </c>
      <c r="E326" t="s">
        <v>2325</v>
      </c>
      <c r="F326" t="s">
        <v>95</v>
      </c>
      <c r="G326" t="s">
        <v>2326</v>
      </c>
      <c r="H326" t="s">
        <v>230</v>
      </c>
      <c r="I326" t="s">
        <v>137</v>
      </c>
      <c r="J326" t="s">
        <v>118</v>
      </c>
      <c r="K326" t="s">
        <v>128</v>
      </c>
      <c r="L326" t="s">
        <v>2327</v>
      </c>
      <c r="M326">
        <v>4</v>
      </c>
      <c r="N326">
        <v>436</v>
      </c>
      <c r="O326">
        <v>5</v>
      </c>
      <c r="P326">
        <v>2109.8000000000002</v>
      </c>
      <c r="Q326">
        <v>1657.49</v>
      </c>
      <c r="R326">
        <v>452.31</v>
      </c>
      <c r="S326" t="s">
        <v>49</v>
      </c>
      <c r="T326" t="s">
        <v>36</v>
      </c>
      <c r="U326" t="s">
        <v>2328</v>
      </c>
      <c r="V326" t="s">
        <v>2329</v>
      </c>
      <c r="W326">
        <v>36</v>
      </c>
      <c r="X326" t="s">
        <v>53</v>
      </c>
      <c r="Y326">
        <v>0</v>
      </c>
    </row>
    <row r="327" spans="1:25" x14ac:dyDescent="0.35">
      <c r="A327" t="s">
        <v>2330</v>
      </c>
      <c r="B327" s="1">
        <v>45426</v>
      </c>
      <c r="C327" s="1">
        <v>45428</v>
      </c>
      <c r="D327" t="s">
        <v>1251</v>
      </c>
      <c r="E327" t="s">
        <v>2331</v>
      </c>
      <c r="F327" t="s">
        <v>95</v>
      </c>
      <c r="G327" t="s">
        <v>2332</v>
      </c>
      <c r="H327" t="s">
        <v>163</v>
      </c>
      <c r="I327" t="s">
        <v>108</v>
      </c>
      <c r="J327" t="s">
        <v>46</v>
      </c>
      <c r="K327" t="s">
        <v>430</v>
      </c>
      <c r="L327" t="s">
        <v>2333</v>
      </c>
      <c r="M327">
        <v>3</v>
      </c>
      <c r="N327">
        <v>108</v>
      </c>
      <c r="O327">
        <v>20</v>
      </c>
      <c r="P327">
        <v>712.2</v>
      </c>
      <c r="Q327">
        <v>260.02</v>
      </c>
      <c r="R327">
        <v>452.18</v>
      </c>
      <c r="S327" t="s">
        <v>80</v>
      </c>
      <c r="T327" t="s">
        <v>89</v>
      </c>
      <c r="U327" t="s">
        <v>2334</v>
      </c>
      <c r="V327" t="s">
        <v>2335</v>
      </c>
      <c r="W327">
        <v>1</v>
      </c>
      <c r="X327" t="s">
        <v>39</v>
      </c>
      <c r="Y327">
        <v>33</v>
      </c>
    </row>
    <row r="328" spans="1:25" x14ac:dyDescent="0.35">
      <c r="A328" t="s">
        <v>2336</v>
      </c>
      <c r="B328" s="1">
        <v>45713</v>
      </c>
      <c r="C328" s="1">
        <v>45718</v>
      </c>
      <c r="D328" t="s">
        <v>2337</v>
      </c>
      <c r="E328" t="s">
        <v>2338</v>
      </c>
      <c r="F328" t="s">
        <v>95</v>
      </c>
      <c r="G328" t="s">
        <v>2339</v>
      </c>
      <c r="H328" t="s">
        <v>206</v>
      </c>
      <c r="I328" t="s">
        <v>31</v>
      </c>
      <c r="J328" t="s">
        <v>32</v>
      </c>
      <c r="K328" t="s">
        <v>138</v>
      </c>
      <c r="L328" t="s">
        <v>2340</v>
      </c>
      <c r="M328">
        <v>5</v>
      </c>
      <c r="N328">
        <v>4162</v>
      </c>
      <c r="O328">
        <v>5</v>
      </c>
      <c r="P328">
        <v>20222.5</v>
      </c>
      <c r="Q328">
        <v>19770.28</v>
      </c>
      <c r="R328">
        <v>452.22</v>
      </c>
      <c r="S328" t="s">
        <v>100</v>
      </c>
      <c r="T328" t="s">
        <v>89</v>
      </c>
      <c r="U328" t="s">
        <v>2341</v>
      </c>
      <c r="V328" t="s">
        <v>2342</v>
      </c>
      <c r="W328">
        <v>24</v>
      </c>
      <c r="X328" t="s">
        <v>53</v>
      </c>
      <c r="Y328">
        <v>0</v>
      </c>
    </row>
    <row r="329" spans="1:25" x14ac:dyDescent="0.35">
      <c r="A329" t="s">
        <v>2343</v>
      </c>
      <c r="B329" s="1">
        <v>45433</v>
      </c>
      <c r="C329" s="1">
        <v>45438</v>
      </c>
      <c r="D329" t="s">
        <v>2344</v>
      </c>
      <c r="E329" t="s">
        <v>2345</v>
      </c>
      <c r="F329" t="s">
        <v>28</v>
      </c>
      <c r="G329" t="s">
        <v>2346</v>
      </c>
      <c r="H329" t="s">
        <v>136</v>
      </c>
      <c r="I329" t="s">
        <v>137</v>
      </c>
      <c r="J329" t="s">
        <v>46</v>
      </c>
      <c r="K329" t="s">
        <v>992</v>
      </c>
      <c r="L329" t="s">
        <v>2347</v>
      </c>
      <c r="M329">
        <v>3</v>
      </c>
      <c r="N329">
        <v>3487</v>
      </c>
      <c r="O329">
        <v>0</v>
      </c>
      <c r="P329">
        <v>10914</v>
      </c>
      <c r="Q329">
        <v>10461.629999999999</v>
      </c>
      <c r="R329">
        <v>452.37</v>
      </c>
      <c r="S329" t="s">
        <v>49</v>
      </c>
      <c r="T329" t="s">
        <v>89</v>
      </c>
      <c r="U329" t="s">
        <v>2348</v>
      </c>
      <c r="V329" t="s">
        <v>2349</v>
      </c>
      <c r="W329">
        <v>46</v>
      </c>
      <c r="X329" t="s">
        <v>53</v>
      </c>
      <c r="Y329">
        <v>0</v>
      </c>
    </row>
    <row r="330" spans="1:25" x14ac:dyDescent="0.35">
      <c r="A330" t="s">
        <v>2350</v>
      </c>
      <c r="B330" s="1">
        <v>45573</v>
      </c>
      <c r="C330" s="1">
        <v>45575</v>
      </c>
      <c r="D330" t="s">
        <v>2252</v>
      </c>
      <c r="E330" t="s">
        <v>2351</v>
      </c>
      <c r="F330" t="s">
        <v>28</v>
      </c>
      <c r="G330" t="s">
        <v>2352</v>
      </c>
      <c r="H330" t="s">
        <v>198</v>
      </c>
      <c r="I330" t="s">
        <v>31</v>
      </c>
      <c r="J330" t="s">
        <v>32</v>
      </c>
      <c r="K330" t="s">
        <v>400</v>
      </c>
      <c r="L330" t="s">
        <v>2353</v>
      </c>
      <c r="M330">
        <v>2</v>
      </c>
      <c r="N330">
        <v>3588</v>
      </c>
      <c r="O330">
        <v>10</v>
      </c>
      <c r="P330">
        <v>6911.4</v>
      </c>
      <c r="Q330">
        <v>6459.14</v>
      </c>
      <c r="R330">
        <v>452.26</v>
      </c>
      <c r="S330" t="s">
        <v>49</v>
      </c>
      <c r="T330" t="s">
        <v>140</v>
      </c>
      <c r="U330" t="s">
        <v>2354</v>
      </c>
      <c r="V330" t="s">
        <v>2355</v>
      </c>
      <c r="W330">
        <v>13</v>
      </c>
      <c r="X330" t="s">
        <v>53</v>
      </c>
      <c r="Y330">
        <v>0</v>
      </c>
    </row>
    <row r="331" spans="1:25" x14ac:dyDescent="0.35">
      <c r="A331" t="s">
        <v>2356</v>
      </c>
      <c r="B331" s="1">
        <v>45539</v>
      </c>
      <c r="C331" s="1">
        <v>45544</v>
      </c>
      <c r="D331" t="s">
        <v>1691</v>
      </c>
      <c r="E331" t="s">
        <v>2357</v>
      </c>
      <c r="F331" t="s">
        <v>95</v>
      </c>
      <c r="G331" t="s">
        <v>2358</v>
      </c>
      <c r="H331" t="s">
        <v>206</v>
      </c>
      <c r="I331" t="s">
        <v>31</v>
      </c>
      <c r="J331" t="s">
        <v>46</v>
      </c>
      <c r="K331" t="s">
        <v>109</v>
      </c>
      <c r="L331" t="s">
        <v>2359</v>
      </c>
      <c r="M331">
        <v>3</v>
      </c>
      <c r="N331">
        <v>1813</v>
      </c>
      <c r="O331">
        <v>10</v>
      </c>
      <c r="P331">
        <v>5348.1</v>
      </c>
      <c r="Q331">
        <v>4895.82</v>
      </c>
      <c r="R331">
        <v>452.28</v>
      </c>
      <c r="S331" t="s">
        <v>100</v>
      </c>
      <c r="T331" t="s">
        <v>50</v>
      </c>
      <c r="U331" t="s">
        <v>2360</v>
      </c>
      <c r="V331" t="s">
        <v>2361</v>
      </c>
      <c r="W331">
        <v>19</v>
      </c>
      <c r="X331" t="s">
        <v>53</v>
      </c>
      <c r="Y331">
        <v>0</v>
      </c>
    </row>
    <row r="332" spans="1:25" x14ac:dyDescent="0.35">
      <c r="A332" t="s">
        <v>2362</v>
      </c>
      <c r="B332" s="1">
        <v>45350</v>
      </c>
      <c r="C332" s="1">
        <v>45353</v>
      </c>
      <c r="D332" t="s">
        <v>2363</v>
      </c>
      <c r="E332" t="s">
        <v>2364</v>
      </c>
      <c r="F332" t="s">
        <v>57</v>
      </c>
      <c r="G332" t="s">
        <v>2365</v>
      </c>
      <c r="H332" t="s">
        <v>283</v>
      </c>
      <c r="I332" t="s">
        <v>45</v>
      </c>
      <c r="J332" t="s">
        <v>118</v>
      </c>
      <c r="K332" t="s">
        <v>119</v>
      </c>
      <c r="L332" t="s">
        <v>2366</v>
      </c>
      <c r="M332">
        <v>1</v>
      </c>
      <c r="N332">
        <v>372</v>
      </c>
      <c r="O332">
        <v>5</v>
      </c>
      <c r="P332">
        <v>806.4</v>
      </c>
      <c r="Q332">
        <v>354.11</v>
      </c>
      <c r="R332">
        <v>452.29</v>
      </c>
      <c r="S332" t="s">
        <v>49</v>
      </c>
      <c r="T332" t="s">
        <v>89</v>
      </c>
      <c r="U332" t="s">
        <v>2367</v>
      </c>
      <c r="V332" t="s">
        <v>2368</v>
      </c>
      <c r="W332">
        <v>13</v>
      </c>
      <c r="X332" t="s">
        <v>53</v>
      </c>
      <c r="Y332">
        <v>0</v>
      </c>
    </row>
    <row r="333" spans="1:25" x14ac:dyDescent="0.35">
      <c r="A333" t="s">
        <v>2369</v>
      </c>
      <c r="B333" s="1">
        <v>45591</v>
      </c>
      <c r="C333" s="1">
        <v>45598</v>
      </c>
      <c r="D333" t="s">
        <v>2370</v>
      </c>
      <c r="E333" t="s">
        <v>2371</v>
      </c>
      <c r="F333" t="s">
        <v>57</v>
      </c>
      <c r="G333" t="s">
        <v>2372</v>
      </c>
      <c r="H333" t="s">
        <v>77</v>
      </c>
      <c r="I333" t="s">
        <v>45</v>
      </c>
      <c r="J333" t="s">
        <v>118</v>
      </c>
      <c r="K333" t="s">
        <v>155</v>
      </c>
      <c r="L333" t="s">
        <v>2373</v>
      </c>
      <c r="M333">
        <v>8</v>
      </c>
      <c r="N333">
        <v>681</v>
      </c>
      <c r="O333">
        <v>0</v>
      </c>
      <c r="P333">
        <v>5901</v>
      </c>
      <c r="Q333">
        <v>5448.76</v>
      </c>
      <c r="R333">
        <v>452.24</v>
      </c>
      <c r="S333" t="s">
        <v>80</v>
      </c>
      <c r="T333" t="s">
        <v>140</v>
      </c>
      <c r="U333" t="s">
        <v>2374</v>
      </c>
      <c r="V333" t="s">
        <v>2375</v>
      </c>
      <c r="W333">
        <v>31</v>
      </c>
      <c r="X333" t="s">
        <v>53</v>
      </c>
      <c r="Y333">
        <v>0</v>
      </c>
    </row>
    <row r="334" spans="1:25" x14ac:dyDescent="0.35">
      <c r="A334" t="s">
        <v>2376</v>
      </c>
      <c r="B334" s="1">
        <v>45772</v>
      </c>
      <c r="C334" s="1">
        <v>45773</v>
      </c>
      <c r="D334" t="s">
        <v>479</v>
      </c>
      <c r="E334" t="s">
        <v>2377</v>
      </c>
      <c r="F334" t="s">
        <v>57</v>
      </c>
      <c r="G334" t="s">
        <v>2378</v>
      </c>
      <c r="H334" t="s">
        <v>283</v>
      </c>
      <c r="I334" t="s">
        <v>45</v>
      </c>
      <c r="J334" t="s">
        <v>97</v>
      </c>
      <c r="K334" t="s">
        <v>786</v>
      </c>
      <c r="L334" t="s">
        <v>2379</v>
      </c>
      <c r="M334">
        <v>6</v>
      </c>
      <c r="N334">
        <v>2064</v>
      </c>
      <c r="O334">
        <v>15</v>
      </c>
      <c r="P334">
        <v>10979.4</v>
      </c>
      <c r="Q334">
        <v>10527.11</v>
      </c>
      <c r="R334">
        <v>452.29</v>
      </c>
      <c r="S334" t="s">
        <v>35</v>
      </c>
      <c r="T334" t="s">
        <v>140</v>
      </c>
      <c r="U334" t="s">
        <v>2380</v>
      </c>
      <c r="V334" t="s">
        <v>2381</v>
      </c>
      <c r="W334">
        <v>50</v>
      </c>
      <c r="X334" t="s">
        <v>53</v>
      </c>
      <c r="Y334">
        <v>0</v>
      </c>
    </row>
    <row r="335" spans="1:25" x14ac:dyDescent="0.35">
      <c r="A335" t="s">
        <v>2382</v>
      </c>
      <c r="B335" s="1">
        <v>45883</v>
      </c>
      <c r="C335" s="1">
        <v>45884</v>
      </c>
      <c r="D335" t="s">
        <v>2383</v>
      </c>
      <c r="E335" t="s">
        <v>2384</v>
      </c>
      <c r="F335" t="s">
        <v>28</v>
      </c>
      <c r="G335" t="s">
        <v>2385</v>
      </c>
      <c r="H335" t="s">
        <v>230</v>
      </c>
      <c r="I335" t="s">
        <v>137</v>
      </c>
      <c r="J335" t="s">
        <v>32</v>
      </c>
      <c r="K335" t="s">
        <v>33</v>
      </c>
      <c r="L335" t="s">
        <v>2386</v>
      </c>
      <c r="M335">
        <v>4</v>
      </c>
      <c r="N335">
        <v>3065</v>
      </c>
      <c r="O335">
        <v>15</v>
      </c>
      <c r="P335">
        <v>10874</v>
      </c>
      <c r="Q335">
        <v>10421.84</v>
      </c>
      <c r="R335">
        <v>452.16</v>
      </c>
      <c r="S335" t="s">
        <v>49</v>
      </c>
      <c r="T335" t="s">
        <v>36</v>
      </c>
      <c r="U335" t="s">
        <v>2387</v>
      </c>
      <c r="V335" t="s">
        <v>2388</v>
      </c>
      <c r="W335">
        <v>3</v>
      </c>
      <c r="X335" t="s">
        <v>39</v>
      </c>
      <c r="Y335">
        <v>38</v>
      </c>
    </row>
    <row r="336" spans="1:25" x14ac:dyDescent="0.35">
      <c r="A336" t="s">
        <v>2389</v>
      </c>
      <c r="B336" s="1">
        <v>45551</v>
      </c>
      <c r="C336" s="1">
        <v>45557</v>
      </c>
      <c r="D336" t="s">
        <v>2390</v>
      </c>
      <c r="E336" t="s">
        <v>2391</v>
      </c>
      <c r="F336" t="s">
        <v>95</v>
      </c>
      <c r="G336" t="s">
        <v>2392</v>
      </c>
      <c r="H336" t="s">
        <v>364</v>
      </c>
      <c r="I336" t="s">
        <v>137</v>
      </c>
      <c r="J336" t="s">
        <v>32</v>
      </c>
      <c r="K336" t="s">
        <v>155</v>
      </c>
      <c r="L336" t="s">
        <v>2393</v>
      </c>
      <c r="M336">
        <v>9</v>
      </c>
      <c r="N336">
        <v>1781</v>
      </c>
      <c r="O336">
        <v>0</v>
      </c>
      <c r="P336">
        <v>16482</v>
      </c>
      <c r="Q336">
        <v>16029.64</v>
      </c>
      <c r="R336">
        <v>452.36</v>
      </c>
      <c r="S336" t="s">
        <v>80</v>
      </c>
      <c r="T336" t="s">
        <v>140</v>
      </c>
      <c r="U336" t="s">
        <v>2394</v>
      </c>
      <c r="V336" t="s">
        <v>2395</v>
      </c>
      <c r="W336">
        <v>14</v>
      </c>
      <c r="X336" t="s">
        <v>53</v>
      </c>
      <c r="Y336">
        <v>0</v>
      </c>
    </row>
    <row r="337" spans="1:25" x14ac:dyDescent="0.35">
      <c r="A337" t="s">
        <v>2396</v>
      </c>
      <c r="B337" s="1">
        <v>45279</v>
      </c>
      <c r="C337" s="1">
        <v>45282</v>
      </c>
      <c r="D337" t="s">
        <v>2397</v>
      </c>
      <c r="E337" t="s">
        <v>2398</v>
      </c>
      <c r="F337" t="s">
        <v>28</v>
      </c>
      <c r="G337" t="s">
        <v>2399</v>
      </c>
      <c r="H337" t="s">
        <v>136</v>
      </c>
      <c r="I337" t="s">
        <v>137</v>
      </c>
      <c r="J337" t="s">
        <v>118</v>
      </c>
      <c r="K337" t="s">
        <v>60</v>
      </c>
      <c r="L337" t="s">
        <v>2400</v>
      </c>
      <c r="M337">
        <v>3</v>
      </c>
      <c r="N337">
        <v>3894</v>
      </c>
      <c r="O337">
        <v>20</v>
      </c>
      <c r="P337">
        <v>9798.6</v>
      </c>
      <c r="Q337">
        <v>9346.31</v>
      </c>
      <c r="R337">
        <v>452.29</v>
      </c>
      <c r="S337" t="s">
        <v>49</v>
      </c>
      <c r="T337" t="s">
        <v>140</v>
      </c>
      <c r="U337" t="s">
        <v>2401</v>
      </c>
      <c r="V337" t="s">
        <v>2402</v>
      </c>
      <c r="W337">
        <v>25</v>
      </c>
      <c r="X337" t="s">
        <v>53</v>
      </c>
      <c r="Y337">
        <v>0</v>
      </c>
    </row>
    <row r="338" spans="1:25" x14ac:dyDescent="0.35">
      <c r="A338" t="s">
        <v>2403</v>
      </c>
      <c r="B338" s="1">
        <v>45942</v>
      </c>
      <c r="C338" s="1">
        <v>45946</v>
      </c>
      <c r="D338" t="s">
        <v>449</v>
      </c>
      <c r="E338" t="s">
        <v>2404</v>
      </c>
      <c r="F338" t="s">
        <v>57</v>
      </c>
      <c r="G338" t="s">
        <v>2405</v>
      </c>
      <c r="H338" t="s">
        <v>334</v>
      </c>
      <c r="I338" t="s">
        <v>108</v>
      </c>
      <c r="J338" t="s">
        <v>46</v>
      </c>
      <c r="K338" t="s">
        <v>349</v>
      </c>
      <c r="L338" t="s">
        <v>2406</v>
      </c>
      <c r="M338">
        <v>3</v>
      </c>
      <c r="N338">
        <v>4269</v>
      </c>
      <c r="O338">
        <v>10</v>
      </c>
      <c r="P338">
        <v>11979.3</v>
      </c>
      <c r="Q338">
        <v>11526.99</v>
      </c>
      <c r="R338">
        <v>452.31</v>
      </c>
      <c r="S338" t="s">
        <v>35</v>
      </c>
      <c r="T338" t="s">
        <v>89</v>
      </c>
      <c r="U338" t="s">
        <v>2407</v>
      </c>
      <c r="V338" t="s">
        <v>2408</v>
      </c>
      <c r="W338">
        <v>35</v>
      </c>
      <c r="X338" t="s">
        <v>53</v>
      </c>
      <c r="Y338">
        <v>0</v>
      </c>
    </row>
    <row r="339" spans="1:25" x14ac:dyDescent="0.35">
      <c r="A339" t="s">
        <v>2409</v>
      </c>
      <c r="B339" s="1">
        <v>45639</v>
      </c>
      <c r="C339" s="1">
        <v>45642</v>
      </c>
      <c r="D339" t="s">
        <v>2410</v>
      </c>
      <c r="E339" t="s">
        <v>2411</v>
      </c>
      <c r="F339" t="s">
        <v>28</v>
      </c>
      <c r="G339" t="s">
        <v>2412</v>
      </c>
      <c r="H339" t="s">
        <v>364</v>
      </c>
      <c r="I339" t="s">
        <v>137</v>
      </c>
      <c r="J339" t="s">
        <v>97</v>
      </c>
      <c r="K339" t="s">
        <v>562</v>
      </c>
      <c r="L339" t="s">
        <v>2413</v>
      </c>
      <c r="M339">
        <v>8</v>
      </c>
      <c r="N339">
        <v>2795</v>
      </c>
      <c r="O339">
        <v>15</v>
      </c>
      <c r="P339">
        <v>19459</v>
      </c>
      <c r="Q339">
        <v>19006.63</v>
      </c>
      <c r="R339">
        <v>452.37</v>
      </c>
      <c r="S339" t="s">
        <v>100</v>
      </c>
      <c r="T339" t="s">
        <v>140</v>
      </c>
      <c r="U339" t="s">
        <v>2414</v>
      </c>
      <c r="V339" t="s">
        <v>2415</v>
      </c>
      <c r="W339">
        <v>17</v>
      </c>
      <c r="X339" t="s">
        <v>53</v>
      </c>
      <c r="Y339">
        <v>0</v>
      </c>
    </row>
    <row r="340" spans="1:25" x14ac:dyDescent="0.35">
      <c r="A340" t="s">
        <v>2416</v>
      </c>
      <c r="B340" s="1">
        <v>45841</v>
      </c>
      <c r="C340" s="1">
        <v>45843</v>
      </c>
      <c r="D340" t="s">
        <v>1135</v>
      </c>
      <c r="E340" t="s">
        <v>2417</v>
      </c>
      <c r="F340" t="s">
        <v>95</v>
      </c>
      <c r="G340" t="s">
        <v>2418</v>
      </c>
      <c r="H340" t="s">
        <v>136</v>
      </c>
      <c r="I340" t="s">
        <v>137</v>
      </c>
      <c r="J340" t="s">
        <v>32</v>
      </c>
      <c r="K340" t="s">
        <v>222</v>
      </c>
      <c r="L340" t="s">
        <v>2419</v>
      </c>
      <c r="M340">
        <v>7</v>
      </c>
      <c r="N340">
        <v>299</v>
      </c>
      <c r="O340">
        <v>5</v>
      </c>
      <c r="P340">
        <v>2441.35</v>
      </c>
      <c r="Q340">
        <v>1989.11</v>
      </c>
      <c r="R340">
        <v>452.24</v>
      </c>
      <c r="S340" t="s">
        <v>100</v>
      </c>
      <c r="T340" t="s">
        <v>89</v>
      </c>
      <c r="U340" t="s">
        <v>2420</v>
      </c>
      <c r="V340" t="s">
        <v>2421</v>
      </c>
      <c r="W340">
        <v>35</v>
      </c>
      <c r="X340" t="s">
        <v>53</v>
      </c>
      <c r="Y340">
        <v>0</v>
      </c>
    </row>
    <row r="341" spans="1:25" x14ac:dyDescent="0.35">
      <c r="A341" t="s">
        <v>2422</v>
      </c>
      <c r="B341" s="1">
        <v>45417</v>
      </c>
      <c r="C341" s="1">
        <v>45418</v>
      </c>
      <c r="D341" t="s">
        <v>2278</v>
      </c>
      <c r="E341" t="s">
        <v>2423</v>
      </c>
      <c r="F341" t="s">
        <v>95</v>
      </c>
      <c r="G341" t="s">
        <v>2424</v>
      </c>
      <c r="H341" t="s">
        <v>136</v>
      </c>
      <c r="I341" t="s">
        <v>137</v>
      </c>
      <c r="J341" t="s">
        <v>32</v>
      </c>
      <c r="K341" t="s">
        <v>138</v>
      </c>
      <c r="L341" t="s">
        <v>2425</v>
      </c>
      <c r="M341">
        <v>1</v>
      </c>
      <c r="N341">
        <v>2007</v>
      </c>
      <c r="O341">
        <v>0</v>
      </c>
      <c r="P341">
        <v>2460</v>
      </c>
      <c r="Q341">
        <v>2007.77</v>
      </c>
      <c r="R341">
        <v>452.23</v>
      </c>
      <c r="S341" t="s">
        <v>35</v>
      </c>
      <c r="T341" t="s">
        <v>36</v>
      </c>
      <c r="U341" t="s">
        <v>2426</v>
      </c>
      <c r="V341" t="s">
        <v>2427</v>
      </c>
      <c r="W341">
        <v>47</v>
      </c>
      <c r="X341" t="s">
        <v>53</v>
      </c>
      <c r="Y341">
        <v>0</v>
      </c>
    </row>
    <row r="342" spans="1:25" x14ac:dyDescent="0.35">
      <c r="A342" t="s">
        <v>2428</v>
      </c>
      <c r="B342" s="1">
        <v>45496</v>
      </c>
      <c r="C342" s="1">
        <v>45500</v>
      </c>
      <c r="D342" t="s">
        <v>383</v>
      </c>
      <c r="E342" t="s">
        <v>2429</v>
      </c>
      <c r="F342" t="s">
        <v>57</v>
      </c>
      <c r="G342" t="s">
        <v>2430</v>
      </c>
      <c r="H342" t="s">
        <v>68</v>
      </c>
      <c r="I342" t="s">
        <v>31</v>
      </c>
      <c r="J342" t="s">
        <v>118</v>
      </c>
      <c r="K342" t="s">
        <v>430</v>
      </c>
      <c r="L342" t="s">
        <v>2431</v>
      </c>
      <c r="M342">
        <v>8</v>
      </c>
      <c r="N342">
        <v>465</v>
      </c>
      <c r="O342">
        <v>5</v>
      </c>
      <c r="P342">
        <v>3987</v>
      </c>
      <c r="Q342">
        <v>3534.82</v>
      </c>
      <c r="R342">
        <v>452.18</v>
      </c>
      <c r="S342" t="s">
        <v>49</v>
      </c>
      <c r="T342" t="s">
        <v>89</v>
      </c>
      <c r="U342" t="s">
        <v>2432</v>
      </c>
      <c r="V342" t="s">
        <v>2433</v>
      </c>
      <c r="W342">
        <v>6</v>
      </c>
      <c r="X342" t="s">
        <v>39</v>
      </c>
      <c r="Y342">
        <v>37</v>
      </c>
    </row>
    <row r="343" spans="1:25" x14ac:dyDescent="0.35">
      <c r="A343" t="s">
        <v>2434</v>
      </c>
      <c r="B343" s="1">
        <v>45764</v>
      </c>
      <c r="C343" s="1">
        <v>45766</v>
      </c>
      <c r="D343" t="s">
        <v>2435</v>
      </c>
      <c r="E343" t="s">
        <v>2436</v>
      </c>
      <c r="F343" t="s">
        <v>95</v>
      </c>
      <c r="G343" t="s">
        <v>2437</v>
      </c>
      <c r="H343" t="s">
        <v>44</v>
      </c>
      <c r="I343" t="s">
        <v>45</v>
      </c>
      <c r="J343" t="s">
        <v>32</v>
      </c>
      <c r="K343" t="s">
        <v>33</v>
      </c>
      <c r="L343" t="s">
        <v>2438</v>
      </c>
      <c r="M343">
        <v>3</v>
      </c>
      <c r="N343">
        <v>981</v>
      </c>
      <c r="O343">
        <v>10</v>
      </c>
      <c r="P343">
        <v>3425.7</v>
      </c>
      <c r="Q343">
        <v>2649.59</v>
      </c>
      <c r="R343">
        <v>776.11</v>
      </c>
      <c r="S343" t="s">
        <v>49</v>
      </c>
      <c r="T343" t="s">
        <v>89</v>
      </c>
      <c r="U343" t="s">
        <v>2439</v>
      </c>
      <c r="V343" t="s">
        <v>2440</v>
      </c>
      <c r="W343">
        <v>2</v>
      </c>
      <c r="X343" t="s">
        <v>39</v>
      </c>
      <c r="Y343">
        <v>39</v>
      </c>
    </row>
    <row r="344" spans="1:25" x14ac:dyDescent="0.35">
      <c r="A344" t="s">
        <v>2441</v>
      </c>
      <c r="B344" s="1">
        <v>45439</v>
      </c>
      <c r="C344" s="1">
        <v>45445</v>
      </c>
      <c r="D344" t="s">
        <v>2442</v>
      </c>
      <c r="E344" t="s">
        <v>2443</v>
      </c>
      <c r="F344" t="s">
        <v>57</v>
      </c>
      <c r="G344" t="s">
        <v>2444</v>
      </c>
      <c r="H344" t="s">
        <v>334</v>
      </c>
      <c r="I344" t="s">
        <v>108</v>
      </c>
      <c r="J344" t="s">
        <v>118</v>
      </c>
      <c r="K344" t="s">
        <v>109</v>
      </c>
      <c r="L344" t="s">
        <v>2445</v>
      </c>
      <c r="M344">
        <v>2</v>
      </c>
      <c r="N344">
        <v>3953</v>
      </c>
      <c r="O344">
        <v>5</v>
      </c>
      <c r="P344">
        <v>8287.7000000000007</v>
      </c>
      <c r="Q344">
        <v>7511.45</v>
      </c>
      <c r="R344">
        <v>776.25</v>
      </c>
      <c r="S344" t="s">
        <v>35</v>
      </c>
      <c r="T344" t="s">
        <v>140</v>
      </c>
      <c r="U344" t="s">
        <v>2446</v>
      </c>
      <c r="V344" t="s">
        <v>2447</v>
      </c>
      <c r="W344">
        <v>46</v>
      </c>
      <c r="X344" t="s">
        <v>53</v>
      </c>
      <c r="Y344">
        <v>0</v>
      </c>
    </row>
    <row r="345" spans="1:25" x14ac:dyDescent="0.35">
      <c r="A345" t="s">
        <v>2448</v>
      </c>
      <c r="B345" s="1">
        <v>45572</v>
      </c>
      <c r="C345" s="1">
        <v>45575</v>
      </c>
      <c r="D345" t="s">
        <v>2449</v>
      </c>
      <c r="E345" t="s">
        <v>2450</v>
      </c>
      <c r="F345" t="s">
        <v>57</v>
      </c>
      <c r="G345" t="s">
        <v>2451</v>
      </c>
      <c r="H345" t="s">
        <v>136</v>
      </c>
      <c r="I345" t="s">
        <v>137</v>
      </c>
      <c r="J345" t="s">
        <v>32</v>
      </c>
      <c r="K345" t="s">
        <v>119</v>
      </c>
      <c r="L345" t="s">
        <v>2452</v>
      </c>
      <c r="M345">
        <v>10</v>
      </c>
      <c r="N345">
        <v>412</v>
      </c>
      <c r="O345">
        <v>20</v>
      </c>
      <c r="P345">
        <v>4073</v>
      </c>
      <c r="Q345">
        <v>3296.71</v>
      </c>
      <c r="R345">
        <v>776.29</v>
      </c>
      <c r="S345" t="s">
        <v>80</v>
      </c>
      <c r="T345" t="s">
        <v>140</v>
      </c>
      <c r="U345" t="s">
        <v>2453</v>
      </c>
      <c r="V345" t="s">
        <v>2454</v>
      </c>
      <c r="W345">
        <v>12</v>
      </c>
      <c r="X345" t="s">
        <v>53</v>
      </c>
      <c r="Y345">
        <v>0</v>
      </c>
    </row>
    <row r="346" spans="1:25" x14ac:dyDescent="0.35">
      <c r="A346" t="s">
        <v>2455</v>
      </c>
      <c r="B346" s="1">
        <v>45899</v>
      </c>
      <c r="C346" s="1">
        <v>45901</v>
      </c>
      <c r="D346" t="s">
        <v>2091</v>
      </c>
      <c r="E346" t="s">
        <v>2456</v>
      </c>
      <c r="F346" t="s">
        <v>95</v>
      </c>
      <c r="G346" t="s">
        <v>319</v>
      </c>
      <c r="H346" t="s">
        <v>59</v>
      </c>
      <c r="I346" t="s">
        <v>31</v>
      </c>
      <c r="J346" t="s">
        <v>32</v>
      </c>
      <c r="K346" t="s">
        <v>598</v>
      </c>
      <c r="L346" t="s">
        <v>2457</v>
      </c>
      <c r="M346">
        <v>7</v>
      </c>
      <c r="N346">
        <v>3452</v>
      </c>
      <c r="O346">
        <v>0</v>
      </c>
      <c r="P346">
        <v>24941</v>
      </c>
      <c r="Q346">
        <v>24164.83</v>
      </c>
      <c r="R346">
        <v>776.17</v>
      </c>
      <c r="S346" t="s">
        <v>49</v>
      </c>
      <c r="T346" t="s">
        <v>50</v>
      </c>
      <c r="U346" t="s">
        <v>2458</v>
      </c>
      <c r="V346" t="s">
        <v>2459</v>
      </c>
      <c r="W346">
        <v>19</v>
      </c>
      <c r="X346" t="s">
        <v>53</v>
      </c>
      <c r="Y346">
        <v>0</v>
      </c>
    </row>
    <row r="347" spans="1:25" x14ac:dyDescent="0.35">
      <c r="A347" t="s">
        <v>2460</v>
      </c>
      <c r="B347" s="1">
        <v>45780</v>
      </c>
      <c r="C347" s="1">
        <v>45787</v>
      </c>
      <c r="D347" t="s">
        <v>755</v>
      </c>
      <c r="E347" t="s">
        <v>2461</v>
      </c>
      <c r="F347" t="s">
        <v>57</v>
      </c>
      <c r="G347" t="s">
        <v>2462</v>
      </c>
      <c r="H347" t="s">
        <v>198</v>
      </c>
      <c r="I347" t="s">
        <v>31</v>
      </c>
      <c r="J347" t="s">
        <v>32</v>
      </c>
      <c r="K347" t="s">
        <v>400</v>
      </c>
      <c r="L347" t="s">
        <v>2463</v>
      </c>
      <c r="M347">
        <v>7</v>
      </c>
      <c r="N347">
        <v>4690</v>
      </c>
      <c r="O347">
        <v>15</v>
      </c>
      <c r="P347">
        <v>28682.5</v>
      </c>
      <c r="Q347">
        <v>27906.39</v>
      </c>
      <c r="R347">
        <v>776.11</v>
      </c>
      <c r="S347" t="s">
        <v>49</v>
      </c>
      <c r="T347" t="s">
        <v>36</v>
      </c>
      <c r="U347" t="s">
        <v>2464</v>
      </c>
      <c r="V347" t="s">
        <v>2465</v>
      </c>
      <c r="W347">
        <v>50</v>
      </c>
      <c r="X347" t="s">
        <v>53</v>
      </c>
      <c r="Y347">
        <v>0</v>
      </c>
    </row>
    <row r="348" spans="1:25" x14ac:dyDescent="0.35">
      <c r="A348" t="s">
        <v>2466</v>
      </c>
      <c r="B348" s="1">
        <v>45706</v>
      </c>
      <c r="C348" s="1">
        <v>45708</v>
      </c>
      <c r="D348" t="s">
        <v>2467</v>
      </c>
      <c r="E348" t="s">
        <v>2468</v>
      </c>
      <c r="F348" t="s">
        <v>28</v>
      </c>
      <c r="G348" t="s">
        <v>2469</v>
      </c>
      <c r="H348" t="s">
        <v>189</v>
      </c>
      <c r="I348" t="s">
        <v>108</v>
      </c>
      <c r="J348" t="s">
        <v>97</v>
      </c>
      <c r="K348" t="s">
        <v>155</v>
      </c>
      <c r="L348" t="s">
        <v>2470</v>
      </c>
      <c r="M348">
        <v>7</v>
      </c>
      <c r="N348">
        <v>797</v>
      </c>
      <c r="O348">
        <v>0</v>
      </c>
      <c r="P348">
        <v>6356</v>
      </c>
      <c r="Q348">
        <v>5579.67</v>
      </c>
      <c r="R348">
        <v>776.33</v>
      </c>
      <c r="S348" t="s">
        <v>49</v>
      </c>
      <c r="T348" t="s">
        <v>140</v>
      </c>
      <c r="U348" t="s">
        <v>2471</v>
      </c>
      <c r="V348" t="s">
        <v>2472</v>
      </c>
      <c r="W348">
        <v>12</v>
      </c>
      <c r="X348" t="s">
        <v>53</v>
      </c>
      <c r="Y348">
        <v>0</v>
      </c>
    </row>
    <row r="349" spans="1:25" x14ac:dyDescent="0.35">
      <c r="A349" t="s">
        <v>2473</v>
      </c>
      <c r="B349" s="1">
        <v>45741</v>
      </c>
      <c r="C349" s="1">
        <v>45745</v>
      </c>
      <c r="D349" t="s">
        <v>2474</v>
      </c>
      <c r="E349" t="s">
        <v>2475</v>
      </c>
      <c r="F349" t="s">
        <v>57</v>
      </c>
      <c r="G349" t="s">
        <v>2476</v>
      </c>
      <c r="H349" t="s">
        <v>44</v>
      </c>
      <c r="I349" t="s">
        <v>45</v>
      </c>
      <c r="J349" t="s">
        <v>118</v>
      </c>
      <c r="K349" t="s">
        <v>662</v>
      </c>
      <c r="L349" t="s">
        <v>2477</v>
      </c>
      <c r="M349">
        <v>4</v>
      </c>
      <c r="N349">
        <v>1275</v>
      </c>
      <c r="O349">
        <v>20</v>
      </c>
      <c r="P349">
        <v>4857</v>
      </c>
      <c r="Q349">
        <v>4080.7</v>
      </c>
      <c r="R349">
        <v>776.3</v>
      </c>
      <c r="S349" t="s">
        <v>35</v>
      </c>
      <c r="T349" t="s">
        <v>36</v>
      </c>
      <c r="U349" t="s">
        <v>2478</v>
      </c>
      <c r="V349" t="s">
        <v>2479</v>
      </c>
      <c r="W349">
        <v>9</v>
      </c>
      <c r="X349" t="s">
        <v>39</v>
      </c>
      <c r="Y349">
        <v>46</v>
      </c>
    </row>
    <row r="350" spans="1:25" x14ac:dyDescent="0.35">
      <c r="A350" t="s">
        <v>2480</v>
      </c>
      <c r="B350" s="1">
        <v>45735</v>
      </c>
      <c r="C350" s="1">
        <v>45742</v>
      </c>
      <c r="D350" t="s">
        <v>2481</v>
      </c>
      <c r="E350" t="s">
        <v>2482</v>
      </c>
      <c r="F350" t="s">
        <v>28</v>
      </c>
      <c r="G350" t="s">
        <v>2483</v>
      </c>
      <c r="H350" t="s">
        <v>283</v>
      </c>
      <c r="I350" t="s">
        <v>45</v>
      </c>
      <c r="J350" t="s">
        <v>46</v>
      </c>
      <c r="K350" t="s">
        <v>786</v>
      </c>
      <c r="L350" t="s">
        <v>677</v>
      </c>
      <c r="M350">
        <v>1</v>
      </c>
      <c r="N350">
        <v>2159</v>
      </c>
      <c r="O350">
        <v>20</v>
      </c>
      <c r="P350">
        <v>2504.1999999999998</v>
      </c>
      <c r="Q350">
        <v>1727.81</v>
      </c>
      <c r="R350">
        <v>776.39</v>
      </c>
      <c r="S350" t="s">
        <v>80</v>
      </c>
      <c r="T350" t="s">
        <v>50</v>
      </c>
      <c r="U350" t="s">
        <v>2484</v>
      </c>
      <c r="V350" t="s">
        <v>2485</v>
      </c>
      <c r="W350">
        <v>19</v>
      </c>
      <c r="X350" t="s">
        <v>53</v>
      </c>
      <c r="Y350">
        <v>0</v>
      </c>
    </row>
    <row r="351" spans="1:25" x14ac:dyDescent="0.35">
      <c r="A351" t="s">
        <v>2486</v>
      </c>
      <c r="B351" s="1">
        <v>45716</v>
      </c>
      <c r="C351" s="1">
        <v>45720</v>
      </c>
      <c r="D351" t="s">
        <v>2487</v>
      </c>
      <c r="E351" t="s">
        <v>2488</v>
      </c>
      <c r="F351" t="s">
        <v>95</v>
      </c>
      <c r="G351" t="s">
        <v>2489</v>
      </c>
      <c r="H351" t="s">
        <v>127</v>
      </c>
      <c r="I351" t="s">
        <v>45</v>
      </c>
      <c r="J351" t="s">
        <v>32</v>
      </c>
      <c r="K351" t="s">
        <v>312</v>
      </c>
      <c r="L351" t="s">
        <v>2490</v>
      </c>
      <c r="M351">
        <v>1</v>
      </c>
      <c r="N351">
        <v>2602</v>
      </c>
      <c r="O351">
        <v>5</v>
      </c>
      <c r="P351">
        <v>3248.9</v>
      </c>
      <c r="Q351">
        <v>2472.65</v>
      </c>
      <c r="R351">
        <v>776.25</v>
      </c>
      <c r="S351" t="s">
        <v>35</v>
      </c>
      <c r="T351" t="s">
        <v>89</v>
      </c>
      <c r="U351" t="s">
        <v>2491</v>
      </c>
      <c r="V351" t="s">
        <v>2492</v>
      </c>
      <c r="W351">
        <v>33</v>
      </c>
      <c r="X351" t="s">
        <v>53</v>
      </c>
      <c r="Y351">
        <v>0</v>
      </c>
    </row>
    <row r="352" spans="1:25" x14ac:dyDescent="0.35">
      <c r="A352" t="s">
        <v>2493</v>
      </c>
      <c r="B352" s="1">
        <v>45634</v>
      </c>
      <c r="C352" s="1">
        <v>45635</v>
      </c>
      <c r="D352" t="s">
        <v>2104</v>
      </c>
      <c r="E352" t="s">
        <v>2494</v>
      </c>
      <c r="F352" t="s">
        <v>95</v>
      </c>
      <c r="G352" t="s">
        <v>2495</v>
      </c>
      <c r="H352" t="s">
        <v>30</v>
      </c>
      <c r="I352" t="s">
        <v>31</v>
      </c>
      <c r="J352" t="s">
        <v>46</v>
      </c>
      <c r="K352" t="s">
        <v>1275</v>
      </c>
      <c r="L352" t="s">
        <v>2496</v>
      </c>
      <c r="M352">
        <v>6</v>
      </c>
      <c r="N352">
        <v>398</v>
      </c>
      <c r="O352">
        <v>10</v>
      </c>
      <c r="P352">
        <v>2926.2</v>
      </c>
      <c r="Q352">
        <v>2149.88</v>
      </c>
      <c r="R352">
        <v>776.32</v>
      </c>
      <c r="S352" t="s">
        <v>100</v>
      </c>
      <c r="T352" t="s">
        <v>50</v>
      </c>
      <c r="U352" t="s">
        <v>2497</v>
      </c>
      <c r="V352" t="s">
        <v>2498</v>
      </c>
      <c r="W352">
        <v>47</v>
      </c>
      <c r="X352" t="s">
        <v>53</v>
      </c>
      <c r="Y352">
        <v>0</v>
      </c>
    </row>
    <row r="353" spans="1:25" x14ac:dyDescent="0.35">
      <c r="A353" t="s">
        <v>2499</v>
      </c>
      <c r="B353" s="1">
        <v>45491</v>
      </c>
      <c r="C353" s="1">
        <v>45497</v>
      </c>
      <c r="D353" t="s">
        <v>2500</v>
      </c>
      <c r="E353" t="s">
        <v>2501</v>
      </c>
      <c r="F353" t="s">
        <v>28</v>
      </c>
      <c r="G353" t="s">
        <v>2502</v>
      </c>
      <c r="H353" t="s">
        <v>163</v>
      </c>
      <c r="I353" t="s">
        <v>108</v>
      </c>
      <c r="J353" t="s">
        <v>97</v>
      </c>
      <c r="K353" t="s">
        <v>119</v>
      </c>
      <c r="L353" t="s">
        <v>2503</v>
      </c>
      <c r="M353">
        <v>1</v>
      </c>
      <c r="N353">
        <v>972</v>
      </c>
      <c r="O353">
        <v>0</v>
      </c>
      <c r="P353">
        <v>1749</v>
      </c>
      <c r="Q353">
        <v>972.68</v>
      </c>
      <c r="R353">
        <v>776.32</v>
      </c>
      <c r="S353" t="s">
        <v>49</v>
      </c>
      <c r="T353" t="s">
        <v>50</v>
      </c>
      <c r="U353" t="s">
        <v>2504</v>
      </c>
      <c r="V353" t="s">
        <v>2505</v>
      </c>
      <c r="W353">
        <v>38</v>
      </c>
      <c r="X353" t="s">
        <v>53</v>
      </c>
      <c r="Y353">
        <v>0</v>
      </c>
    </row>
    <row r="354" spans="1:25" x14ac:dyDescent="0.35">
      <c r="A354" t="s">
        <v>2506</v>
      </c>
      <c r="B354" s="1">
        <v>45943</v>
      </c>
      <c r="C354" s="1">
        <v>45946</v>
      </c>
      <c r="D354" t="s">
        <v>317</v>
      </c>
      <c r="E354" t="s">
        <v>2507</v>
      </c>
      <c r="F354" t="s">
        <v>95</v>
      </c>
      <c r="G354" t="s">
        <v>2508</v>
      </c>
      <c r="H354" t="s">
        <v>172</v>
      </c>
      <c r="I354" t="s">
        <v>45</v>
      </c>
      <c r="J354" t="s">
        <v>32</v>
      </c>
      <c r="K354" t="s">
        <v>706</v>
      </c>
      <c r="L354" t="s">
        <v>2509</v>
      </c>
      <c r="M354">
        <v>5</v>
      </c>
      <c r="N354">
        <v>3617</v>
      </c>
      <c r="O354">
        <v>10</v>
      </c>
      <c r="P354">
        <v>17053.5</v>
      </c>
      <c r="Q354">
        <v>16277.23</v>
      </c>
      <c r="R354">
        <v>776.27</v>
      </c>
      <c r="S354" t="s">
        <v>49</v>
      </c>
      <c r="T354" t="s">
        <v>50</v>
      </c>
      <c r="U354" t="s">
        <v>2510</v>
      </c>
      <c r="V354" t="s">
        <v>2511</v>
      </c>
      <c r="W354">
        <v>32</v>
      </c>
      <c r="X354" t="s">
        <v>53</v>
      </c>
      <c r="Y354">
        <v>0</v>
      </c>
    </row>
    <row r="355" spans="1:25" x14ac:dyDescent="0.35">
      <c r="A355" t="s">
        <v>2512</v>
      </c>
      <c r="B355" s="1">
        <v>45507</v>
      </c>
      <c r="C355" s="1">
        <v>45514</v>
      </c>
      <c r="D355" t="s">
        <v>500</v>
      </c>
      <c r="E355" t="s">
        <v>2513</v>
      </c>
      <c r="F355" t="s">
        <v>28</v>
      </c>
      <c r="G355" t="s">
        <v>2514</v>
      </c>
      <c r="H355" t="s">
        <v>172</v>
      </c>
      <c r="I355" t="s">
        <v>45</v>
      </c>
      <c r="J355" t="s">
        <v>97</v>
      </c>
      <c r="K355" t="s">
        <v>474</v>
      </c>
      <c r="L355" t="s">
        <v>2515</v>
      </c>
      <c r="M355">
        <v>6</v>
      </c>
      <c r="N355">
        <v>4661</v>
      </c>
      <c r="O355">
        <v>5</v>
      </c>
      <c r="P355">
        <v>27344.7</v>
      </c>
      <c r="Q355">
        <v>26568.38</v>
      </c>
      <c r="R355">
        <v>776.32</v>
      </c>
      <c r="S355" t="s">
        <v>100</v>
      </c>
      <c r="T355" t="s">
        <v>140</v>
      </c>
      <c r="U355" t="s">
        <v>2516</v>
      </c>
      <c r="V355" t="s">
        <v>2517</v>
      </c>
      <c r="W355">
        <v>21</v>
      </c>
      <c r="X355" t="s">
        <v>53</v>
      </c>
      <c r="Y355">
        <v>0</v>
      </c>
    </row>
    <row r="356" spans="1:25" x14ac:dyDescent="0.35">
      <c r="A356" t="s">
        <v>2518</v>
      </c>
      <c r="B356" s="1">
        <v>45289</v>
      </c>
      <c r="C356" s="1">
        <v>45295</v>
      </c>
      <c r="D356" t="s">
        <v>124</v>
      </c>
      <c r="E356" t="s">
        <v>2519</v>
      </c>
      <c r="F356" t="s">
        <v>57</v>
      </c>
      <c r="G356" t="s">
        <v>2520</v>
      </c>
      <c r="H356" t="s">
        <v>189</v>
      </c>
      <c r="I356" t="s">
        <v>108</v>
      </c>
      <c r="J356" t="s">
        <v>118</v>
      </c>
      <c r="K356" t="s">
        <v>164</v>
      </c>
      <c r="L356" t="s">
        <v>2521</v>
      </c>
      <c r="M356">
        <v>2</v>
      </c>
      <c r="N356">
        <v>2401</v>
      </c>
      <c r="O356">
        <v>0</v>
      </c>
      <c r="P356">
        <v>5579</v>
      </c>
      <c r="Q356">
        <v>4802.76</v>
      </c>
      <c r="R356">
        <v>776.24</v>
      </c>
      <c r="S356" t="s">
        <v>80</v>
      </c>
      <c r="T356" t="s">
        <v>50</v>
      </c>
      <c r="U356" t="s">
        <v>2522</v>
      </c>
      <c r="V356" t="s">
        <v>2523</v>
      </c>
      <c r="W356">
        <v>23</v>
      </c>
      <c r="X356" t="s">
        <v>53</v>
      </c>
      <c r="Y356">
        <v>0</v>
      </c>
    </row>
    <row r="357" spans="1:25" x14ac:dyDescent="0.35">
      <c r="A357" t="s">
        <v>2524</v>
      </c>
      <c r="B357" s="1">
        <v>45492</v>
      </c>
      <c r="C357" s="1">
        <v>45493</v>
      </c>
      <c r="D357" t="s">
        <v>2525</v>
      </c>
      <c r="E357" t="s">
        <v>2526</v>
      </c>
      <c r="F357" t="s">
        <v>28</v>
      </c>
      <c r="G357" t="s">
        <v>2527</v>
      </c>
      <c r="H357" t="s">
        <v>127</v>
      </c>
      <c r="I357" t="s">
        <v>45</v>
      </c>
      <c r="J357" t="s">
        <v>118</v>
      </c>
      <c r="K357" t="s">
        <v>33</v>
      </c>
      <c r="L357" t="s">
        <v>2528</v>
      </c>
      <c r="M357">
        <v>1</v>
      </c>
      <c r="N357">
        <v>3523</v>
      </c>
      <c r="O357">
        <v>15</v>
      </c>
      <c r="P357">
        <v>3771.55</v>
      </c>
      <c r="Q357">
        <v>2995.41</v>
      </c>
      <c r="R357">
        <v>776.14</v>
      </c>
      <c r="S357" t="s">
        <v>35</v>
      </c>
      <c r="T357" t="s">
        <v>50</v>
      </c>
      <c r="U357" t="s">
        <v>2529</v>
      </c>
      <c r="V357" t="s">
        <v>2530</v>
      </c>
      <c r="W357">
        <v>5</v>
      </c>
      <c r="X357" t="s">
        <v>39</v>
      </c>
      <c r="Y357">
        <v>43</v>
      </c>
    </row>
    <row r="358" spans="1:25" x14ac:dyDescent="0.35">
      <c r="A358" t="s">
        <v>2531</v>
      </c>
      <c r="B358" s="1">
        <v>45769</v>
      </c>
      <c r="C358" s="1">
        <v>45775</v>
      </c>
      <c r="D358" t="s">
        <v>2532</v>
      </c>
      <c r="E358" t="s">
        <v>2533</v>
      </c>
      <c r="F358" t="s">
        <v>57</v>
      </c>
      <c r="G358" t="s">
        <v>2534</v>
      </c>
      <c r="H358" t="s">
        <v>136</v>
      </c>
      <c r="I358" t="s">
        <v>137</v>
      </c>
      <c r="J358" t="s">
        <v>32</v>
      </c>
      <c r="K358" t="s">
        <v>482</v>
      </c>
      <c r="L358" t="s">
        <v>2535</v>
      </c>
      <c r="M358">
        <v>6</v>
      </c>
      <c r="N358">
        <v>150</v>
      </c>
      <c r="O358">
        <v>0</v>
      </c>
      <c r="P358">
        <v>1677</v>
      </c>
      <c r="Q358">
        <v>900.63</v>
      </c>
      <c r="R358">
        <v>776.37</v>
      </c>
      <c r="S358" t="s">
        <v>80</v>
      </c>
      <c r="T358" t="s">
        <v>89</v>
      </c>
      <c r="U358" t="s">
        <v>2536</v>
      </c>
      <c r="V358" t="s">
        <v>2537</v>
      </c>
      <c r="W358">
        <v>2</v>
      </c>
      <c r="X358" t="s">
        <v>39</v>
      </c>
      <c r="Y358">
        <v>37</v>
      </c>
    </row>
    <row r="359" spans="1:25" x14ac:dyDescent="0.35">
      <c r="A359" t="s">
        <v>2538</v>
      </c>
      <c r="B359" s="1">
        <v>45378</v>
      </c>
      <c r="C359" s="1">
        <v>45384</v>
      </c>
      <c r="D359" t="s">
        <v>2539</v>
      </c>
      <c r="E359" t="s">
        <v>2540</v>
      </c>
      <c r="F359" t="s">
        <v>57</v>
      </c>
      <c r="G359" t="s">
        <v>2541</v>
      </c>
      <c r="H359" t="s">
        <v>206</v>
      </c>
      <c r="I359" t="s">
        <v>31</v>
      </c>
      <c r="J359" t="s">
        <v>46</v>
      </c>
      <c r="K359" t="s">
        <v>699</v>
      </c>
      <c r="L359" t="s">
        <v>2542</v>
      </c>
      <c r="M359">
        <v>3</v>
      </c>
      <c r="N359">
        <v>1545</v>
      </c>
      <c r="O359">
        <v>0</v>
      </c>
      <c r="P359">
        <v>5412</v>
      </c>
      <c r="Q359">
        <v>4635.8599999999997</v>
      </c>
      <c r="R359">
        <v>776.14</v>
      </c>
      <c r="S359" t="s">
        <v>80</v>
      </c>
      <c r="T359" t="s">
        <v>50</v>
      </c>
      <c r="U359" t="s">
        <v>2543</v>
      </c>
      <c r="V359" t="s">
        <v>2544</v>
      </c>
      <c r="W359">
        <v>5</v>
      </c>
      <c r="X359" t="s">
        <v>39</v>
      </c>
      <c r="Y359">
        <v>22</v>
      </c>
    </row>
    <row r="360" spans="1:25" x14ac:dyDescent="0.35">
      <c r="A360" t="s">
        <v>2545</v>
      </c>
      <c r="B360" s="1">
        <v>45760</v>
      </c>
      <c r="C360" s="1">
        <v>45764</v>
      </c>
      <c r="D360" t="s">
        <v>2546</v>
      </c>
      <c r="E360" t="s">
        <v>2547</v>
      </c>
      <c r="F360" t="s">
        <v>57</v>
      </c>
      <c r="G360" t="s">
        <v>2548</v>
      </c>
      <c r="H360" t="s">
        <v>206</v>
      </c>
      <c r="I360" t="s">
        <v>31</v>
      </c>
      <c r="J360" t="s">
        <v>118</v>
      </c>
      <c r="K360" t="s">
        <v>400</v>
      </c>
      <c r="L360" t="s">
        <v>2549</v>
      </c>
      <c r="M360">
        <v>5</v>
      </c>
      <c r="N360">
        <v>3993</v>
      </c>
      <c r="O360">
        <v>5</v>
      </c>
      <c r="P360">
        <v>19743.75</v>
      </c>
      <c r="Q360">
        <v>18967.580000000002</v>
      </c>
      <c r="R360">
        <v>776.17</v>
      </c>
      <c r="S360" t="s">
        <v>100</v>
      </c>
      <c r="T360" t="s">
        <v>89</v>
      </c>
      <c r="U360" t="s">
        <v>2550</v>
      </c>
      <c r="V360" t="s">
        <v>2551</v>
      </c>
      <c r="W360">
        <v>50</v>
      </c>
      <c r="X360" t="s">
        <v>53</v>
      </c>
      <c r="Y360">
        <v>0</v>
      </c>
    </row>
    <row r="361" spans="1:25" x14ac:dyDescent="0.35">
      <c r="A361" t="s">
        <v>2552</v>
      </c>
      <c r="B361" s="1">
        <v>45803</v>
      </c>
      <c r="C361" s="1">
        <v>45807</v>
      </c>
      <c r="D361" t="s">
        <v>2553</v>
      </c>
      <c r="E361" t="s">
        <v>2554</v>
      </c>
      <c r="F361" t="s">
        <v>95</v>
      </c>
      <c r="G361" t="s">
        <v>2555</v>
      </c>
      <c r="H361" t="s">
        <v>230</v>
      </c>
      <c r="I361" t="s">
        <v>137</v>
      </c>
      <c r="J361" t="s">
        <v>46</v>
      </c>
      <c r="K361" t="s">
        <v>98</v>
      </c>
      <c r="L361" t="s">
        <v>2556</v>
      </c>
      <c r="M361">
        <v>9</v>
      </c>
      <c r="N361">
        <v>1748</v>
      </c>
      <c r="O361">
        <v>0</v>
      </c>
      <c r="P361">
        <v>16509</v>
      </c>
      <c r="Q361">
        <v>15732.61</v>
      </c>
      <c r="R361">
        <v>776.39</v>
      </c>
      <c r="S361" t="s">
        <v>49</v>
      </c>
      <c r="T361" t="s">
        <v>89</v>
      </c>
      <c r="U361" t="s">
        <v>2557</v>
      </c>
      <c r="V361" t="s">
        <v>2558</v>
      </c>
      <c r="W361">
        <v>50</v>
      </c>
      <c r="X361" t="s">
        <v>53</v>
      </c>
      <c r="Y361">
        <v>0</v>
      </c>
    </row>
    <row r="362" spans="1:25" x14ac:dyDescent="0.35">
      <c r="A362" t="s">
        <v>2559</v>
      </c>
      <c r="B362" s="1">
        <v>45454</v>
      </c>
      <c r="C362" s="1">
        <v>45456</v>
      </c>
      <c r="D362" t="s">
        <v>1562</v>
      </c>
      <c r="E362" t="s">
        <v>2560</v>
      </c>
      <c r="F362" t="s">
        <v>57</v>
      </c>
      <c r="G362" t="s">
        <v>2561</v>
      </c>
      <c r="H362" t="s">
        <v>44</v>
      </c>
      <c r="I362" t="s">
        <v>45</v>
      </c>
      <c r="J362" t="s">
        <v>32</v>
      </c>
      <c r="K362" t="s">
        <v>750</v>
      </c>
      <c r="L362" t="s">
        <v>2562</v>
      </c>
      <c r="M362">
        <v>4</v>
      </c>
      <c r="N362">
        <v>4258</v>
      </c>
      <c r="O362">
        <v>15</v>
      </c>
      <c r="P362">
        <v>15254.2</v>
      </c>
      <c r="Q362">
        <v>14478.01</v>
      </c>
      <c r="R362">
        <v>776.19</v>
      </c>
      <c r="S362" t="s">
        <v>35</v>
      </c>
      <c r="T362" t="s">
        <v>50</v>
      </c>
      <c r="U362" t="s">
        <v>2563</v>
      </c>
      <c r="V362" t="s">
        <v>2564</v>
      </c>
      <c r="W362">
        <v>45</v>
      </c>
      <c r="X362" t="s">
        <v>53</v>
      </c>
      <c r="Y362">
        <v>0</v>
      </c>
    </row>
    <row r="363" spans="1:25" x14ac:dyDescent="0.35">
      <c r="A363" t="s">
        <v>2565</v>
      </c>
      <c r="B363" s="1">
        <v>45656</v>
      </c>
      <c r="C363" s="1">
        <v>45662</v>
      </c>
      <c r="D363" t="s">
        <v>2566</v>
      </c>
      <c r="E363" t="s">
        <v>2567</v>
      </c>
      <c r="F363" t="s">
        <v>28</v>
      </c>
      <c r="G363" t="s">
        <v>2568</v>
      </c>
      <c r="H363" t="s">
        <v>364</v>
      </c>
      <c r="I363" t="s">
        <v>137</v>
      </c>
      <c r="J363" t="s">
        <v>46</v>
      </c>
      <c r="K363" t="s">
        <v>524</v>
      </c>
      <c r="L363" t="s">
        <v>2569</v>
      </c>
      <c r="M363">
        <v>3</v>
      </c>
      <c r="N363">
        <v>397</v>
      </c>
      <c r="O363">
        <v>20</v>
      </c>
      <c r="P363">
        <v>1729.8</v>
      </c>
      <c r="Q363">
        <v>953.66</v>
      </c>
      <c r="R363">
        <v>776.14</v>
      </c>
      <c r="S363" t="s">
        <v>49</v>
      </c>
      <c r="T363" t="s">
        <v>36</v>
      </c>
      <c r="U363" t="s">
        <v>2570</v>
      </c>
      <c r="V363" t="s">
        <v>2571</v>
      </c>
      <c r="W363">
        <v>37</v>
      </c>
      <c r="X363" t="s">
        <v>53</v>
      </c>
      <c r="Y363">
        <v>0</v>
      </c>
    </row>
    <row r="364" spans="1:25" x14ac:dyDescent="0.35">
      <c r="A364" t="s">
        <v>2572</v>
      </c>
      <c r="B364" s="1">
        <v>45648</v>
      </c>
      <c r="C364" s="1">
        <v>45655</v>
      </c>
      <c r="D364" t="s">
        <v>2573</v>
      </c>
      <c r="E364" t="s">
        <v>2574</v>
      </c>
      <c r="F364" t="s">
        <v>95</v>
      </c>
      <c r="G364" t="s">
        <v>2575</v>
      </c>
      <c r="H364" t="s">
        <v>154</v>
      </c>
      <c r="I364" t="s">
        <v>137</v>
      </c>
      <c r="J364" t="s">
        <v>118</v>
      </c>
      <c r="K364" t="s">
        <v>138</v>
      </c>
      <c r="L364" t="s">
        <v>2576</v>
      </c>
      <c r="M364">
        <v>3</v>
      </c>
      <c r="N364">
        <v>2331</v>
      </c>
      <c r="O364">
        <v>5</v>
      </c>
      <c r="P364">
        <v>7420.35</v>
      </c>
      <c r="Q364">
        <v>6644.22</v>
      </c>
      <c r="R364">
        <v>776.13</v>
      </c>
      <c r="S364" t="s">
        <v>35</v>
      </c>
      <c r="T364" t="s">
        <v>89</v>
      </c>
      <c r="U364" t="s">
        <v>2577</v>
      </c>
      <c r="V364" t="s">
        <v>2578</v>
      </c>
      <c r="W364">
        <v>41</v>
      </c>
      <c r="X364" t="s">
        <v>53</v>
      </c>
      <c r="Y364">
        <v>0</v>
      </c>
    </row>
    <row r="365" spans="1:25" x14ac:dyDescent="0.35">
      <c r="A365" t="s">
        <v>2579</v>
      </c>
      <c r="B365" s="1">
        <v>45618</v>
      </c>
      <c r="C365" s="1">
        <v>45622</v>
      </c>
      <c r="D365" t="s">
        <v>2580</v>
      </c>
      <c r="E365" t="s">
        <v>2581</v>
      </c>
      <c r="F365" t="s">
        <v>28</v>
      </c>
      <c r="G365" t="s">
        <v>2582</v>
      </c>
      <c r="H365" t="s">
        <v>283</v>
      </c>
      <c r="I365" t="s">
        <v>45</v>
      </c>
      <c r="J365" t="s">
        <v>46</v>
      </c>
      <c r="K365" t="s">
        <v>87</v>
      </c>
      <c r="L365" t="s">
        <v>2583</v>
      </c>
      <c r="M365">
        <v>6</v>
      </c>
      <c r="N365">
        <v>3525</v>
      </c>
      <c r="O365">
        <v>5</v>
      </c>
      <c r="P365">
        <v>20869.5</v>
      </c>
      <c r="Q365">
        <v>20093.39</v>
      </c>
      <c r="R365">
        <v>776.11</v>
      </c>
      <c r="S365" t="s">
        <v>100</v>
      </c>
      <c r="T365" t="s">
        <v>89</v>
      </c>
      <c r="U365" t="s">
        <v>2584</v>
      </c>
      <c r="V365" t="s">
        <v>2585</v>
      </c>
      <c r="W365">
        <v>33</v>
      </c>
      <c r="X365" t="s">
        <v>53</v>
      </c>
      <c r="Y365">
        <v>0</v>
      </c>
    </row>
    <row r="366" spans="1:25" x14ac:dyDescent="0.35">
      <c r="A366" t="s">
        <v>2586</v>
      </c>
      <c r="B366" s="1">
        <v>45610</v>
      </c>
      <c r="C366" s="1">
        <v>45611</v>
      </c>
      <c r="D366" t="s">
        <v>2587</v>
      </c>
      <c r="E366" t="s">
        <v>2588</v>
      </c>
      <c r="F366" t="s">
        <v>57</v>
      </c>
      <c r="G366" t="s">
        <v>2589</v>
      </c>
      <c r="H366" t="s">
        <v>206</v>
      </c>
      <c r="I366" t="s">
        <v>31</v>
      </c>
      <c r="J366" t="s">
        <v>32</v>
      </c>
      <c r="K366" t="s">
        <v>239</v>
      </c>
      <c r="L366" t="s">
        <v>2590</v>
      </c>
      <c r="M366">
        <v>4</v>
      </c>
      <c r="N366">
        <v>1158</v>
      </c>
      <c r="O366">
        <v>0</v>
      </c>
      <c r="P366">
        <v>5409</v>
      </c>
      <c r="Q366">
        <v>4632.67</v>
      </c>
      <c r="R366">
        <v>776.33</v>
      </c>
      <c r="S366" t="s">
        <v>80</v>
      </c>
      <c r="T366" t="s">
        <v>50</v>
      </c>
      <c r="U366" t="s">
        <v>2591</v>
      </c>
      <c r="V366" t="s">
        <v>2592</v>
      </c>
      <c r="W366">
        <v>29</v>
      </c>
      <c r="X366" t="s">
        <v>53</v>
      </c>
      <c r="Y366">
        <v>0</v>
      </c>
    </row>
    <row r="367" spans="1:25" x14ac:dyDescent="0.35">
      <c r="A367" t="s">
        <v>2593</v>
      </c>
      <c r="B367" s="1">
        <v>45932</v>
      </c>
      <c r="C367" s="1">
        <v>45933</v>
      </c>
      <c r="D367" t="s">
        <v>2594</v>
      </c>
      <c r="E367" t="s">
        <v>2595</v>
      </c>
      <c r="F367" t="s">
        <v>95</v>
      </c>
      <c r="G367" t="s">
        <v>2596</v>
      </c>
      <c r="H367" t="s">
        <v>364</v>
      </c>
      <c r="I367" t="s">
        <v>137</v>
      </c>
      <c r="J367" t="s">
        <v>118</v>
      </c>
      <c r="K367" t="s">
        <v>598</v>
      </c>
      <c r="L367" t="s">
        <v>2597</v>
      </c>
      <c r="M367">
        <v>9</v>
      </c>
      <c r="N367">
        <v>4323</v>
      </c>
      <c r="O367">
        <v>20</v>
      </c>
      <c r="P367">
        <v>31902.6</v>
      </c>
      <c r="Q367">
        <v>31126.49</v>
      </c>
      <c r="R367">
        <v>776.11</v>
      </c>
      <c r="S367" t="s">
        <v>100</v>
      </c>
      <c r="T367" t="s">
        <v>36</v>
      </c>
      <c r="U367" t="s">
        <v>2598</v>
      </c>
      <c r="V367" t="s">
        <v>2599</v>
      </c>
      <c r="W367">
        <v>31</v>
      </c>
      <c r="X367" t="s">
        <v>53</v>
      </c>
      <c r="Y367">
        <v>0</v>
      </c>
    </row>
    <row r="368" spans="1:25" x14ac:dyDescent="0.35">
      <c r="A368" t="s">
        <v>2600</v>
      </c>
      <c r="B368" s="1">
        <v>45743</v>
      </c>
      <c r="C368" s="1">
        <v>45745</v>
      </c>
      <c r="D368" t="s">
        <v>2601</v>
      </c>
      <c r="E368" t="s">
        <v>2602</v>
      </c>
      <c r="F368" t="s">
        <v>95</v>
      </c>
      <c r="G368" t="s">
        <v>2603</v>
      </c>
      <c r="H368" t="s">
        <v>107</v>
      </c>
      <c r="I368" t="s">
        <v>108</v>
      </c>
      <c r="J368" t="s">
        <v>32</v>
      </c>
      <c r="K368" t="s">
        <v>98</v>
      </c>
      <c r="L368" t="s">
        <v>2604</v>
      </c>
      <c r="M368">
        <v>8</v>
      </c>
      <c r="N368">
        <v>762</v>
      </c>
      <c r="O368">
        <v>20</v>
      </c>
      <c r="P368">
        <v>5653.8</v>
      </c>
      <c r="Q368">
        <v>4877.59</v>
      </c>
      <c r="R368">
        <v>776.21</v>
      </c>
      <c r="S368" t="s">
        <v>80</v>
      </c>
      <c r="T368" t="s">
        <v>89</v>
      </c>
      <c r="U368" t="s">
        <v>2605</v>
      </c>
      <c r="V368" t="s">
        <v>2606</v>
      </c>
      <c r="W368">
        <v>29</v>
      </c>
      <c r="X368" t="s">
        <v>53</v>
      </c>
      <c r="Y368">
        <v>0</v>
      </c>
    </row>
    <row r="369" spans="1:25" x14ac:dyDescent="0.35">
      <c r="A369" t="s">
        <v>2607</v>
      </c>
      <c r="B369" s="1">
        <v>45628</v>
      </c>
      <c r="C369" s="1">
        <v>45630</v>
      </c>
      <c r="D369" t="s">
        <v>603</v>
      </c>
      <c r="E369" t="s">
        <v>2608</v>
      </c>
      <c r="F369" t="s">
        <v>95</v>
      </c>
      <c r="G369" t="s">
        <v>2609</v>
      </c>
      <c r="H369" t="s">
        <v>163</v>
      </c>
      <c r="I369" t="s">
        <v>108</v>
      </c>
      <c r="J369" t="s">
        <v>118</v>
      </c>
      <c r="K369" t="s">
        <v>532</v>
      </c>
      <c r="L369" t="s">
        <v>2610</v>
      </c>
      <c r="M369">
        <v>1</v>
      </c>
      <c r="N369">
        <v>4715</v>
      </c>
      <c r="O369">
        <v>20</v>
      </c>
      <c r="P369">
        <v>4549</v>
      </c>
      <c r="Q369">
        <v>3772.83</v>
      </c>
      <c r="R369">
        <v>776.17</v>
      </c>
      <c r="S369" t="s">
        <v>100</v>
      </c>
      <c r="T369" t="s">
        <v>36</v>
      </c>
      <c r="U369" t="s">
        <v>2611</v>
      </c>
      <c r="V369" t="s">
        <v>2612</v>
      </c>
      <c r="W369">
        <v>43</v>
      </c>
      <c r="X369" t="s">
        <v>53</v>
      </c>
      <c r="Y369">
        <v>0</v>
      </c>
    </row>
    <row r="370" spans="1:25" x14ac:dyDescent="0.35">
      <c r="A370" t="s">
        <v>2613</v>
      </c>
      <c r="B370" s="1">
        <v>45383</v>
      </c>
      <c r="C370" s="1">
        <v>45384</v>
      </c>
      <c r="D370" t="s">
        <v>2614</v>
      </c>
      <c r="E370" t="s">
        <v>2615</v>
      </c>
      <c r="F370" t="s">
        <v>57</v>
      </c>
      <c r="G370" t="s">
        <v>2616</v>
      </c>
      <c r="H370" t="s">
        <v>77</v>
      </c>
      <c r="I370" t="s">
        <v>45</v>
      </c>
      <c r="J370" t="s">
        <v>46</v>
      </c>
      <c r="K370" t="s">
        <v>247</v>
      </c>
      <c r="L370" t="s">
        <v>2617</v>
      </c>
      <c r="M370">
        <v>10</v>
      </c>
      <c r="N370">
        <v>1938</v>
      </c>
      <c r="O370">
        <v>0</v>
      </c>
      <c r="P370">
        <v>20157</v>
      </c>
      <c r="Q370">
        <v>19380.650000000001</v>
      </c>
      <c r="R370">
        <v>776.35</v>
      </c>
      <c r="S370" t="s">
        <v>100</v>
      </c>
      <c r="T370" t="s">
        <v>50</v>
      </c>
      <c r="U370" t="s">
        <v>2618</v>
      </c>
      <c r="V370" t="s">
        <v>2619</v>
      </c>
      <c r="W370">
        <v>25</v>
      </c>
      <c r="X370" t="s">
        <v>53</v>
      </c>
      <c r="Y370">
        <v>0</v>
      </c>
    </row>
    <row r="371" spans="1:25" x14ac:dyDescent="0.35">
      <c r="A371" t="s">
        <v>2620</v>
      </c>
      <c r="B371" s="1">
        <v>45269</v>
      </c>
      <c r="C371" s="1">
        <v>45273</v>
      </c>
      <c r="D371" t="s">
        <v>2621</v>
      </c>
      <c r="E371" t="s">
        <v>2622</v>
      </c>
      <c r="F371" t="s">
        <v>28</v>
      </c>
      <c r="G371" t="s">
        <v>2623</v>
      </c>
      <c r="H371" t="s">
        <v>230</v>
      </c>
      <c r="I371" t="s">
        <v>137</v>
      </c>
      <c r="J371" t="s">
        <v>97</v>
      </c>
      <c r="K371" t="s">
        <v>1898</v>
      </c>
      <c r="L371" t="s">
        <v>2624</v>
      </c>
      <c r="M371">
        <v>4</v>
      </c>
      <c r="N371">
        <v>4557</v>
      </c>
      <c r="O371">
        <v>5</v>
      </c>
      <c r="P371">
        <v>18093.599999999999</v>
      </c>
      <c r="Q371">
        <v>17317.38</v>
      </c>
      <c r="R371">
        <v>776.22</v>
      </c>
      <c r="S371" t="s">
        <v>35</v>
      </c>
      <c r="T371" t="s">
        <v>140</v>
      </c>
      <c r="U371" t="s">
        <v>2625</v>
      </c>
      <c r="V371" t="s">
        <v>2626</v>
      </c>
      <c r="W371">
        <v>31</v>
      </c>
      <c r="X371" t="s">
        <v>53</v>
      </c>
      <c r="Y371">
        <v>0</v>
      </c>
    </row>
    <row r="372" spans="1:25" x14ac:dyDescent="0.35">
      <c r="A372" t="s">
        <v>2627</v>
      </c>
      <c r="B372" s="1">
        <v>45471</v>
      </c>
      <c r="C372" s="1">
        <v>45476</v>
      </c>
      <c r="D372" t="s">
        <v>2628</v>
      </c>
      <c r="E372" t="s">
        <v>2629</v>
      </c>
      <c r="F372" t="s">
        <v>95</v>
      </c>
      <c r="G372" t="s">
        <v>2630</v>
      </c>
      <c r="H372" t="s">
        <v>77</v>
      </c>
      <c r="I372" t="s">
        <v>45</v>
      </c>
      <c r="J372" t="s">
        <v>46</v>
      </c>
      <c r="K372" t="s">
        <v>190</v>
      </c>
      <c r="L372" t="s">
        <v>2631</v>
      </c>
      <c r="M372">
        <v>5</v>
      </c>
      <c r="N372">
        <v>2251</v>
      </c>
      <c r="O372">
        <v>0</v>
      </c>
      <c r="P372">
        <v>12032</v>
      </c>
      <c r="Q372">
        <v>11255.65</v>
      </c>
      <c r="R372">
        <v>776.35</v>
      </c>
      <c r="S372" t="s">
        <v>35</v>
      </c>
      <c r="T372" t="s">
        <v>36</v>
      </c>
      <c r="U372" t="s">
        <v>2632</v>
      </c>
      <c r="V372" t="s">
        <v>2633</v>
      </c>
      <c r="W372">
        <v>49</v>
      </c>
      <c r="X372" t="s">
        <v>53</v>
      </c>
      <c r="Y372">
        <v>0</v>
      </c>
    </row>
    <row r="373" spans="1:25" x14ac:dyDescent="0.35">
      <c r="A373" t="s">
        <v>2634</v>
      </c>
      <c r="B373" s="1">
        <v>45948</v>
      </c>
      <c r="C373" s="1">
        <v>45953</v>
      </c>
      <c r="D373" t="s">
        <v>2635</v>
      </c>
      <c r="E373" t="s">
        <v>2636</v>
      </c>
      <c r="F373" t="s">
        <v>28</v>
      </c>
      <c r="G373" t="s">
        <v>2637</v>
      </c>
      <c r="H373" t="s">
        <v>44</v>
      </c>
      <c r="I373" t="s">
        <v>45</v>
      </c>
      <c r="J373" t="s">
        <v>32</v>
      </c>
      <c r="K373" t="s">
        <v>706</v>
      </c>
      <c r="L373" t="s">
        <v>2638</v>
      </c>
      <c r="M373">
        <v>4</v>
      </c>
      <c r="N373">
        <v>346</v>
      </c>
      <c r="O373">
        <v>0</v>
      </c>
      <c r="P373">
        <v>2161</v>
      </c>
      <c r="Q373">
        <v>1384.83</v>
      </c>
      <c r="R373">
        <v>776.17</v>
      </c>
      <c r="S373" t="s">
        <v>49</v>
      </c>
      <c r="T373" t="s">
        <v>36</v>
      </c>
      <c r="U373" t="s">
        <v>2639</v>
      </c>
      <c r="V373" t="s">
        <v>2640</v>
      </c>
      <c r="W373">
        <v>15</v>
      </c>
      <c r="X373" t="s">
        <v>53</v>
      </c>
      <c r="Y373">
        <v>0</v>
      </c>
    </row>
    <row r="374" spans="1:25" x14ac:dyDescent="0.35">
      <c r="A374" t="s">
        <v>2641</v>
      </c>
      <c r="B374" s="1">
        <v>45395</v>
      </c>
      <c r="C374" s="1">
        <v>45400</v>
      </c>
      <c r="D374" t="s">
        <v>2383</v>
      </c>
      <c r="E374" t="s">
        <v>2642</v>
      </c>
      <c r="F374" t="s">
        <v>28</v>
      </c>
      <c r="G374" t="s">
        <v>2643</v>
      </c>
      <c r="H374" t="s">
        <v>77</v>
      </c>
      <c r="I374" t="s">
        <v>45</v>
      </c>
      <c r="J374" t="s">
        <v>118</v>
      </c>
      <c r="K374" t="s">
        <v>786</v>
      </c>
      <c r="L374" t="s">
        <v>2644</v>
      </c>
      <c r="M374">
        <v>10</v>
      </c>
      <c r="N374">
        <v>963</v>
      </c>
      <c r="O374">
        <v>15</v>
      </c>
      <c r="P374">
        <v>8962.5</v>
      </c>
      <c r="Q374">
        <v>8186.24</v>
      </c>
      <c r="R374">
        <v>776.26</v>
      </c>
      <c r="S374" t="s">
        <v>80</v>
      </c>
      <c r="T374" t="s">
        <v>89</v>
      </c>
      <c r="U374" t="s">
        <v>2645</v>
      </c>
      <c r="V374" t="s">
        <v>2646</v>
      </c>
      <c r="W374">
        <v>19</v>
      </c>
      <c r="X374" t="s">
        <v>53</v>
      </c>
      <c r="Y374">
        <v>0</v>
      </c>
    </row>
    <row r="375" spans="1:25" x14ac:dyDescent="0.35">
      <c r="A375" t="s">
        <v>2647</v>
      </c>
      <c r="B375" s="1">
        <v>45562</v>
      </c>
      <c r="C375" s="1">
        <v>45567</v>
      </c>
      <c r="D375" t="s">
        <v>2648</v>
      </c>
      <c r="E375" t="s">
        <v>2649</v>
      </c>
      <c r="F375" t="s">
        <v>28</v>
      </c>
      <c r="G375" t="s">
        <v>2650</v>
      </c>
      <c r="H375" t="s">
        <v>206</v>
      </c>
      <c r="I375" t="s">
        <v>31</v>
      </c>
      <c r="J375" t="s">
        <v>32</v>
      </c>
      <c r="K375" t="s">
        <v>349</v>
      </c>
      <c r="L375" t="s">
        <v>2651</v>
      </c>
      <c r="M375">
        <v>4</v>
      </c>
      <c r="N375">
        <v>686</v>
      </c>
      <c r="O375">
        <v>5</v>
      </c>
      <c r="P375">
        <v>3383.8</v>
      </c>
      <c r="Q375">
        <v>2607.69</v>
      </c>
      <c r="R375">
        <v>776.11</v>
      </c>
      <c r="S375" t="s">
        <v>100</v>
      </c>
      <c r="T375" t="s">
        <v>89</v>
      </c>
      <c r="U375" t="s">
        <v>2652</v>
      </c>
      <c r="V375" t="s">
        <v>2653</v>
      </c>
      <c r="W375">
        <v>16</v>
      </c>
      <c r="X375" t="s">
        <v>53</v>
      </c>
      <c r="Y375">
        <v>0</v>
      </c>
    </row>
    <row r="376" spans="1:25" x14ac:dyDescent="0.35">
      <c r="A376" t="s">
        <v>2654</v>
      </c>
      <c r="B376" s="1">
        <v>45450</v>
      </c>
      <c r="C376" s="1">
        <v>45457</v>
      </c>
      <c r="D376" t="s">
        <v>2655</v>
      </c>
      <c r="E376" t="s">
        <v>2656</v>
      </c>
      <c r="F376" t="s">
        <v>28</v>
      </c>
      <c r="G376" t="s">
        <v>2657</v>
      </c>
      <c r="H376" t="s">
        <v>68</v>
      </c>
      <c r="I376" t="s">
        <v>31</v>
      </c>
      <c r="J376" t="s">
        <v>97</v>
      </c>
      <c r="K376" t="s">
        <v>239</v>
      </c>
      <c r="L376" t="s">
        <v>2658</v>
      </c>
      <c r="M376">
        <v>4</v>
      </c>
      <c r="N376">
        <v>3702</v>
      </c>
      <c r="O376">
        <v>5</v>
      </c>
      <c r="P376">
        <v>14844.6</v>
      </c>
      <c r="Q376">
        <v>14068.39</v>
      </c>
      <c r="R376">
        <v>776.21</v>
      </c>
      <c r="S376" t="s">
        <v>100</v>
      </c>
      <c r="T376" t="s">
        <v>140</v>
      </c>
      <c r="U376" t="s">
        <v>2659</v>
      </c>
      <c r="V376" t="s">
        <v>2660</v>
      </c>
      <c r="W376">
        <v>19</v>
      </c>
      <c r="X376" t="s">
        <v>53</v>
      </c>
      <c r="Y376">
        <v>0</v>
      </c>
    </row>
    <row r="377" spans="1:25" x14ac:dyDescent="0.35">
      <c r="A377" t="s">
        <v>2661</v>
      </c>
      <c r="B377" s="1">
        <v>45584</v>
      </c>
      <c r="C377" s="1">
        <v>45590</v>
      </c>
      <c r="D377" t="s">
        <v>2662</v>
      </c>
      <c r="E377" t="s">
        <v>2663</v>
      </c>
      <c r="F377" t="s">
        <v>57</v>
      </c>
      <c r="G377" t="s">
        <v>2664</v>
      </c>
      <c r="H377" t="s">
        <v>198</v>
      </c>
      <c r="I377" t="s">
        <v>31</v>
      </c>
      <c r="J377" t="s">
        <v>32</v>
      </c>
      <c r="K377" t="s">
        <v>199</v>
      </c>
      <c r="L377" t="s">
        <v>2665</v>
      </c>
      <c r="M377">
        <v>1</v>
      </c>
      <c r="N377">
        <v>135</v>
      </c>
      <c r="O377">
        <v>10</v>
      </c>
      <c r="P377">
        <v>898.5</v>
      </c>
      <c r="Q377">
        <v>122.13</v>
      </c>
      <c r="R377">
        <v>776.37</v>
      </c>
      <c r="S377" t="s">
        <v>35</v>
      </c>
      <c r="T377" t="s">
        <v>89</v>
      </c>
      <c r="U377" t="s">
        <v>2666</v>
      </c>
      <c r="V377" t="s">
        <v>2667</v>
      </c>
      <c r="W377">
        <v>0</v>
      </c>
      <c r="X377" t="s">
        <v>39</v>
      </c>
      <c r="Y377">
        <v>29</v>
      </c>
    </row>
    <row r="378" spans="1:25" x14ac:dyDescent="0.35">
      <c r="A378" t="s">
        <v>2668</v>
      </c>
      <c r="B378" s="1">
        <v>45731</v>
      </c>
      <c r="C378" s="1">
        <v>45733</v>
      </c>
      <c r="D378" t="s">
        <v>2669</v>
      </c>
      <c r="E378" t="s">
        <v>2670</v>
      </c>
      <c r="F378" t="s">
        <v>57</v>
      </c>
      <c r="G378" t="s">
        <v>2671</v>
      </c>
      <c r="H378" t="s">
        <v>127</v>
      </c>
      <c r="I378" t="s">
        <v>45</v>
      </c>
      <c r="J378" t="s">
        <v>32</v>
      </c>
      <c r="K378" t="s">
        <v>119</v>
      </c>
      <c r="L378" t="s">
        <v>2672</v>
      </c>
      <c r="M378">
        <v>8</v>
      </c>
      <c r="N378">
        <v>714</v>
      </c>
      <c r="O378">
        <v>5</v>
      </c>
      <c r="P378">
        <v>6203.4</v>
      </c>
      <c r="Q378">
        <v>5427.18</v>
      </c>
      <c r="R378">
        <v>776.22</v>
      </c>
      <c r="S378" t="s">
        <v>35</v>
      </c>
      <c r="T378" t="s">
        <v>36</v>
      </c>
      <c r="U378" t="s">
        <v>2673</v>
      </c>
      <c r="V378" t="s">
        <v>2674</v>
      </c>
      <c r="W378">
        <v>1</v>
      </c>
      <c r="X378" t="s">
        <v>39</v>
      </c>
      <c r="Y378">
        <v>35</v>
      </c>
    </row>
    <row r="379" spans="1:25" x14ac:dyDescent="0.35">
      <c r="A379" t="s">
        <v>2675</v>
      </c>
      <c r="B379" s="1">
        <v>45422</v>
      </c>
      <c r="C379" s="1">
        <v>45428</v>
      </c>
      <c r="D379" t="s">
        <v>2057</v>
      </c>
      <c r="E379" t="s">
        <v>2676</v>
      </c>
      <c r="F379" t="s">
        <v>28</v>
      </c>
      <c r="G379" t="s">
        <v>2677</v>
      </c>
      <c r="H379" t="s">
        <v>77</v>
      </c>
      <c r="I379" t="s">
        <v>45</v>
      </c>
      <c r="J379" t="s">
        <v>97</v>
      </c>
      <c r="K379" t="s">
        <v>562</v>
      </c>
      <c r="L379" t="s">
        <v>2678</v>
      </c>
      <c r="M379">
        <v>6</v>
      </c>
      <c r="N379">
        <v>2201</v>
      </c>
      <c r="O379">
        <v>0</v>
      </c>
      <c r="P379">
        <v>13983</v>
      </c>
      <c r="Q379">
        <v>13206.8</v>
      </c>
      <c r="R379">
        <v>776.2</v>
      </c>
      <c r="S379" t="s">
        <v>49</v>
      </c>
      <c r="T379" t="s">
        <v>140</v>
      </c>
      <c r="U379" t="s">
        <v>2679</v>
      </c>
      <c r="V379" t="s">
        <v>2680</v>
      </c>
      <c r="W379">
        <v>42</v>
      </c>
      <c r="X379" t="s">
        <v>53</v>
      </c>
      <c r="Y379">
        <v>0</v>
      </c>
    </row>
    <row r="380" spans="1:25" x14ac:dyDescent="0.35">
      <c r="A380" t="s">
        <v>2681</v>
      </c>
      <c r="B380" s="1">
        <v>45915</v>
      </c>
      <c r="C380" s="1">
        <v>45921</v>
      </c>
      <c r="D380" t="s">
        <v>2682</v>
      </c>
      <c r="E380" t="s">
        <v>2683</v>
      </c>
      <c r="F380" t="s">
        <v>28</v>
      </c>
      <c r="G380" t="s">
        <v>2684</v>
      </c>
      <c r="H380" t="s">
        <v>154</v>
      </c>
      <c r="I380" t="s">
        <v>137</v>
      </c>
      <c r="J380" t="s">
        <v>46</v>
      </c>
      <c r="K380" t="s">
        <v>562</v>
      </c>
      <c r="L380" t="s">
        <v>2685</v>
      </c>
      <c r="M380">
        <v>2</v>
      </c>
      <c r="N380">
        <v>595</v>
      </c>
      <c r="O380">
        <v>0</v>
      </c>
      <c r="P380">
        <v>1967</v>
      </c>
      <c r="Q380">
        <v>1190.8800000000001</v>
      </c>
      <c r="R380">
        <v>776.12</v>
      </c>
      <c r="S380" t="s">
        <v>35</v>
      </c>
      <c r="T380" t="s">
        <v>36</v>
      </c>
      <c r="U380" t="s">
        <v>2686</v>
      </c>
      <c r="V380" t="s">
        <v>2687</v>
      </c>
      <c r="W380">
        <v>26</v>
      </c>
      <c r="X380" t="s">
        <v>53</v>
      </c>
      <c r="Y380">
        <v>0</v>
      </c>
    </row>
    <row r="381" spans="1:25" x14ac:dyDescent="0.35">
      <c r="A381" t="s">
        <v>2688</v>
      </c>
      <c r="B381" s="1">
        <v>45717</v>
      </c>
      <c r="C381" s="1">
        <v>45722</v>
      </c>
      <c r="D381" t="s">
        <v>674</v>
      </c>
      <c r="E381" t="s">
        <v>2689</v>
      </c>
      <c r="F381" t="s">
        <v>28</v>
      </c>
      <c r="G381" t="s">
        <v>2690</v>
      </c>
      <c r="H381" t="s">
        <v>59</v>
      </c>
      <c r="I381" t="s">
        <v>31</v>
      </c>
      <c r="J381" t="s">
        <v>97</v>
      </c>
      <c r="K381" t="s">
        <v>98</v>
      </c>
      <c r="L381" t="s">
        <v>2691</v>
      </c>
      <c r="M381">
        <v>8</v>
      </c>
      <c r="N381">
        <v>1988</v>
      </c>
      <c r="O381">
        <v>5</v>
      </c>
      <c r="P381">
        <v>15885.8</v>
      </c>
      <c r="Q381">
        <v>15109.5</v>
      </c>
      <c r="R381">
        <v>776.3</v>
      </c>
      <c r="S381" t="s">
        <v>100</v>
      </c>
      <c r="T381" t="s">
        <v>140</v>
      </c>
      <c r="U381" t="s">
        <v>2692</v>
      </c>
      <c r="V381" t="s">
        <v>2693</v>
      </c>
      <c r="W381">
        <v>29</v>
      </c>
      <c r="X381" t="s">
        <v>53</v>
      </c>
      <c r="Y381">
        <v>0</v>
      </c>
    </row>
    <row r="382" spans="1:25" x14ac:dyDescent="0.35">
      <c r="A382" t="s">
        <v>2694</v>
      </c>
      <c r="B382" s="1">
        <v>45310</v>
      </c>
      <c r="C382" s="1">
        <v>45317</v>
      </c>
      <c r="D382" t="s">
        <v>2695</v>
      </c>
      <c r="E382" t="s">
        <v>1205</v>
      </c>
      <c r="F382" t="s">
        <v>95</v>
      </c>
      <c r="G382" t="s">
        <v>2696</v>
      </c>
      <c r="H382" t="s">
        <v>206</v>
      </c>
      <c r="I382" t="s">
        <v>31</v>
      </c>
      <c r="J382" t="s">
        <v>32</v>
      </c>
      <c r="K382" t="s">
        <v>207</v>
      </c>
      <c r="L382" t="s">
        <v>2697</v>
      </c>
      <c r="M382">
        <v>3</v>
      </c>
      <c r="N382">
        <v>2696</v>
      </c>
      <c r="O382">
        <v>20</v>
      </c>
      <c r="P382">
        <v>7247.4</v>
      </c>
      <c r="Q382">
        <v>6471.02</v>
      </c>
      <c r="R382">
        <v>776.38</v>
      </c>
      <c r="S382" t="s">
        <v>100</v>
      </c>
      <c r="T382" t="s">
        <v>36</v>
      </c>
      <c r="U382" t="s">
        <v>2698</v>
      </c>
      <c r="V382" t="s">
        <v>2699</v>
      </c>
      <c r="W382">
        <v>41</v>
      </c>
      <c r="X382" t="s">
        <v>53</v>
      </c>
      <c r="Y382">
        <v>0</v>
      </c>
    </row>
    <row r="383" spans="1:25" x14ac:dyDescent="0.35">
      <c r="A383" t="s">
        <v>2700</v>
      </c>
      <c r="B383" s="1">
        <v>45470</v>
      </c>
      <c r="C383" s="1">
        <v>45477</v>
      </c>
      <c r="D383" t="s">
        <v>2701</v>
      </c>
      <c r="E383" t="s">
        <v>2702</v>
      </c>
      <c r="F383" t="s">
        <v>95</v>
      </c>
      <c r="G383" t="s">
        <v>2703</v>
      </c>
      <c r="H383" t="s">
        <v>136</v>
      </c>
      <c r="I383" t="s">
        <v>137</v>
      </c>
      <c r="J383" t="s">
        <v>46</v>
      </c>
      <c r="K383" t="s">
        <v>466</v>
      </c>
      <c r="L383" t="s">
        <v>2704</v>
      </c>
      <c r="M383">
        <v>3</v>
      </c>
      <c r="N383">
        <v>3632</v>
      </c>
      <c r="O383">
        <v>0</v>
      </c>
      <c r="P383">
        <v>11673</v>
      </c>
      <c r="Q383">
        <v>10896.89</v>
      </c>
      <c r="R383">
        <v>776.11</v>
      </c>
      <c r="S383" t="s">
        <v>35</v>
      </c>
      <c r="T383" t="s">
        <v>140</v>
      </c>
      <c r="U383" t="s">
        <v>2705</v>
      </c>
      <c r="V383" t="s">
        <v>2706</v>
      </c>
      <c r="W383">
        <v>4</v>
      </c>
      <c r="X383" t="s">
        <v>39</v>
      </c>
      <c r="Y383">
        <v>35</v>
      </c>
    </row>
    <row r="384" spans="1:25" x14ac:dyDescent="0.35">
      <c r="A384" t="s">
        <v>2707</v>
      </c>
      <c r="B384" s="1">
        <v>45934</v>
      </c>
      <c r="C384" s="1">
        <v>45940</v>
      </c>
      <c r="D384" t="s">
        <v>266</v>
      </c>
      <c r="E384" t="s">
        <v>2708</v>
      </c>
      <c r="F384" t="s">
        <v>57</v>
      </c>
      <c r="G384" t="s">
        <v>2709</v>
      </c>
      <c r="H384" t="s">
        <v>283</v>
      </c>
      <c r="I384" t="s">
        <v>45</v>
      </c>
      <c r="J384" t="s">
        <v>118</v>
      </c>
      <c r="K384" t="s">
        <v>33</v>
      </c>
      <c r="L384" t="s">
        <v>2710</v>
      </c>
      <c r="M384">
        <v>10</v>
      </c>
      <c r="N384">
        <v>189</v>
      </c>
      <c r="O384">
        <v>20</v>
      </c>
      <c r="P384">
        <v>2289</v>
      </c>
      <c r="Q384">
        <v>1512.88</v>
      </c>
      <c r="R384">
        <v>776.12</v>
      </c>
      <c r="S384" t="s">
        <v>100</v>
      </c>
      <c r="T384" t="s">
        <v>89</v>
      </c>
      <c r="U384" t="s">
        <v>2711</v>
      </c>
      <c r="V384" t="s">
        <v>2712</v>
      </c>
      <c r="W384">
        <v>18</v>
      </c>
      <c r="X384" t="s">
        <v>53</v>
      </c>
      <c r="Y384">
        <v>0</v>
      </c>
    </row>
    <row r="385" spans="1:25" x14ac:dyDescent="0.35">
      <c r="A385" t="s">
        <v>2713</v>
      </c>
      <c r="B385" s="1">
        <v>45829</v>
      </c>
      <c r="C385" s="1">
        <v>45832</v>
      </c>
      <c r="D385" t="s">
        <v>2714</v>
      </c>
      <c r="E385" t="s">
        <v>2715</v>
      </c>
      <c r="F385" t="s">
        <v>95</v>
      </c>
      <c r="G385" t="s">
        <v>2716</v>
      </c>
      <c r="H385" t="s">
        <v>30</v>
      </c>
      <c r="I385" t="s">
        <v>31</v>
      </c>
      <c r="J385" t="s">
        <v>97</v>
      </c>
      <c r="K385" t="s">
        <v>239</v>
      </c>
      <c r="L385" t="s">
        <v>2717</v>
      </c>
      <c r="M385">
        <v>5</v>
      </c>
      <c r="N385">
        <v>2971</v>
      </c>
      <c r="O385">
        <v>5</v>
      </c>
      <c r="P385">
        <v>14889.25</v>
      </c>
      <c r="Q385">
        <v>14113.1</v>
      </c>
      <c r="R385">
        <v>776.15</v>
      </c>
      <c r="S385" t="s">
        <v>100</v>
      </c>
      <c r="T385" t="s">
        <v>89</v>
      </c>
      <c r="U385" t="s">
        <v>2718</v>
      </c>
      <c r="V385" t="s">
        <v>2719</v>
      </c>
      <c r="W385">
        <v>1</v>
      </c>
      <c r="X385" t="s">
        <v>39</v>
      </c>
      <c r="Y385">
        <v>21</v>
      </c>
    </row>
    <row r="386" spans="1:25" x14ac:dyDescent="0.35">
      <c r="A386" t="s">
        <v>2720</v>
      </c>
      <c r="B386" s="1">
        <v>45402</v>
      </c>
      <c r="C386" s="1">
        <v>45403</v>
      </c>
      <c r="D386" t="s">
        <v>2721</v>
      </c>
      <c r="E386" t="s">
        <v>2722</v>
      </c>
      <c r="F386" t="s">
        <v>95</v>
      </c>
      <c r="G386" t="s">
        <v>2723</v>
      </c>
      <c r="H386" t="s">
        <v>117</v>
      </c>
      <c r="I386" t="s">
        <v>108</v>
      </c>
      <c r="J386" t="s">
        <v>97</v>
      </c>
      <c r="K386" t="s">
        <v>1088</v>
      </c>
      <c r="L386" t="s">
        <v>2724</v>
      </c>
      <c r="M386">
        <v>2</v>
      </c>
      <c r="N386">
        <v>2786</v>
      </c>
      <c r="O386">
        <v>0</v>
      </c>
      <c r="P386">
        <v>6349</v>
      </c>
      <c r="Q386">
        <v>5572.88</v>
      </c>
      <c r="R386">
        <v>776.12</v>
      </c>
      <c r="S386" t="s">
        <v>49</v>
      </c>
      <c r="T386" t="s">
        <v>36</v>
      </c>
      <c r="U386" t="s">
        <v>2725</v>
      </c>
      <c r="V386" t="s">
        <v>2726</v>
      </c>
      <c r="W386">
        <v>38</v>
      </c>
      <c r="X386" t="s">
        <v>53</v>
      </c>
      <c r="Y386">
        <v>0</v>
      </c>
    </row>
    <row r="387" spans="1:25" x14ac:dyDescent="0.35">
      <c r="A387" t="s">
        <v>2727</v>
      </c>
      <c r="B387" s="1">
        <v>45390</v>
      </c>
      <c r="C387" s="1">
        <v>45396</v>
      </c>
      <c r="D387" t="s">
        <v>1522</v>
      </c>
      <c r="E387" t="s">
        <v>2728</v>
      </c>
      <c r="F387" t="s">
        <v>28</v>
      </c>
      <c r="G387" t="s">
        <v>2729</v>
      </c>
      <c r="H387" t="s">
        <v>334</v>
      </c>
      <c r="I387" t="s">
        <v>108</v>
      </c>
      <c r="J387" t="s">
        <v>97</v>
      </c>
      <c r="K387" t="s">
        <v>1088</v>
      </c>
      <c r="L387" t="s">
        <v>2730</v>
      </c>
      <c r="M387">
        <v>5</v>
      </c>
      <c r="N387">
        <v>3074</v>
      </c>
      <c r="O387">
        <v>5</v>
      </c>
      <c r="P387">
        <v>15378.5</v>
      </c>
      <c r="Q387">
        <v>14602.39</v>
      </c>
      <c r="R387">
        <v>776.11</v>
      </c>
      <c r="S387" t="s">
        <v>49</v>
      </c>
      <c r="T387" t="s">
        <v>50</v>
      </c>
      <c r="U387" t="s">
        <v>2731</v>
      </c>
      <c r="V387" t="s">
        <v>2732</v>
      </c>
      <c r="W387">
        <v>34</v>
      </c>
      <c r="X387" t="s">
        <v>53</v>
      </c>
      <c r="Y387">
        <v>0</v>
      </c>
    </row>
    <row r="388" spans="1:25" x14ac:dyDescent="0.35">
      <c r="A388" t="s">
        <v>2733</v>
      </c>
      <c r="B388" s="1">
        <v>45746</v>
      </c>
      <c r="C388" s="1">
        <v>45749</v>
      </c>
      <c r="D388" t="s">
        <v>2734</v>
      </c>
      <c r="E388" t="s">
        <v>2735</v>
      </c>
      <c r="F388" t="s">
        <v>57</v>
      </c>
      <c r="G388" t="s">
        <v>2736</v>
      </c>
      <c r="H388" t="s">
        <v>59</v>
      </c>
      <c r="I388" t="s">
        <v>31</v>
      </c>
      <c r="J388" t="s">
        <v>118</v>
      </c>
      <c r="K388" t="s">
        <v>474</v>
      </c>
      <c r="L388" t="s">
        <v>2737</v>
      </c>
      <c r="M388">
        <v>1</v>
      </c>
      <c r="N388">
        <v>2166</v>
      </c>
      <c r="O388">
        <v>0</v>
      </c>
      <c r="P388">
        <v>2943</v>
      </c>
      <c r="Q388">
        <v>2166.69</v>
      </c>
      <c r="R388">
        <v>776.31</v>
      </c>
      <c r="S388" t="s">
        <v>49</v>
      </c>
      <c r="T388" t="s">
        <v>89</v>
      </c>
      <c r="U388" t="s">
        <v>2738</v>
      </c>
      <c r="V388" t="s">
        <v>2739</v>
      </c>
      <c r="W388">
        <v>28</v>
      </c>
      <c r="X388" t="s">
        <v>53</v>
      </c>
      <c r="Y388">
        <v>0</v>
      </c>
    </row>
    <row r="389" spans="1:25" x14ac:dyDescent="0.35">
      <c r="A389" t="s">
        <v>2740</v>
      </c>
      <c r="B389" s="1">
        <v>45944</v>
      </c>
      <c r="C389" s="1">
        <v>45950</v>
      </c>
      <c r="D389" t="s">
        <v>653</v>
      </c>
      <c r="E389" t="s">
        <v>2741</v>
      </c>
      <c r="F389" t="s">
        <v>28</v>
      </c>
      <c r="G389" t="s">
        <v>2742</v>
      </c>
      <c r="H389" t="s">
        <v>44</v>
      </c>
      <c r="I389" t="s">
        <v>45</v>
      </c>
      <c r="J389" t="s">
        <v>32</v>
      </c>
      <c r="K389" t="s">
        <v>691</v>
      </c>
      <c r="L389" t="s">
        <v>2743</v>
      </c>
      <c r="M389">
        <v>1</v>
      </c>
      <c r="N389">
        <v>3021</v>
      </c>
      <c r="O389">
        <v>5</v>
      </c>
      <c r="P389">
        <v>3646.95</v>
      </c>
      <c r="Q389">
        <v>2870.82</v>
      </c>
      <c r="R389">
        <v>776.13</v>
      </c>
      <c r="S389" t="s">
        <v>100</v>
      </c>
      <c r="T389" t="s">
        <v>140</v>
      </c>
      <c r="U389" t="s">
        <v>2744</v>
      </c>
      <c r="V389" t="s">
        <v>2745</v>
      </c>
      <c r="W389">
        <v>47</v>
      </c>
      <c r="X389" t="s">
        <v>53</v>
      </c>
      <c r="Y389">
        <v>0</v>
      </c>
    </row>
    <row r="390" spans="1:25" x14ac:dyDescent="0.35">
      <c r="A390" t="s">
        <v>2746</v>
      </c>
      <c r="B390" s="1">
        <v>45508</v>
      </c>
      <c r="C390" s="1">
        <v>45514</v>
      </c>
      <c r="D390" t="s">
        <v>1050</v>
      </c>
      <c r="E390" t="s">
        <v>2747</v>
      </c>
      <c r="F390" t="s">
        <v>57</v>
      </c>
      <c r="G390" t="s">
        <v>2748</v>
      </c>
      <c r="H390" t="s">
        <v>44</v>
      </c>
      <c r="I390" t="s">
        <v>45</v>
      </c>
      <c r="J390" t="s">
        <v>97</v>
      </c>
      <c r="K390" t="s">
        <v>109</v>
      </c>
      <c r="L390" t="s">
        <v>2749</v>
      </c>
      <c r="M390">
        <v>6</v>
      </c>
      <c r="N390">
        <v>2120</v>
      </c>
      <c r="O390">
        <v>5</v>
      </c>
      <c r="P390">
        <v>12861</v>
      </c>
      <c r="Q390">
        <v>12084.85</v>
      </c>
      <c r="R390">
        <v>776.15</v>
      </c>
      <c r="S390" t="s">
        <v>49</v>
      </c>
      <c r="T390" t="s">
        <v>89</v>
      </c>
      <c r="U390" t="s">
        <v>2750</v>
      </c>
      <c r="V390" t="s">
        <v>2751</v>
      </c>
      <c r="W390">
        <v>22</v>
      </c>
      <c r="X390" t="s">
        <v>53</v>
      </c>
      <c r="Y390">
        <v>0</v>
      </c>
    </row>
    <row r="391" spans="1:25" x14ac:dyDescent="0.35">
      <c r="A391" t="s">
        <v>2752</v>
      </c>
      <c r="B391" s="1">
        <v>45893</v>
      </c>
      <c r="C391" s="1">
        <v>45900</v>
      </c>
      <c r="D391" t="s">
        <v>2753</v>
      </c>
      <c r="E391" t="s">
        <v>2754</v>
      </c>
      <c r="F391" t="s">
        <v>28</v>
      </c>
      <c r="G391" t="s">
        <v>1414</v>
      </c>
      <c r="H391" t="s">
        <v>364</v>
      </c>
      <c r="I391" t="s">
        <v>137</v>
      </c>
      <c r="J391" t="s">
        <v>32</v>
      </c>
      <c r="K391" t="s">
        <v>482</v>
      </c>
      <c r="L391" t="s">
        <v>2755</v>
      </c>
      <c r="M391">
        <v>10</v>
      </c>
      <c r="N391">
        <v>895</v>
      </c>
      <c r="O391">
        <v>10</v>
      </c>
      <c r="P391">
        <v>8832</v>
      </c>
      <c r="Q391">
        <v>8055.69</v>
      </c>
      <c r="R391">
        <v>776.31</v>
      </c>
      <c r="S391" t="s">
        <v>80</v>
      </c>
      <c r="T391" t="s">
        <v>89</v>
      </c>
      <c r="U391" t="s">
        <v>2756</v>
      </c>
      <c r="V391" t="s">
        <v>2757</v>
      </c>
      <c r="W391">
        <v>7</v>
      </c>
      <c r="X391" t="s">
        <v>39</v>
      </c>
      <c r="Y391">
        <v>48</v>
      </c>
    </row>
    <row r="392" spans="1:25" x14ac:dyDescent="0.35">
      <c r="A392" t="s">
        <v>2758</v>
      </c>
      <c r="B392" s="1">
        <v>45480</v>
      </c>
      <c r="C392" s="1">
        <v>45481</v>
      </c>
      <c r="D392" t="s">
        <v>624</v>
      </c>
      <c r="E392" t="s">
        <v>2759</v>
      </c>
      <c r="F392" t="s">
        <v>57</v>
      </c>
      <c r="G392" t="s">
        <v>2760</v>
      </c>
      <c r="H392" t="s">
        <v>172</v>
      </c>
      <c r="I392" t="s">
        <v>45</v>
      </c>
      <c r="J392" t="s">
        <v>118</v>
      </c>
      <c r="K392" t="s">
        <v>119</v>
      </c>
      <c r="L392" t="s">
        <v>2761</v>
      </c>
      <c r="M392">
        <v>7</v>
      </c>
      <c r="N392">
        <v>2505</v>
      </c>
      <c r="O392">
        <v>15</v>
      </c>
      <c r="P392">
        <v>15681.75</v>
      </c>
      <c r="Q392">
        <v>14905.41</v>
      </c>
      <c r="R392">
        <v>776.34</v>
      </c>
      <c r="S392" t="s">
        <v>80</v>
      </c>
      <c r="T392" t="s">
        <v>140</v>
      </c>
      <c r="U392" t="s">
        <v>2762</v>
      </c>
      <c r="V392" t="s">
        <v>2763</v>
      </c>
      <c r="W392">
        <v>41</v>
      </c>
      <c r="X392" t="s">
        <v>53</v>
      </c>
      <c r="Y392">
        <v>0</v>
      </c>
    </row>
    <row r="393" spans="1:25" x14ac:dyDescent="0.35">
      <c r="A393" t="s">
        <v>2764</v>
      </c>
      <c r="B393" s="1">
        <v>45362</v>
      </c>
      <c r="C393" s="1">
        <v>45367</v>
      </c>
      <c r="D393" t="s">
        <v>2765</v>
      </c>
      <c r="E393" t="s">
        <v>2766</v>
      </c>
      <c r="F393" t="s">
        <v>57</v>
      </c>
      <c r="G393" t="s">
        <v>2767</v>
      </c>
      <c r="H393" t="s">
        <v>127</v>
      </c>
      <c r="I393" t="s">
        <v>45</v>
      </c>
      <c r="J393" t="s">
        <v>118</v>
      </c>
      <c r="K393" t="s">
        <v>927</v>
      </c>
      <c r="L393" t="s">
        <v>2768</v>
      </c>
      <c r="M393">
        <v>8</v>
      </c>
      <c r="N393">
        <v>3026</v>
      </c>
      <c r="O393">
        <v>10</v>
      </c>
      <c r="P393">
        <v>22564.2</v>
      </c>
      <c r="Q393">
        <v>21787.98</v>
      </c>
      <c r="R393">
        <v>776.22</v>
      </c>
      <c r="S393" t="s">
        <v>49</v>
      </c>
      <c r="T393" t="s">
        <v>36</v>
      </c>
      <c r="U393" t="s">
        <v>2769</v>
      </c>
      <c r="V393" t="s">
        <v>2770</v>
      </c>
      <c r="W393">
        <v>18</v>
      </c>
      <c r="X393" t="s">
        <v>53</v>
      </c>
      <c r="Y393">
        <v>0</v>
      </c>
    </row>
    <row r="394" spans="1:25" x14ac:dyDescent="0.35">
      <c r="A394" t="s">
        <v>2771</v>
      </c>
      <c r="B394" s="1">
        <v>45236</v>
      </c>
      <c r="C394" s="1">
        <v>45237</v>
      </c>
      <c r="D394" t="s">
        <v>2772</v>
      </c>
      <c r="E394" t="s">
        <v>2773</v>
      </c>
      <c r="F394" t="s">
        <v>95</v>
      </c>
      <c r="G394" t="s">
        <v>2774</v>
      </c>
      <c r="H394" t="s">
        <v>107</v>
      </c>
      <c r="I394" t="s">
        <v>108</v>
      </c>
      <c r="J394" t="s">
        <v>32</v>
      </c>
      <c r="K394" t="s">
        <v>1898</v>
      </c>
      <c r="L394" t="s">
        <v>2775</v>
      </c>
      <c r="M394">
        <v>7</v>
      </c>
      <c r="N394">
        <v>3289</v>
      </c>
      <c r="O394">
        <v>20</v>
      </c>
      <c r="P394">
        <v>19195.400000000001</v>
      </c>
      <c r="Q394">
        <v>18419.169999999998</v>
      </c>
      <c r="R394">
        <v>776.23</v>
      </c>
      <c r="S394" t="s">
        <v>49</v>
      </c>
      <c r="T394" t="s">
        <v>89</v>
      </c>
      <c r="U394" t="s">
        <v>2776</v>
      </c>
      <c r="V394" t="s">
        <v>2777</v>
      </c>
      <c r="W394">
        <v>45</v>
      </c>
      <c r="X394" t="s">
        <v>53</v>
      </c>
      <c r="Y394">
        <v>0</v>
      </c>
    </row>
    <row r="395" spans="1:25" x14ac:dyDescent="0.35">
      <c r="A395" t="s">
        <v>2778</v>
      </c>
      <c r="B395" s="1">
        <v>45304</v>
      </c>
      <c r="C395" s="1">
        <v>45305</v>
      </c>
      <c r="D395" t="s">
        <v>2779</v>
      </c>
      <c r="E395" t="s">
        <v>2780</v>
      </c>
      <c r="F395" t="s">
        <v>57</v>
      </c>
      <c r="G395" t="s">
        <v>2781</v>
      </c>
      <c r="H395" t="s">
        <v>283</v>
      </c>
      <c r="I395" t="s">
        <v>45</v>
      </c>
      <c r="J395" t="s">
        <v>97</v>
      </c>
      <c r="K395" t="s">
        <v>662</v>
      </c>
      <c r="L395" t="s">
        <v>2782</v>
      </c>
      <c r="M395">
        <v>5</v>
      </c>
      <c r="N395">
        <v>2947</v>
      </c>
      <c r="O395">
        <v>20</v>
      </c>
      <c r="P395">
        <v>12565</v>
      </c>
      <c r="Q395">
        <v>11788.87</v>
      </c>
      <c r="R395">
        <v>776.13</v>
      </c>
      <c r="S395" t="s">
        <v>80</v>
      </c>
      <c r="T395" t="s">
        <v>140</v>
      </c>
      <c r="U395" t="s">
        <v>2783</v>
      </c>
      <c r="V395" t="s">
        <v>2784</v>
      </c>
      <c r="W395">
        <v>43</v>
      </c>
      <c r="X395" t="s">
        <v>53</v>
      </c>
      <c r="Y395">
        <v>0</v>
      </c>
    </row>
    <row r="396" spans="1:25" x14ac:dyDescent="0.35">
      <c r="A396" t="s">
        <v>2785</v>
      </c>
      <c r="B396" s="1">
        <v>45569</v>
      </c>
      <c r="C396" s="1">
        <v>45575</v>
      </c>
      <c r="D396" t="s">
        <v>2786</v>
      </c>
      <c r="E396" t="s">
        <v>2787</v>
      </c>
      <c r="F396" t="s">
        <v>28</v>
      </c>
      <c r="G396" t="s">
        <v>2788</v>
      </c>
      <c r="H396" t="s">
        <v>44</v>
      </c>
      <c r="I396" t="s">
        <v>45</v>
      </c>
      <c r="J396" t="s">
        <v>32</v>
      </c>
      <c r="K396" t="s">
        <v>199</v>
      </c>
      <c r="L396" t="s">
        <v>2789</v>
      </c>
      <c r="M396">
        <v>1</v>
      </c>
      <c r="N396">
        <v>509</v>
      </c>
      <c r="O396">
        <v>0</v>
      </c>
      <c r="P396">
        <v>1286</v>
      </c>
      <c r="Q396">
        <v>509.73</v>
      </c>
      <c r="R396">
        <v>776.27</v>
      </c>
      <c r="S396" t="s">
        <v>49</v>
      </c>
      <c r="T396" t="s">
        <v>140</v>
      </c>
      <c r="U396" t="s">
        <v>2790</v>
      </c>
      <c r="V396" t="s">
        <v>2791</v>
      </c>
      <c r="W396">
        <v>38</v>
      </c>
      <c r="X396" t="s">
        <v>53</v>
      </c>
      <c r="Y396">
        <v>0</v>
      </c>
    </row>
    <row r="397" spans="1:25" x14ac:dyDescent="0.35">
      <c r="A397" t="s">
        <v>2792</v>
      </c>
      <c r="B397" s="1">
        <v>45307</v>
      </c>
      <c r="C397" s="1">
        <v>45311</v>
      </c>
      <c r="D397" t="s">
        <v>471</v>
      </c>
      <c r="E397" t="s">
        <v>2793</v>
      </c>
      <c r="F397" t="s">
        <v>57</v>
      </c>
      <c r="G397" t="s">
        <v>2794</v>
      </c>
      <c r="H397" t="s">
        <v>68</v>
      </c>
      <c r="I397" t="s">
        <v>31</v>
      </c>
      <c r="J397" t="s">
        <v>118</v>
      </c>
      <c r="K397" t="s">
        <v>706</v>
      </c>
      <c r="L397" t="s">
        <v>2795</v>
      </c>
      <c r="M397">
        <v>6</v>
      </c>
      <c r="N397">
        <v>4106</v>
      </c>
      <c r="O397">
        <v>10</v>
      </c>
      <c r="P397">
        <v>22949.4</v>
      </c>
      <c r="Q397">
        <v>22173.13</v>
      </c>
      <c r="R397">
        <v>776.27</v>
      </c>
      <c r="S397" t="s">
        <v>80</v>
      </c>
      <c r="T397" t="s">
        <v>36</v>
      </c>
      <c r="U397" t="s">
        <v>2796</v>
      </c>
      <c r="V397" t="s">
        <v>2797</v>
      </c>
      <c r="W397">
        <v>44</v>
      </c>
      <c r="X397" t="s">
        <v>53</v>
      </c>
      <c r="Y397">
        <v>0</v>
      </c>
    </row>
    <row r="398" spans="1:25" x14ac:dyDescent="0.35">
      <c r="A398" t="s">
        <v>2798</v>
      </c>
      <c r="B398" s="1">
        <v>45838</v>
      </c>
      <c r="C398" s="1">
        <v>45842</v>
      </c>
      <c r="D398" t="s">
        <v>2799</v>
      </c>
      <c r="E398" t="s">
        <v>2800</v>
      </c>
      <c r="F398" t="s">
        <v>95</v>
      </c>
      <c r="G398" t="s">
        <v>2801</v>
      </c>
      <c r="H398" t="s">
        <v>172</v>
      </c>
      <c r="I398" t="s">
        <v>45</v>
      </c>
      <c r="J398" t="s">
        <v>46</v>
      </c>
      <c r="K398" t="s">
        <v>474</v>
      </c>
      <c r="L398" t="s">
        <v>2802</v>
      </c>
      <c r="M398">
        <v>10</v>
      </c>
      <c r="N398">
        <v>2709</v>
      </c>
      <c r="O398">
        <v>15</v>
      </c>
      <c r="P398">
        <v>23803.5</v>
      </c>
      <c r="Q398">
        <v>23027.19</v>
      </c>
      <c r="R398">
        <v>776.31</v>
      </c>
      <c r="S398" t="s">
        <v>49</v>
      </c>
      <c r="T398" t="s">
        <v>140</v>
      </c>
      <c r="U398" t="s">
        <v>2803</v>
      </c>
      <c r="V398" t="s">
        <v>2804</v>
      </c>
      <c r="W398">
        <v>50</v>
      </c>
      <c r="X398" t="s">
        <v>53</v>
      </c>
      <c r="Y398">
        <v>0</v>
      </c>
    </row>
    <row r="399" spans="1:25" x14ac:dyDescent="0.35">
      <c r="A399" t="s">
        <v>2805</v>
      </c>
      <c r="B399" s="1">
        <v>45951</v>
      </c>
      <c r="C399" s="1">
        <v>45952</v>
      </c>
      <c r="D399" t="s">
        <v>868</v>
      </c>
      <c r="E399" t="s">
        <v>2806</v>
      </c>
      <c r="F399" t="s">
        <v>28</v>
      </c>
      <c r="G399" t="s">
        <v>2807</v>
      </c>
      <c r="H399" t="s">
        <v>206</v>
      </c>
      <c r="I399" t="s">
        <v>31</v>
      </c>
      <c r="J399" t="s">
        <v>32</v>
      </c>
      <c r="K399" t="s">
        <v>155</v>
      </c>
      <c r="L399" t="s">
        <v>2808</v>
      </c>
      <c r="M399">
        <v>3</v>
      </c>
      <c r="N399">
        <v>1563</v>
      </c>
      <c r="O399">
        <v>20</v>
      </c>
      <c r="P399">
        <v>4528.2</v>
      </c>
      <c r="Q399">
        <v>3752.08</v>
      </c>
      <c r="R399">
        <v>776.12</v>
      </c>
      <c r="S399" t="s">
        <v>35</v>
      </c>
      <c r="T399" t="s">
        <v>50</v>
      </c>
      <c r="U399" t="s">
        <v>2809</v>
      </c>
      <c r="V399" t="s">
        <v>2810</v>
      </c>
      <c r="W399">
        <v>46</v>
      </c>
      <c r="X399" t="s">
        <v>53</v>
      </c>
      <c r="Y399">
        <v>0</v>
      </c>
    </row>
    <row r="400" spans="1:25" x14ac:dyDescent="0.35">
      <c r="A400" t="s">
        <v>2811</v>
      </c>
      <c r="B400" s="1">
        <v>45723</v>
      </c>
      <c r="C400" s="1">
        <v>45724</v>
      </c>
      <c r="D400" t="s">
        <v>2812</v>
      </c>
      <c r="E400" t="s">
        <v>2813</v>
      </c>
      <c r="F400" t="s">
        <v>57</v>
      </c>
      <c r="G400" t="s">
        <v>2814</v>
      </c>
      <c r="H400" t="s">
        <v>172</v>
      </c>
      <c r="I400" t="s">
        <v>45</v>
      </c>
      <c r="J400" t="s">
        <v>118</v>
      </c>
      <c r="K400" t="s">
        <v>69</v>
      </c>
      <c r="L400" t="s">
        <v>2815</v>
      </c>
      <c r="M400">
        <v>8</v>
      </c>
      <c r="N400">
        <v>2621</v>
      </c>
      <c r="O400">
        <v>10</v>
      </c>
      <c r="P400">
        <v>19648.2</v>
      </c>
      <c r="Q400">
        <v>18872.009999999998</v>
      </c>
      <c r="R400">
        <v>776.19</v>
      </c>
      <c r="S400" t="s">
        <v>80</v>
      </c>
      <c r="T400" t="s">
        <v>140</v>
      </c>
      <c r="U400" t="s">
        <v>2816</v>
      </c>
      <c r="V400" t="s">
        <v>2817</v>
      </c>
      <c r="W400">
        <v>5</v>
      </c>
      <c r="X400" t="s">
        <v>39</v>
      </c>
      <c r="Y400">
        <v>38</v>
      </c>
    </row>
    <row r="401" spans="1:25" x14ac:dyDescent="0.35">
      <c r="A401" t="s">
        <v>2818</v>
      </c>
      <c r="B401" s="1">
        <v>45518</v>
      </c>
      <c r="C401" s="1">
        <v>45522</v>
      </c>
      <c r="D401" t="s">
        <v>1631</v>
      </c>
      <c r="E401" t="s">
        <v>2819</v>
      </c>
      <c r="F401" t="s">
        <v>57</v>
      </c>
      <c r="G401" t="s">
        <v>2820</v>
      </c>
      <c r="H401" t="s">
        <v>189</v>
      </c>
      <c r="I401" t="s">
        <v>108</v>
      </c>
      <c r="J401" t="s">
        <v>97</v>
      </c>
      <c r="K401" t="s">
        <v>532</v>
      </c>
      <c r="L401" t="s">
        <v>2821</v>
      </c>
      <c r="M401">
        <v>7</v>
      </c>
      <c r="N401">
        <v>2279</v>
      </c>
      <c r="O401">
        <v>5</v>
      </c>
      <c r="P401">
        <v>15932.35</v>
      </c>
      <c r="Q401">
        <v>15156.17</v>
      </c>
      <c r="R401">
        <v>776.18</v>
      </c>
      <c r="S401" t="s">
        <v>49</v>
      </c>
      <c r="T401" t="s">
        <v>89</v>
      </c>
      <c r="U401" t="s">
        <v>2822</v>
      </c>
      <c r="V401" t="s">
        <v>2823</v>
      </c>
      <c r="W401">
        <v>15</v>
      </c>
      <c r="X401" t="s">
        <v>53</v>
      </c>
      <c r="Y401">
        <v>0</v>
      </c>
    </row>
    <row r="402" spans="1:25" x14ac:dyDescent="0.35">
      <c r="A402" t="s">
        <v>2824</v>
      </c>
      <c r="B402" s="1">
        <v>45309</v>
      </c>
      <c r="C402" s="1">
        <v>45316</v>
      </c>
      <c r="D402" t="s">
        <v>1315</v>
      </c>
      <c r="E402" t="s">
        <v>2825</v>
      </c>
      <c r="F402" t="s">
        <v>28</v>
      </c>
      <c r="G402" t="s">
        <v>2826</v>
      </c>
      <c r="H402" t="s">
        <v>163</v>
      </c>
      <c r="I402" t="s">
        <v>108</v>
      </c>
      <c r="J402" t="s">
        <v>118</v>
      </c>
      <c r="K402" t="s">
        <v>524</v>
      </c>
      <c r="L402" t="s">
        <v>2827</v>
      </c>
      <c r="M402">
        <v>9</v>
      </c>
      <c r="N402">
        <v>3921</v>
      </c>
      <c r="O402">
        <v>20</v>
      </c>
      <c r="P402">
        <v>29008.2</v>
      </c>
      <c r="Q402">
        <v>28231.95</v>
      </c>
      <c r="R402">
        <v>776.25</v>
      </c>
      <c r="S402" t="s">
        <v>80</v>
      </c>
      <c r="T402" t="s">
        <v>89</v>
      </c>
      <c r="U402" t="s">
        <v>2828</v>
      </c>
      <c r="V402" t="s">
        <v>2829</v>
      </c>
      <c r="W402">
        <v>44</v>
      </c>
      <c r="X402" t="s">
        <v>53</v>
      </c>
      <c r="Y402">
        <v>0</v>
      </c>
    </row>
    <row r="403" spans="1:25" x14ac:dyDescent="0.35">
      <c r="A403" t="s">
        <v>2830</v>
      </c>
      <c r="B403" s="1">
        <v>45787</v>
      </c>
      <c r="C403" s="1">
        <v>45790</v>
      </c>
      <c r="D403" t="s">
        <v>2831</v>
      </c>
      <c r="E403" t="s">
        <v>2832</v>
      </c>
      <c r="F403" t="s">
        <v>28</v>
      </c>
      <c r="G403" t="s">
        <v>2833</v>
      </c>
      <c r="H403" t="s">
        <v>77</v>
      </c>
      <c r="I403" t="s">
        <v>45</v>
      </c>
      <c r="J403" t="s">
        <v>46</v>
      </c>
      <c r="K403" t="s">
        <v>1275</v>
      </c>
      <c r="L403" t="s">
        <v>2834</v>
      </c>
      <c r="M403">
        <v>6</v>
      </c>
      <c r="N403">
        <v>3178</v>
      </c>
      <c r="O403">
        <v>0</v>
      </c>
      <c r="P403">
        <v>19845</v>
      </c>
      <c r="Q403">
        <v>19068.759999999998</v>
      </c>
      <c r="R403">
        <v>776.24</v>
      </c>
      <c r="S403" t="s">
        <v>80</v>
      </c>
      <c r="T403" t="s">
        <v>89</v>
      </c>
      <c r="U403" t="s">
        <v>2835</v>
      </c>
      <c r="V403" t="s">
        <v>2836</v>
      </c>
      <c r="W403">
        <v>37</v>
      </c>
      <c r="X403" t="s">
        <v>53</v>
      </c>
      <c r="Y403">
        <v>0</v>
      </c>
    </row>
    <row r="404" spans="1:25" x14ac:dyDescent="0.35">
      <c r="A404" t="s">
        <v>2837</v>
      </c>
      <c r="B404" s="1">
        <v>45643</v>
      </c>
      <c r="C404" s="1">
        <v>45650</v>
      </c>
      <c r="D404" t="s">
        <v>2838</v>
      </c>
      <c r="E404" t="s">
        <v>2839</v>
      </c>
      <c r="F404" t="s">
        <v>28</v>
      </c>
      <c r="G404" t="s">
        <v>2840</v>
      </c>
      <c r="H404" t="s">
        <v>198</v>
      </c>
      <c r="I404" t="s">
        <v>31</v>
      </c>
      <c r="J404" t="s">
        <v>32</v>
      </c>
      <c r="K404" t="s">
        <v>119</v>
      </c>
      <c r="L404" t="s">
        <v>2841</v>
      </c>
      <c r="M404">
        <v>7</v>
      </c>
      <c r="N404">
        <v>2951</v>
      </c>
      <c r="O404">
        <v>0</v>
      </c>
      <c r="P404">
        <v>21434</v>
      </c>
      <c r="Q404">
        <v>20657.73</v>
      </c>
      <c r="R404">
        <v>776.27</v>
      </c>
      <c r="S404" t="s">
        <v>35</v>
      </c>
      <c r="T404" t="s">
        <v>140</v>
      </c>
      <c r="U404" t="s">
        <v>2842</v>
      </c>
      <c r="V404" t="s">
        <v>2843</v>
      </c>
      <c r="W404">
        <v>33</v>
      </c>
      <c r="X404" t="s">
        <v>53</v>
      </c>
      <c r="Y404">
        <v>0</v>
      </c>
    </row>
    <row r="405" spans="1:25" x14ac:dyDescent="0.35">
      <c r="A405" t="s">
        <v>2844</v>
      </c>
      <c r="B405" s="1">
        <v>45265</v>
      </c>
      <c r="C405" s="1">
        <v>45272</v>
      </c>
      <c r="D405" t="s">
        <v>2845</v>
      </c>
      <c r="E405" t="s">
        <v>2846</v>
      </c>
      <c r="F405" t="s">
        <v>57</v>
      </c>
      <c r="G405" t="s">
        <v>2847</v>
      </c>
      <c r="H405" t="s">
        <v>172</v>
      </c>
      <c r="I405" t="s">
        <v>45</v>
      </c>
      <c r="J405" t="s">
        <v>32</v>
      </c>
      <c r="K405" t="s">
        <v>992</v>
      </c>
      <c r="L405" t="s">
        <v>2848</v>
      </c>
      <c r="M405">
        <v>6</v>
      </c>
      <c r="N405">
        <v>2735</v>
      </c>
      <c r="O405">
        <v>0</v>
      </c>
      <c r="P405">
        <v>17187</v>
      </c>
      <c r="Q405">
        <v>16410.71</v>
      </c>
      <c r="R405">
        <v>776.29</v>
      </c>
      <c r="S405" t="s">
        <v>100</v>
      </c>
      <c r="T405" t="s">
        <v>89</v>
      </c>
      <c r="U405" t="s">
        <v>2849</v>
      </c>
      <c r="V405" t="s">
        <v>2850</v>
      </c>
      <c r="W405">
        <v>47</v>
      </c>
      <c r="X405" t="s">
        <v>53</v>
      </c>
      <c r="Y405">
        <v>0</v>
      </c>
    </row>
    <row r="406" spans="1:25" x14ac:dyDescent="0.35">
      <c r="A406" t="s">
        <v>2851</v>
      </c>
      <c r="B406" s="1">
        <v>45903</v>
      </c>
      <c r="C406" s="1">
        <v>45908</v>
      </c>
      <c r="D406" t="s">
        <v>2852</v>
      </c>
      <c r="E406" t="s">
        <v>2853</v>
      </c>
      <c r="F406" t="s">
        <v>57</v>
      </c>
      <c r="G406" t="s">
        <v>2854</v>
      </c>
      <c r="H406" t="s">
        <v>364</v>
      </c>
      <c r="I406" t="s">
        <v>137</v>
      </c>
      <c r="J406" t="s">
        <v>118</v>
      </c>
      <c r="K406" t="s">
        <v>98</v>
      </c>
      <c r="L406" t="s">
        <v>2855</v>
      </c>
      <c r="M406">
        <v>2</v>
      </c>
      <c r="N406">
        <v>790</v>
      </c>
      <c r="O406">
        <v>5</v>
      </c>
      <c r="P406">
        <v>2278</v>
      </c>
      <c r="Q406">
        <v>1501.84</v>
      </c>
      <c r="R406">
        <v>776.16</v>
      </c>
      <c r="S406" t="s">
        <v>80</v>
      </c>
      <c r="T406" t="s">
        <v>50</v>
      </c>
      <c r="U406" t="s">
        <v>2856</v>
      </c>
      <c r="V406" t="s">
        <v>2857</v>
      </c>
      <c r="W406">
        <v>28</v>
      </c>
      <c r="X406" t="s">
        <v>53</v>
      </c>
      <c r="Y406">
        <v>0</v>
      </c>
    </row>
    <row r="407" spans="1:25" x14ac:dyDescent="0.35">
      <c r="A407" t="s">
        <v>2858</v>
      </c>
      <c r="B407" s="1">
        <v>45791</v>
      </c>
      <c r="C407" s="1">
        <v>45794</v>
      </c>
      <c r="D407" t="s">
        <v>1287</v>
      </c>
      <c r="E407" t="s">
        <v>2859</v>
      </c>
      <c r="F407" t="s">
        <v>57</v>
      </c>
      <c r="G407" t="s">
        <v>2860</v>
      </c>
      <c r="H407" t="s">
        <v>163</v>
      </c>
      <c r="I407" t="s">
        <v>108</v>
      </c>
      <c r="J407" t="s">
        <v>97</v>
      </c>
      <c r="K407" t="s">
        <v>992</v>
      </c>
      <c r="L407" t="s">
        <v>2861</v>
      </c>
      <c r="M407">
        <v>8</v>
      </c>
      <c r="N407">
        <v>4693</v>
      </c>
      <c r="O407">
        <v>5</v>
      </c>
      <c r="P407">
        <v>36443.800000000003</v>
      </c>
      <c r="Q407">
        <v>35667.43</v>
      </c>
      <c r="R407">
        <v>776.37</v>
      </c>
      <c r="S407" t="s">
        <v>49</v>
      </c>
      <c r="T407" t="s">
        <v>140</v>
      </c>
      <c r="U407" t="s">
        <v>2862</v>
      </c>
      <c r="V407" t="s">
        <v>2863</v>
      </c>
      <c r="W407">
        <v>37</v>
      </c>
      <c r="X407" t="s">
        <v>53</v>
      </c>
      <c r="Y407">
        <v>0</v>
      </c>
    </row>
    <row r="408" spans="1:25" x14ac:dyDescent="0.35">
      <c r="A408" t="s">
        <v>2864</v>
      </c>
      <c r="B408" s="1">
        <v>45762</v>
      </c>
      <c r="C408" s="1">
        <v>45765</v>
      </c>
      <c r="D408" t="s">
        <v>897</v>
      </c>
      <c r="E408" t="s">
        <v>2865</v>
      </c>
      <c r="F408" t="s">
        <v>95</v>
      </c>
      <c r="G408" t="s">
        <v>2866</v>
      </c>
      <c r="H408" t="s">
        <v>163</v>
      </c>
      <c r="I408" t="s">
        <v>108</v>
      </c>
      <c r="J408" t="s">
        <v>118</v>
      </c>
      <c r="K408" t="s">
        <v>547</v>
      </c>
      <c r="L408" t="s">
        <v>2867</v>
      </c>
      <c r="M408">
        <v>2</v>
      </c>
      <c r="N408">
        <v>3068</v>
      </c>
      <c r="O408">
        <v>15</v>
      </c>
      <c r="P408">
        <v>5992.6</v>
      </c>
      <c r="Q408">
        <v>5216.25</v>
      </c>
      <c r="R408">
        <v>776.35</v>
      </c>
      <c r="S408" t="s">
        <v>49</v>
      </c>
      <c r="T408" t="s">
        <v>36</v>
      </c>
      <c r="U408" t="s">
        <v>2868</v>
      </c>
      <c r="V408" t="s">
        <v>2869</v>
      </c>
      <c r="W408">
        <v>41</v>
      </c>
      <c r="X408" t="s">
        <v>53</v>
      </c>
      <c r="Y408">
        <v>0</v>
      </c>
    </row>
    <row r="409" spans="1:25" x14ac:dyDescent="0.35">
      <c r="A409" t="s">
        <v>2870</v>
      </c>
      <c r="B409" s="1">
        <v>45458</v>
      </c>
      <c r="C409" s="1">
        <v>45460</v>
      </c>
      <c r="D409" t="s">
        <v>2871</v>
      </c>
      <c r="E409" t="s">
        <v>2872</v>
      </c>
      <c r="F409" t="s">
        <v>95</v>
      </c>
      <c r="G409" t="s">
        <v>2873</v>
      </c>
      <c r="H409" t="s">
        <v>154</v>
      </c>
      <c r="I409" t="s">
        <v>137</v>
      </c>
      <c r="J409" t="s">
        <v>118</v>
      </c>
      <c r="K409" t="s">
        <v>524</v>
      </c>
      <c r="L409" t="s">
        <v>2874</v>
      </c>
      <c r="M409">
        <v>2</v>
      </c>
      <c r="N409">
        <v>4422</v>
      </c>
      <c r="O409">
        <v>15</v>
      </c>
      <c r="P409">
        <v>8294.4</v>
      </c>
      <c r="Q409">
        <v>7518.12</v>
      </c>
      <c r="R409">
        <v>776.28</v>
      </c>
      <c r="S409" t="s">
        <v>35</v>
      </c>
      <c r="T409" t="s">
        <v>36</v>
      </c>
      <c r="U409" t="s">
        <v>2875</v>
      </c>
      <c r="V409" t="s">
        <v>2876</v>
      </c>
      <c r="W409">
        <v>6</v>
      </c>
      <c r="X409" t="s">
        <v>39</v>
      </c>
      <c r="Y409">
        <v>38</v>
      </c>
    </row>
    <row r="410" spans="1:25" x14ac:dyDescent="0.35">
      <c r="A410" t="s">
        <v>2877</v>
      </c>
      <c r="B410" s="1">
        <v>45787</v>
      </c>
      <c r="C410" s="1">
        <v>45790</v>
      </c>
      <c r="D410" t="s">
        <v>2144</v>
      </c>
      <c r="E410" t="s">
        <v>2878</v>
      </c>
      <c r="F410" t="s">
        <v>28</v>
      </c>
      <c r="G410" t="s">
        <v>2879</v>
      </c>
      <c r="H410" t="s">
        <v>77</v>
      </c>
      <c r="I410" t="s">
        <v>45</v>
      </c>
      <c r="J410" t="s">
        <v>32</v>
      </c>
      <c r="K410" t="s">
        <v>1898</v>
      </c>
      <c r="L410" t="s">
        <v>2880</v>
      </c>
      <c r="M410">
        <v>9</v>
      </c>
      <c r="N410">
        <v>3937</v>
      </c>
      <c r="O410">
        <v>15</v>
      </c>
      <c r="P410">
        <v>30895.05</v>
      </c>
      <c r="Q410">
        <v>30118.92</v>
      </c>
      <c r="R410">
        <v>776.13</v>
      </c>
      <c r="S410" t="s">
        <v>35</v>
      </c>
      <c r="T410" t="s">
        <v>140</v>
      </c>
      <c r="U410" t="s">
        <v>2881</v>
      </c>
      <c r="V410" t="s">
        <v>2882</v>
      </c>
      <c r="W410">
        <v>22</v>
      </c>
      <c r="X410" t="s">
        <v>53</v>
      </c>
      <c r="Y410">
        <v>0</v>
      </c>
    </row>
    <row r="411" spans="1:25" x14ac:dyDescent="0.35">
      <c r="A411" t="s">
        <v>2883</v>
      </c>
      <c r="B411" s="1">
        <v>45550</v>
      </c>
      <c r="C411" s="1">
        <v>45553</v>
      </c>
      <c r="D411" t="s">
        <v>2318</v>
      </c>
      <c r="E411" t="s">
        <v>2884</v>
      </c>
      <c r="F411" t="s">
        <v>28</v>
      </c>
      <c r="G411" t="s">
        <v>870</v>
      </c>
      <c r="H411" t="s">
        <v>189</v>
      </c>
      <c r="I411" t="s">
        <v>108</v>
      </c>
      <c r="J411" t="s">
        <v>32</v>
      </c>
      <c r="K411" t="s">
        <v>1275</v>
      </c>
      <c r="L411" t="s">
        <v>2885</v>
      </c>
      <c r="M411">
        <v>2</v>
      </c>
      <c r="N411">
        <v>3619</v>
      </c>
      <c r="O411">
        <v>20</v>
      </c>
      <c r="P411">
        <v>6567.4</v>
      </c>
      <c r="Q411">
        <v>5791.26</v>
      </c>
      <c r="R411">
        <v>776.14</v>
      </c>
      <c r="S411" t="s">
        <v>80</v>
      </c>
      <c r="T411" t="s">
        <v>140</v>
      </c>
      <c r="U411" t="s">
        <v>2886</v>
      </c>
      <c r="V411" t="s">
        <v>2887</v>
      </c>
      <c r="W411">
        <v>43</v>
      </c>
      <c r="X411" t="s">
        <v>53</v>
      </c>
      <c r="Y411">
        <v>0</v>
      </c>
    </row>
    <row r="412" spans="1:25" x14ac:dyDescent="0.35">
      <c r="A412" t="s">
        <v>2888</v>
      </c>
      <c r="B412" s="1">
        <v>45543</v>
      </c>
      <c r="C412" s="1">
        <v>45547</v>
      </c>
      <c r="D412" t="s">
        <v>2889</v>
      </c>
      <c r="E412" t="s">
        <v>2890</v>
      </c>
      <c r="F412" t="s">
        <v>57</v>
      </c>
      <c r="G412" t="s">
        <v>2891</v>
      </c>
      <c r="H412" t="s">
        <v>334</v>
      </c>
      <c r="I412" t="s">
        <v>108</v>
      </c>
      <c r="J412" t="s">
        <v>97</v>
      </c>
      <c r="K412" t="s">
        <v>970</v>
      </c>
      <c r="L412" t="s">
        <v>2892</v>
      </c>
      <c r="M412">
        <v>7</v>
      </c>
      <c r="N412">
        <v>1347</v>
      </c>
      <c r="O412">
        <v>0</v>
      </c>
      <c r="P412">
        <v>10206</v>
      </c>
      <c r="Q412">
        <v>9429.7099999999991</v>
      </c>
      <c r="R412">
        <v>776.29</v>
      </c>
      <c r="S412" t="s">
        <v>49</v>
      </c>
      <c r="T412" t="s">
        <v>140</v>
      </c>
      <c r="U412" t="s">
        <v>2893</v>
      </c>
      <c r="V412" t="s">
        <v>2894</v>
      </c>
      <c r="W412">
        <v>46</v>
      </c>
      <c r="X412" t="s">
        <v>53</v>
      </c>
      <c r="Y412">
        <v>0</v>
      </c>
    </row>
    <row r="413" spans="1:25" x14ac:dyDescent="0.35">
      <c r="A413" t="s">
        <v>2895</v>
      </c>
      <c r="B413" s="1">
        <v>45679</v>
      </c>
      <c r="C413" s="1">
        <v>45682</v>
      </c>
      <c r="D413" t="s">
        <v>1357</v>
      </c>
      <c r="E413" t="s">
        <v>2896</v>
      </c>
      <c r="F413" t="s">
        <v>28</v>
      </c>
      <c r="G413" t="s">
        <v>2897</v>
      </c>
      <c r="H413" t="s">
        <v>206</v>
      </c>
      <c r="I413" t="s">
        <v>31</v>
      </c>
      <c r="J413" t="s">
        <v>46</v>
      </c>
      <c r="K413" t="s">
        <v>349</v>
      </c>
      <c r="L413" t="s">
        <v>2898</v>
      </c>
      <c r="M413">
        <v>5</v>
      </c>
      <c r="N413">
        <v>3375</v>
      </c>
      <c r="O413">
        <v>0</v>
      </c>
      <c r="P413">
        <v>17652</v>
      </c>
      <c r="Q413">
        <v>16875.75</v>
      </c>
      <c r="R413">
        <v>776.25</v>
      </c>
      <c r="S413" t="s">
        <v>100</v>
      </c>
      <c r="T413" t="s">
        <v>89</v>
      </c>
      <c r="U413" t="s">
        <v>2899</v>
      </c>
      <c r="V413" t="s">
        <v>2900</v>
      </c>
      <c r="W413">
        <v>21</v>
      </c>
      <c r="X413" t="s">
        <v>53</v>
      </c>
      <c r="Y413">
        <v>0</v>
      </c>
    </row>
    <row r="414" spans="1:25" x14ac:dyDescent="0.35">
      <c r="A414" t="s">
        <v>2901</v>
      </c>
      <c r="B414" s="1">
        <v>45700</v>
      </c>
      <c r="C414" s="1">
        <v>45701</v>
      </c>
      <c r="D414" t="s">
        <v>868</v>
      </c>
      <c r="E414" t="s">
        <v>2902</v>
      </c>
      <c r="F414" t="s">
        <v>57</v>
      </c>
      <c r="G414" t="s">
        <v>2903</v>
      </c>
      <c r="H414" t="s">
        <v>283</v>
      </c>
      <c r="I414" t="s">
        <v>45</v>
      </c>
      <c r="J414" t="s">
        <v>46</v>
      </c>
      <c r="K414" t="s">
        <v>691</v>
      </c>
      <c r="L414" t="s">
        <v>2904</v>
      </c>
      <c r="M414">
        <v>1</v>
      </c>
      <c r="N414">
        <v>771</v>
      </c>
      <c r="O414">
        <v>0</v>
      </c>
      <c r="P414">
        <v>1548</v>
      </c>
      <c r="Q414">
        <v>771.79</v>
      </c>
      <c r="R414">
        <v>776.21</v>
      </c>
      <c r="S414" t="s">
        <v>49</v>
      </c>
      <c r="T414" t="s">
        <v>140</v>
      </c>
      <c r="U414" t="s">
        <v>2905</v>
      </c>
      <c r="V414" t="s">
        <v>2906</v>
      </c>
      <c r="W414">
        <v>47</v>
      </c>
      <c r="X414" t="s">
        <v>53</v>
      </c>
      <c r="Y414">
        <v>0</v>
      </c>
    </row>
    <row r="415" spans="1:25" x14ac:dyDescent="0.35">
      <c r="A415" t="s">
        <v>2907</v>
      </c>
      <c r="B415" s="1">
        <v>45965</v>
      </c>
      <c r="C415" s="1">
        <v>45969</v>
      </c>
      <c r="D415" t="s">
        <v>1971</v>
      </c>
      <c r="E415" t="s">
        <v>2908</v>
      </c>
      <c r="F415" t="s">
        <v>95</v>
      </c>
      <c r="G415" t="s">
        <v>2909</v>
      </c>
      <c r="H415" t="s">
        <v>136</v>
      </c>
      <c r="I415" t="s">
        <v>137</v>
      </c>
      <c r="J415" t="s">
        <v>118</v>
      </c>
      <c r="K415" t="s">
        <v>662</v>
      </c>
      <c r="L415" t="s">
        <v>2910</v>
      </c>
      <c r="M415">
        <v>9</v>
      </c>
      <c r="N415">
        <v>552</v>
      </c>
      <c r="O415">
        <v>10</v>
      </c>
      <c r="P415">
        <v>5248.2</v>
      </c>
      <c r="Q415">
        <v>4471.95</v>
      </c>
      <c r="R415">
        <v>776.25</v>
      </c>
      <c r="S415" t="s">
        <v>35</v>
      </c>
      <c r="T415" t="s">
        <v>89</v>
      </c>
      <c r="U415" t="s">
        <v>2911</v>
      </c>
      <c r="V415" t="s">
        <v>2912</v>
      </c>
      <c r="W415">
        <v>28</v>
      </c>
      <c r="X415" t="s">
        <v>53</v>
      </c>
      <c r="Y415">
        <v>0</v>
      </c>
    </row>
    <row r="416" spans="1:25" x14ac:dyDescent="0.35">
      <c r="A416" t="s">
        <v>2913</v>
      </c>
      <c r="B416" s="1">
        <v>45315</v>
      </c>
      <c r="C416" s="1">
        <v>45318</v>
      </c>
      <c r="D416" t="s">
        <v>1384</v>
      </c>
      <c r="E416" t="s">
        <v>2914</v>
      </c>
      <c r="F416" t="s">
        <v>95</v>
      </c>
      <c r="G416" t="s">
        <v>2915</v>
      </c>
      <c r="H416" t="s">
        <v>230</v>
      </c>
      <c r="I416" t="s">
        <v>137</v>
      </c>
      <c r="J416" t="s">
        <v>32</v>
      </c>
      <c r="K416" t="s">
        <v>207</v>
      </c>
      <c r="L416" t="s">
        <v>2916</v>
      </c>
      <c r="M416">
        <v>9</v>
      </c>
      <c r="N416">
        <v>3739</v>
      </c>
      <c r="O416">
        <v>5</v>
      </c>
      <c r="P416">
        <v>32745.45</v>
      </c>
      <c r="Q416">
        <v>31969.32</v>
      </c>
      <c r="R416">
        <v>776.13</v>
      </c>
      <c r="S416" t="s">
        <v>80</v>
      </c>
      <c r="T416" t="s">
        <v>50</v>
      </c>
      <c r="U416" t="s">
        <v>2917</v>
      </c>
      <c r="V416" t="s">
        <v>2918</v>
      </c>
      <c r="W416">
        <v>8</v>
      </c>
      <c r="X416" t="s">
        <v>39</v>
      </c>
      <c r="Y416">
        <v>42</v>
      </c>
    </row>
    <row r="417" spans="1:25" x14ac:dyDescent="0.35">
      <c r="A417" t="s">
        <v>2919</v>
      </c>
      <c r="B417" s="1">
        <v>45386</v>
      </c>
      <c r="C417" s="1">
        <v>45391</v>
      </c>
      <c r="D417" t="s">
        <v>2920</v>
      </c>
      <c r="E417" t="s">
        <v>961</v>
      </c>
      <c r="F417" t="s">
        <v>57</v>
      </c>
      <c r="G417" t="s">
        <v>2921</v>
      </c>
      <c r="H417" t="s">
        <v>189</v>
      </c>
      <c r="I417" t="s">
        <v>108</v>
      </c>
      <c r="J417" t="s">
        <v>97</v>
      </c>
      <c r="K417" t="s">
        <v>562</v>
      </c>
      <c r="L417" t="s">
        <v>2922</v>
      </c>
      <c r="M417">
        <v>3</v>
      </c>
      <c r="N417">
        <v>2775</v>
      </c>
      <c r="O417">
        <v>0</v>
      </c>
      <c r="P417">
        <v>9102</v>
      </c>
      <c r="Q417">
        <v>8325.7900000000009</v>
      </c>
      <c r="R417">
        <v>776.21</v>
      </c>
      <c r="S417" t="s">
        <v>80</v>
      </c>
      <c r="T417" t="s">
        <v>89</v>
      </c>
      <c r="U417" t="s">
        <v>2923</v>
      </c>
      <c r="V417" t="s">
        <v>2924</v>
      </c>
      <c r="W417">
        <v>39</v>
      </c>
      <c r="X417" t="s">
        <v>53</v>
      </c>
      <c r="Y417">
        <v>0</v>
      </c>
    </row>
    <row r="418" spans="1:25" x14ac:dyDescent="0.35">
      <c r="A418" t="s">
        <v>2925</v>
      </c>
      <c r="B418" s="1">
        <v>45508</v>
      </c>
      <c r="C418" s="1">
        <v>45512</v>
      </c>
      <c r="D418" t="s">
        <v>2926</v>
      </c>
      <c r="E418" t="s">
        <v>2927</v>
      </c>
      <c r="F418" t="s">
        <v>28</v>
      </c>
      <c r="G418" t="s">
        <v>2928</v>
      </c>
      <c r="H418" t="s">
        <v>198</v>
      </c>
      <c r="I418" t="s">
        <v>31</v>
      </c>
      <c r="J418" t="s">
        <v>97</v>
      </c>
      <c r="K418" t="s">
        <v>547</v>
      </c>
      <c r="L418" t="s">
        <v>2929</v>
      </c>
      <c r="M418">
        <v>6</v>
      </c>
      <c r="N418">
        <v>1125</v>
      </c>
      <c r="O418">
        <v>5</v>
      </c>
      <c r="P418">
        <v>7189.5</v>
      </c>
      <c r="Q418">
        <v>6413.13</v>
      </c>
      <c r="R418">
        <v>776.37</v>
      </c>
      <c r="S418" t="s">
        <v>80</v>
      </c>
      <c r="T418" t="s">
        <v>140</v>
      </c>
      <c r="U418" t="s">
        <v>2930</v>
      </c>
      <c r="V418" t="s">
        <v>2931</v>
      </c>
      <c r="W418">
        <v>28</v>
      </c>
      <c r="X418" t="s">
        <v>53</v>
      </c>
      <c r="Y418">
        <v>0</v>
      </c>
    </row>
    <row r="419" spans="1:25" x14ac:dyDescent="0.35">
      <c r="A419" t="s">
        <v>2932</v>
      </c>
      <c r="B419" s="1">
        <v>45639</v>
      </c>
      <c r="C419" s="1">
        <v>45640</v>
      </c>
      <c r="D419" t="s">
        <v>2933</v>
      </c>
      <c r="E419" t="s">
        <v>2934</v>
      </c>
      <c r="F419" t="s">
        <v>95</v>
      </c>
      <c r="G419" t="s">
        <v>2935</v>
      </c>
      <c r="H419" t="s">
        <v>107</v>
      </c>
      <c r="I419" t="s">
        <v>108</v>
      </c>
      <c r="J419" t="s">
        <v>97</v>
      </c>
      <c r="K419" t="s">
        <v>714</v>
      </c>
      <c r="L419" t="s">
        <v>2936</v>
      </c>
      <c r="M419">
        <v>4</v>
      </c>
      <c r="N419">
        <v>1137</v>
      </c>
      <c r="O419">
        <v>15</v>
      </c>
      <c r="P419">
        <v>4642.8</v>
      </c>
      <c r="Q419">
        <v>3866.43</v>
      </c>
      <c r="R419">
        <v>776.37</v>
      </c>
      <c r="S419" t="s">
        <v>80</v>
      </c>
      <c r="T419" t="s">
        <v>89</v>
      </c>
      <c r="U419" t="s">
        <v>2937</v>
      </c>
      <c r="V419" t="s">
        <v>2938</v>
      </c>
      <c r="W419">
        <v>20</v>
      </c>
      <c r="X419" t="s">
        <v>53</v>
      </c>
      <c r="Y419">
        <v>0</v>
      </c>
    </row>
    <row r="420" spans="1:25" x14ac:dyDescent="0.35">
      <c r="A420" t="s">
        <v>2939</v>
      </c>
      <c r="B420" s="1">
        <v>45695</v>
      </c>
      <c r="C420" s="1">
        <v>45698</v>
      </c>
      <c r="D420" t="s">
        <v>1272</v>
      </c>
      <c r="E420" t="s">
        <v>2940</v>
      </c>
      <c r="F420" t="s">
        <v>28</v>
      </c>
      <c r="G420" t="s">
        <v>2941</v>
      </c>
      <c r="H420" t="s">
        <v>364</v>
      </c>
      <c r="I420" t="s">
        <v>137</v>
      </c>
      <c r="J420" t="s">
        <v>32</v>
      </c>
      <c r="K420" t="s">
        <v>128</v>
      </c>
      <c r="L420" t="s">
        <v>2942</v>
      </c>
      <c r="M420">
        <v>7</v>
      </c>
      <c r="N420">
        <v>1169</v>
      </c>
      <c r="O420">
        <v>20</v>
      </c>
      <c r="P420">
        <v>7323.4</v>
      </c>
      <c r="Q420">
        <v>6547.07</v>
      </c>
      <c r="R420">
        <v>776.33</v>
      </c>
      <c r="S420" t="s">
        <v>80</v>
      </c>
      <c r="T420" t="s">
        <v>89</v>
      </c>
      <c r="U420" t="s">
        <v>2943</v>
      </c>
      <c r="V420" t="s">
        <v>2944</v>
      </c>
      <c r="W420">
        <v>42</v>
      </c>
      <c r="X420" t="s">
        <v>53</v>
      </c>
      <c r="Y420">
        <v>0</v>
      </c>
    </row>
    <row r="421" spans="1:25" x14ac:dyDescent="0.35">
      <c r="A421" t="s">
        <v>2945</v>
      </c>
      <c r="B421" s="1">
        <v>45571</v>
      </c>
      <c r="C421" s="1">
        <v>45575</v>
      </c>
      <c r="D421" t="s">
        <v>2946</v>
      </c>
      <c r="E421" t="s">
        <v>2947</v>
      </c>
      <c r="F421" t="s">
        <v>57</v>
      </c>
      <c r="G421" t="s">
        <v>2948</v>
      </c>
      <c r="H421" t="s">
        <v>334</v>
      </c>
      <c r="I421" t="s">
        <v>108</v>
      </c>
      <c r="J421" t="s">
        <v>32</v>
      </c>
      <c r="K421" t="s">
        <v>1898</v>
      </c>
      <c r="L421" t="s">
        <v>2949</v>
      </c>
      <c r="M421">
        <v>6</v>
      </c>
      <c r="N421">
        <v>4828</v>
      </c>
      <c r="O421">
        <v>15</v>
      </c>
      <c r="P421">
        <v>25399.8</v>
      </c>
      <c r="Q421">
        <v>24623.65</v>
      </c>
      <c r="R421">
        <v>776.15</v>
      </c>
      <c r="S421" t="s">
        <v>49</v>
      </c>
      <c r="T421" t="s">
        <v>36</v>
      </c>
      <c r="U421" t="s">
        <v>2950</v>
      </c>
      <c r="V421" t="s">
        <v>2951</v>
      </c>
      <c r="W421">
        <v>28</v>
      </c>
      <c r="X421" t="s">
        <v>53</v>
      </c>
      <c r="Y421">
        <v>0</v>
      </c>
    </row>
    <row r="422" spans="1:25" x14ac:dyDescent="0.35">
      <c r="A422" t="s">
        <v>2952</v>
      </c>
      <c r="B422" s="1">
        <v>45574</v>
      </c>
      <c r="C422" s="1">
        <v>45579</v>
      </c>
      <c r="D422" t="s">
        <v>2050</v>
      </c>
      <c r="E422" t="s">
        <v>2953</v>
      </c>
      <c r="F422" t="s">
        <v>95</v>
      </c>
      <c r="G422" t="s">
        <v>2954</v>
      </c>
      <c r="H422" t="s">
        <v>68</v>
      </c>
      <c r="I422" t="s">
        <v>31</v>
      </c>
      <c r="J422" t="s">
        <v>32</v>
      </c>
      <c r="K422" t="s">
        <v>482</v>
      </c>
      <c r="L422" t="s">
        <v>2955</v>
      </c>
      <c r="M422">
        <v>2</v>
      </c>
      <c r="N422">
        <v>4141</v>
      </c>
      <c r="O422">
        <v>15</v>
      </c>
      <c r="P422">
        <v>7816.7</v>
      </c>
      <c r="Q422">
        <v>7040.58</v>
      </c>
      <c r="R422">
        <v>776.12</v>
      </c>
      <c r="S422" t="s">
        <v>35</v>
      </c>
      <c r="T422" t="s">
        <v>36</v>
      </c>
      <c r="U422" t="s">
        <v>2956</v>
      </c>
      <c r="V422" t="s">
        <v>2957</v>
      </c>
      <c r="W422">
        <v>34</v>
      </c>
      <c r="X422" t="s">
        <v>53</v>
      </c>
      <c r="Y422">
        <v>0</v>
      </c>
    </row>
    <row r="423" spans="1:25" x14ac:dyDescent="0.35">
      <c r="A423" t="s">
        <v>2958</v>
      </c>
      <c r="B423" s="1">
        <v>45419</v>
      </c>
      <c r="C423" s="1">
        <v>45424</v>
      </c>
      <c r="D423" t="s">
        <v>1903</v>
      </c>
      <c r="E423" t="s">
        <v>2959</v>
      </c>
      <c r="F423" t="s">
        <v>95</v>
      </c>
      <c r="G423" t="s">
        <v>2960</v>
      </c>
      <c r="H423" t="s">
        <v>77</v>
      </c>
      <c r="I423" t="s">
        <v>45</v>
      </c>
      <c r="J423" t="s">
        <v>97</v>
      </c>
      <c r="K423" t="s">
        <v>128</v>
      </c>
      <c r="L423" t="s">
        <v>2961</v>
      </c>
      <c r="M423">
        <v>5</v>
      </c>
      <c r="N423">
        <v>816</v>
      </c>
      <c r="O423">
        <v>15</v>
      </c>
      <c r="P423">
        <v>4245</v>
      </c>
      <c r="Q423">
        <v>3468.84</v>
      </c>
      <c r="R423">
        <v>776.16</v>
      </c>
      <c r="S423" t="s">
        <v>100</v>
      </c>
      <c r="T423" t="s">
        <v>140</v>
      </c>
      <c r="U423" t="s">
        <v>2962</v>
      </c>
      <c r="V423" t="s">
        <v>2963</v>
      </c>
      <c r="W423">
        <v>27</v>
      </c>
      <c r="X423" t="s">
        <v>53</v>
      </c>
      <c r="Y423">
        <v>0</v>
      </c>
    </row>
    <row r="424" spans="1:25" x14ac:dyDescent="0.35">
      <c r="A424" t="s">
        <v>2964</v>
      </c>
      <c r="B424" s="1">
        <v>45928</v>
      </c>
      <c r="C424" s="1">
        <v>45930</v>
      </c>
      <c r="D424" t="s">
        <v>2965</v>
      </c>
      <c r="E424" t="s">
        <v>2966</v>
      </c>
      <c r="F424" t="s">
        <v>95</v>
      </c>
      <c r="G424" t="s">
        <v>2967</v>
      </c>
      <c r="H424" t="s">
        <v>68</v>
      </c>
      <c r="I424" t="s">
        <v>31</v>
      </c>
      <c r="J424" t="s">
        <v>118</v>
      </c>
      <c r="K424" t="s">
        <v>430</v>
      </c>
      <c r="L424" t="s">
        <v>1283</v>
      </c>
      <c r="M424">
        <v>1</v>
      </c>
      <c r="N424">
        <v>3858</v>
      </c>
      <c r="O424">
        <v>20</v>
      </c>
      <c r="P424">
        <v>3863.4</v>
      </c>
      <c r="Q424">
        <v>3087.03</v>
      </c>
      <c r="R424">
        <v>776.37</v>
      </c>
      <c r="S424" t="s">
        <v>100</v>
      </c>
      <c r="T424" t="s">
        <v>36</v>
      </c>
      <c r="U424" t="s">
        <v>2968</v>
      </c>
      <c r="V424" t="s">
        <v>2969</v>
      </c>
      <c r="W424">
        <v>25</v>
      </c>
      <c r="X424" t="s">
        <v>53</v>
      </c>
      <c r="Y424">
        <v>0</v>
      </c>
    </row>
    <row r="425" spans="1:25" x14ac:dyDescent="0.35">
      <c r="A425" t="s">
        <v>2970</v>
      </c>
      <c r="B425" s="1">
        <v>45560</v>
      </c>
      <c r="C425" s="1">
        <v>45562</v>
      </c>
      <c r="D425" t="s">
        <v>1024</v>
      </c>
      <c r="E425" t="s">
        <v>2971</v>
      </c>
      <c r="F425" t="s">
        <v>57</v>
      </c>
      <c r="G425" t="s">
        <v>2972</v>
      </c>
      <c r="H425" t="s">
        <v>163</v>
      </c>
      <c r="I425" t="s">
        <v>108</v>
      </c>
      <c r="J425" t="s">
        <v>32</v>
      </c>
      <c r="K425" t="s">
        <v>247</v>
      </c>
      <c r="L425" t="s">
        <v>2973</v>
      </c>
      <c r="M425">
        <v>4</v>
      </c>
      <c r="N425">
        <v>1703</v>
      </c>
      <c r="O425">
        <v>0</v>
      </c>
      <c r="P425">
        <v>7589</v>
      </c>
      <c r="Q425">
        <v>6812.87</v>
      </c>
      <c r="R425">
        <v>776.13</v>
      </c>
      <c r="S425" t="s">
        <v>35</v>
      </c>
      <c r="T425" t="s">
        <v>89</v>
      </c>
      <c r="U425" t="s">
        <v>2974</v>
      </c>
      <c r="V425" t="s">
        <v>2975</v>
      </c>
      <c r="W425">
        <v>40</v>
      </c>
      <c r="X425" t="s">
        <v>53</v>
      </c>
      <c r="Y425">
        <v>0</v>
      </c>
    </row>
    <row r="426" spans="1:25" x14ac:dyDescent="0.35">
      <c r="A426" t="s">
        <v>2976</v>
      </c>
      <c r="B426" s="1">
        <v>45491</v>
      </c>
      <c r="C426" s="1">
        <v>45492</v>
      </c>
      <c r="D426" t="s">
        <v>369</v>
      </c>
      <c r="E426" t="s">
        <v>2977</v>
      </c>
      <c r="F426" t="s">
        <v>57</v>
      </c>
      <c r="G426" t="s">
        <v>2978</v>
      </c>
      <c r="H426" t="s">
        <v>127</v>
      </c>
      <c r="I426" t="s">
        <v>45</v>
      </c>
      <c r="J426" t="s">
        <v>46</v>
      </c>
      <c r="K426" t="s">
        <v>482</v>
      </c>
      <c r="L426" t="s">
        <v>2438</v>
      </c>
      <c r="M426">
        <v>3</v>
      </c>
      <c r="N426">
        <v>1065</v>
      </c>
      <c r="O426">
        <v>10</v>
      </c>
      <c r="P426">
        <v>3652.5</v>
      </c>
      <c r="Q426">
        <v>2876.13</v>
      </c>
      <c r="R426">
        <v>776.37</v>
      </c>
      <c r="S426" t="s">
        <v>100</v>
      </c>
      <c r="T426" t="s">
        <v>89</v>
      </c>
      <c r="U426" t="s">
        <v>2979</v>
      </c>
      <c r="V426" t="s">
        <v>2980</v>
      </c>
      <c r="W426">
        <v>46</v>
      </c>
      <c r="X426" t="s">
        <v>53</v>
      </c>
      <c r="Y426">
        <v>0</v>
      </c>
    </row>
    <row r="427" spans="1:25" x14ac:dyDescent="0.35">
      <c r="A427" t="s">
        <v>2981</v>
      </c>
      <c r="B427" s="1">
        <v>45583</v>
      </c>
      <c r="C427" s="1">
        <v>45586</v>
      </c>
      <c r="D427" t="s">
        <v>160</v>
      </c>
      <c r="E427" t="s">
        <v>2982</v>
      </c>
      <c r="F427" t="s">
        <v>57</v>
      </c>
      <c r="G427" t="s">
        <v>2983</v>
      </c>
      <c r="H427" t="s">
        <v>117</v>
      </c>
      <c r="I427" t="s">
        <v>108</v>
      </c>
      <c r="J427" t="s">
        <v>118</v>
      </c>
      <c r="K427" t="s">
        <v>482</v>
      </c>
      <c r="L427" t="s">
        <v>2984</v>
      </c>
      <c r="M427">
        <v>3</v>
      </c>
      <c r="N427">
        <v>2549</v>
      </c>
      <c r="O427">
        <v>10</v>
      </c>
      <c r="P427">
        <v>7659.3</v>
      </c>
      <c r="Q427">
        <v>6883.09</v>
      </c>
      <c r="R427">
        <v>776.21</v>
      </c>
      <c r="S427" t="s">
        <v>80</v>
      </c>
      <c r="T427" t="s">
        <v>89</v>
      </c>
      <c r="U427" t="s">
        <v>2985</v>
      </c>
      <c r="V427" t="s">
        <v>2986</v>
      </c>
      <c r="W427">
        <v>47</v>
      </c>
      <c r="X427" t="s">
        <v>53</v>
      </c>
      <c r="Y427">
        <v>0</v>
      </c>
    </row>
    <row r="428" spans="1:25" x14ac:dyDescent="0.35">
      <c r="A428" t="s">
        <v>2987</v>
      </c>
      <c r="B428" s="1">
        <v>45617</v>
      </c>
      <c r="C428" s="1">
        <v>45620</v>
      </c>
      <c r="D428" t="s">
        <v>2988</v>
      </c>
      <c r="E428" t="s">
        <v>2989</v>
      </c>
      <c r="F428" t="s">
        <v>28</v>
      </c>
      <c r="G428" t="s">
        <v>2990</v>
      </c>
      <c r="H428" t="s">
        <v>334</v>
      </c>
      <c r="I428" t="s">
        <v>108</v>
      </c>
      <c r="J428" t="s">
        <v>32</v>
      </c>
      <c r="K428" t="s">
        <v>199</v>
      </c>
      <c r="L428" t="s">
        <v>2782</v>
      </c>
      <c r="M428">
        <v>1</v>
      </c>
      <c r="N428">
        <v>4056</v>
      </c>
      <c r="O428">
        <v>5</v>
      </c>
      <c r="P428">
        <v>4630.2</v>
      </c>
      <c r="Q428">
        <v>3853.81</v>
      </c>
      <c r="R428">
        <v>776.39</v>
      </c>
      <c r="S428" t="s">
        <v>100</v>
      </c>
      <c r="T428" t="s">
        <v>36</v>
      </c>
      <c r="U428" t="s">
        <v>2991</v>
      </c>
      <c r="V428" t="s">
        <v>2992</v>
      </c>
      <c r="W428">
        <v>37</v>
      </c>
      <c r="X428" t="s">
        <v>53</v>
      </c>
      <c r="Y428">
        <v>0</v>
      </c>
    </row>
    <row r="429" spans="1:25" x14ac:dyDescent="0.35">
      <c r="A429" t="s">
        <v>2993</v>
      </c>
      <c r="B429" s="1">
        <v>45761</v>
      </c>
      <c r="C429" s="1">
        <v>45762</v>
      </c>
      <c r="D429" t="s">
        <v>2994</v>
      </c>
      <c r="E429" t="s">
        <v>2995</v>
      </c>
      <c r="F429" t="s">
        <v>57</v>
      </c>
      <c r="G429" t="s">
        <v>2996</v>
      </c>
      <c r="H429" t="s">
        <v>44</v>
      </c>
      <c r="I429" t="s">
        <v>45</v>
      </c>
      <c r="J429" t="s">
        <v>32</v>
      </c>
      <c r="K429" t="s">
        <v>474</v>
      </c>
      <c r="L429" t="s">
        <v>2997</v>
      </c>
      <c r="M429">
        <v>1</v>
      </c>
      <c r="N429">
        <v>1735</v>
      </c>
      <c r="O429">
        <v>0</v>
      </c>
      <c r="P429">
        <v>2512</v>
      </c>
      <c r="Q429">
        <v>1735.69</v>
      </c>
      <c r="R429">
        <v>776.31</v>
      </c>
      <c r="S429" t="s">
        <v>49</v>
      </c>
      <c r="T429" t="s">
        <v>50</v>
      </c>
      <c r="U429" t="s">
        <v>2998</v>
      </c>
      <c r="V429" t="s">
        <v>2999</v>
      </c>
      <c r="W429">
        <v>1</v>
      </c>
      <c r="X429" t="s">
        <v>39</v>
      </c>
      <c r="Y429">
        <v>44</v>
      </c>
    </row>
    <row r="430" spans="1:25" x14ac:dyDescent="0.35">
      <c r="A430" t="s">
        <v>3000</v>
      </c>
      <c r="B430" s="1">
        <v>45576</v>
      </c>
      <c r="C430" s="1">
        <v>45579</v>
      </c>
      <c r="D430" t="s">
        <v>1467</v>
      </c>
      <c r="E430" t="s">
        <v>3001</v>
      </c>
      <c r="F430" t="s">
        <v>57</v>
      </c>
      <c r="G430" t="s">
        <v>3002</v>
      </c>
      <c r="H430" t="s">
        <v>154</v>
      </c>
      <c r="I430" t="s">
        <v>137</v>
      </c>
      <c r="J430" t="s">
        <v>32</v>
      </c>
      <c r="K430" t="s">
        <v>885</v>
      </c>
      <c r="L430" t="s">
        <v>3003</v>
      </c>
      <c r="M430">
        <v>2</v>
      </c>
      <c r="N430">
        <v>1354</v>
      </c>
      <c r="O430">
        <v>10</v>
      </c>
      <c r="P430">
        <v>3214.2</v>
      </c>
      <c r="Q430">
        <v>2437.92</v>
      </c>
      <c r="R430">
        <v>776.28</v>
      </c>
      <c r="S430" t="s">
        <v>100</v>
      </c>
      <c r="T430" t="s">
        <v>36</v>
      </c>
      <c r="U430" t="s">
        <v>3004</v>
      </c>
      <c r="V430" t="s">
        <v>3005</v>
      </c>
      <c r="W430">
        <v>9</v>
      </c>
      <c r="X430" t="s">
        <v>39</v>
      </c>
      <c r="Y430">
        <v>42</v>
      </c>
    </row>
    <row r="431" spans="1:25" x14ac:dyDescent="0.35">
      <c r="A431" t="s">
        <v>3006</v>
      </c>
      <c r="B431" s="1">
        <v>45244</v>
      </c>
      <c r="C431" s="1">
        <v>45251</v>
      </c>
      <c r="D431" t="s">
        <v>3007</v>
      </c>
      <c r="E431" t="s">
        <v>3008</v>
      </c>
      <c r="F431" t="s">
        <v>28</v>
      </c>
      <c r="G431" t="s">
        <v>3009</v>
      </c>
      <c r="H431" t="s">
        <v>44</v>
      </c>
      <c r="I431" t="s">
        <v>45</v>
      </c>
      <c r="J431" t="s">
        <v>32</v>
      </c>
      <c r="K431" t="s">
        <v>1275</v>
      </c>
      <c r="L431" t="s">
        <v>3010</v>
      </c>
      <c r="M431">
        <v>1</v>
      </c>
      <c r="N431">
        <v>3557</v>
      </c>
      <c r="O431">
        <v>15</v>
      </c>
      <c r="P431">
        <v>3800.45</v>
      </c>
      <c r="Q431">
        <v>3024.33</v>
      </c>
      <c r="R431">
        <v>776.12</v>
      </c>
      <c r="S431" t="s">
        <v>49</v>
      </c>
      <c r="T431" t="s">
        <v>36</v>
      </c>
      <c r="U431" t="s">
        <v>3011</v>
      </c>
      <c r="V431" t="s">
        <v>3012</v>
      </c>
      <c r="W431">
        <v>22</v>
      </c>
      <c r="X431" t="s">
        <v>53</v>
      </c>
      <c r="Y431">
        <v>0</v>
      </c>
    </row>
    <row r="432" spans="1:25" x14ac:dyDescent="0.35">
      <c r="A432" t="s">
        <v>3013</v>
      </c>
      <c r="B432" s="1">
        <v>45784</v>
      </c>
      <c r="C432" s="1">
        <v>45791</v>
      </c>
      <c r="D432" t="s">
        <v>617</v>
      </c>
      <c r="E432" t="s">
        <v>3014</v>
      </c>
      <c r="F432" t="s">
        <v>95</v>
      </c>
      <c r="G432" t="s">
        <v>3015</v>
      </c>
      <c r="H432" t="s">
        <v>283</v>
      </c>
      <c r="I432" t="s">
        <v>45</v>
      </c>
      <c r="J432" t="s">
        <v>32</v>
      </c>
      <c r="K432" t="s">
        <v>699</v>
      </c>
      <c r="L432" t="s">
        <v>3016</v>
      </c>
      <c r="M432">
        <v>9</v>
      </c>
      <c r="N432">
        <v>1234</v>
      </c>
      <c r="O432">
        <v>10</v>
      </c>
      <c r="P432">
        <v>10772.4</v>
      </c>
      <c r="Q432">
        <v>9996.09</v>
      </c>
      <c r="R432">
        <v>776.31</v>
      </c>
      <c r="S432" t="s">
        <v>100</v>
      </c>
      <c r="T432" t="s">
        <v>36</v>
      </c>
      <c r="U432" t="s">
        <v>3017</v>
      </c>
      <c r="V432" t="s">
        <v>3018</v>
      </c>
      <c r="W432">
        <v>25</v>
      </c>
      <c r="X432" t="s">
        <v>53</v>
      </c>
      <c r="Y432">
        <v>0</v>
      </c>
    </row>
    <row r="433" spans="1:25" x14ac:dyDescent="0.35">
      <c r="A433" t="s">
        <v>3019</v>
      </c>
      <c r="B433" s="1">
        <v>45722</v>
      </c>
      <c r="C433" s="1">
        <v>45724</v>
      </c>
      <c r="D433" t="s">
        <v>3020</v>
      </c>
      <c r="E433" t="s">
        <v>3021</v>
      </c>
      <c r="F433" t="s">
        <v>28</v>
      </c>
      <c r="G433" t="s">
        <v>3022</v>
      </c>
      <c r="H433" t="s">
        <v>283</v>
      </c>
      <c r="I433" t="s">
        <v>45</v>
      </c>
      <c r="J433" t="s">
        <v>97</v>
      </c>
      <c r="K433" t="s">
        <v>60</v>
      </c>
      <c r="L433" t="s">
        <v>3023</v>
      </c>
      <c r="M433">
        <v>3</v>
      </c>
      <c r="N433">
        <v>3085</v>
      </c>
      <c r="O433">
        <v>10</v>
      </c>
      <c r="P433">
        <v>9106.5</v>
      </c>
      <c r="Q433">
        <v>8330.35</v>
      </c>
      <c r="R433">
        <v>776.15</v>
      </c>
      <c r="S433" t="s">
        <v>80</v>
      </c>
      <c r="T433" t="s">
        <v>140</v>
      </c>
      <c r="U433" t="s">
        <v>3024</v>
      </c>
      <c r="V433" t="s">
        <v>3025</v>
      </c>
      <c r="W433">
        <v>6</v>
      </c>
      <c r="X433" t="s">
        <v>39</v>
      </c>
      <c r="Y433">
        <v>49</v>
      </c>
    </row>
    <row r="434" spans="1:25" x14ac:dyDescent="0.35">
      <c r="A434" t="s">
        <v>3026</v>
      </c>
      <c r="B434" s="1">
        <v>45698</v>
      </c>
      <c r="C434" s="1">
        <v>45699</v>
      </c>
      <c r="D434" t="s">
        <v>2539</v>
      </c>
      <c r="E434" t="s">
        <v>3027</v>
      </c>
      <c r="F434" t="s">
        <v>28</v>
      </c>
      <c r="G434" t="s">
        <v>3028</v>
      </c>
      <c r="H434" t="s">
        <v>230</v>
      </c>
      <c r="I434" t="s">
        <v>137</v>
      </c>
      <c r="J434" t="s">
        <v>32</v>
      </c>
      <c r="K434" t="s">
        <v>714</v>
      </c>
      <c r="L434" t="s">
        <v>3029</v>
      </c>
      <c r="M434">
        <v>1</v>
      </c>
      <c r="N434">
        <v>3959</v>
      </c>
      <c r="O434">
        <v>10</v>
      </c>
      <c r="P434">
        <v>4340.1000000000004</v>
      </c>
      <c r="Q434">
        <v>3563.86</v>
      </c>
      <c r="R434">
        <v>776.24</v>
      </c>
      <c r="S434" t="s">
        <v>100</v>
      </c>
      <c r="T434" t="s">
        <v>36</v>
      </c>
      <c r="U434" t="s">
        <v>3030</v>
      </c>
      <c r="V434" t="s">
        <v>3031</v>
      </c>
      <c r="W434">
        <v>15</v>
      </c>
      <c r="X434" t="s">
        <v>53</v>
      </c>
      <c r="Y434">
        <v>0</v>
      </c>
    </row>
    <row r="435" spans="1:25" x14ac:dyDescent="0.35">
      <c r="A435" t="s">
        <v>3032</v>
      </c>
      <c r="B435" s="1">
        <v>45848</v>
      </c>
      <c r="C435" s="1">
        <v>45850</v>
      </c>
      <c r="D435" t="s">
        <v>3033</v>
      </c>
      <c r="E435" t="s">
        <v>3034</v>
      </c>
      <c r="F435" t="s">
        <v>28</v>
      </c>
      <c r="G435" t="s">
        <v>3035</v>
      </c>
      <c r="H435" t="s">
        <v>44</v>
      </c>
      <c r="I435" t="s">
        <v>45</v>
      </c>
      <c r="J435" t="s">
        <v>32</v>
      </c>
      <c r="K435" t="s">
        <v>547</v>
      </c>
      <c r="L435" t="s">
        <v>3036</v>
      </c>
      <c r="M435">
        <v>10</v>
      </c>
      <c r="N435">
        <v>1758</v>
      </c>
      <c r="O435">
        <v>10</v>
      </c>
      <c r="P435">
        <v>16599</v>
      </c>
      <c r="Q435">
        <v>15822.71</v>
      </c>
      <c r="R435">
        <v>776.29</v>
      </c>
      <c r="S435" t="s">
        <v>100</v>
      </c>
      <c r="T435" t="s">
        <v>89</v>
      </c>
      <c r="U435" t="s">
        <v>3037</v>
      </c>
      <c r="V435" t="s">
        <v>3038</v>
      </c>
      <c r="W435">
        <v>26</v>
      </c>
      <c r="X435" t="s">
        <v>53</v>
      </c>
      <c r="Y435">
        <v>0</v>
      </c>
    </row>
    <row r="436" spans="1:25" x14ac:dyDescent="0.35">
      <c r="A436" t="s">
        <v>3039</v>
      </c>
      <c r="B436" s="1">
        <v>45332</v>
      </c>
      <c r="C436" s="1">
        <v>45338</v>
      </c>
      <c r="D436" t="s">
        <v>3040</v>
      </c>
      <c r="E436" t="s">
        <v>3041</v>
      </c>
      <c r="F436" t="s">
        <v>28</v>
      </c>
      <c r="G436" t="s">
        <v>3042</v>
      </c>
      <c r="H436" t="s">
        <v>77</v>
      </c>
      <c r="I436" t="s">
        <v>45</v>
      </c>
      <c r="J436" t="s">
        <v>46</v>
      </c>
      <c r="K436" t="s">
        <v>87</v>
      </c>
      <c r="L436" t="s">
        <v>3043</v>
      </c>
      <c r="M436">
        <v>7</v>
      </c>
      <c r="N436">
        <v>3071</v>
      </c>
      <c r="O436">
        <v>0</v>
      </c>
      <c r="P436">
        <v>22274</v>
      </c>
      <c r="Q436">
        <v>21497.64</v>
      </c>
      <c r="R436">
        <v>776.36</v>
      </c>
      <c r="S436" t="s">
        <v>80</v>
      </c>
      <c r="T436" t="s">
        <v>140</v>
      </c>
      <c r="U436" t="s">
        <v>3044</v>
      </c>
      <c r="V436" t="s">
        <v>3045</v>
      </c>
      <c r="W436">
        <v>0</v>
      </c>
      <c r="X436" t="s">
        <v>39</v>
      </c>
      <c r="Y436">
        <v>29</v>
      </c>
    </row>
    <row r="437" spans="1:25" x14ac:dyDescent="0.35">
      <c r="A437" t="s">
        <v>3046</v>
      </c>
      <c r="B437" s="1">
        <v>45440</v>
      </c>
      <c r="C437" s="1">
        <v>45444</v>
      </c>
      <c r="D437" t="s">
        <v>2024</v>
      </c>
      <c r="E437" t="s">
        <v>3047</v>
      </c>
      <c r="F437" t="s">
        <v>28</v>
      </c>
      <c r="G437" t="s">
        <v>3048</v>
      </c>
      <c r="H437" t="s">
        <v>107</v>
      </c>
      <c r="I437" t="s">
        <v>108</v>
      </c>
      <c r="J437" t="s">
        <v>97</v>
      </c>
      <c r="K437" t="s">
        <v>970</v>
      </c>
      <c r="L437" t="s">
        <v>3049</v>
      </c>
      <c r="M437">
        <v>7</v>
      </c>
      <c r="N437">
        <v>2120</v>
      </c>
      <c r="O437">
        <v>10</v>
      </c>
      <c r="P437">
        <v>14133</v>
      </c>
      <c r="Q437">
        <v>13356.89</v>
      </c>
      <c r="R437">
        <v>776.11</v>
      </c>
      <c r="S437" t="s">
        <v>100</v>
      </c>
      <c r="T437" t="s">
        <v>36</v>
      </c>
      <c r="U437" t="s">
        <v>3050</v>
      </c>
      <c r="V437" t="s">
        <v>3051</v>
      </c>
      <c r="W437">
        <v>2</v>
      </c>
      <c r="X437" t="s">
        <v>39</v>
      </c>
      <c r="Y437">
        <v>20</v>
      </c>
    </row>
    <row r="438" spans="1:25" x14ac:dyDescent="0.35">
      <c r="A438" t="s">
        <v>3052</v>
      </c>
      <c r="B438" s="1">
        <v>45921</v>
      </c>
      <c r="C438" s="1">
        <v>45924</v>
      </c>
      <c r="D438" t="s">
        <v>1481</v>
      </c>
      <c r="E438" t="s">
        <v>3053</v>
      </c>
      <c r="F438" t="s">
        <v>95</v>
      </c>
      <c r="G438" t="s">
        <v>3054</v>
      </c>
      <c r="H438" t="s">
        <v>364</v>
      </c>
      <c r="I438" t="s">
        <v>137</v>
      </c>
      <c r="J438" t="s">
        <v>46</v>
      </c>
      <c r="K438" t="s">
        <v>199</v>
      </c>
      <c r="L438" t="s">
        <v>3055</v>
      </c>
      <c r="M438">
        <v>3</v>
      </c>
      <c r="N438">
        <v>3456</v>
      </c>
      <c r="O438">
        <v>20</v>
      </c>
      <c r="P438">
        <v>9071.4</v>
      </c>
      <c r="Q438">
        <v>8295.09</v>
      </c>
      <c r="R438">
        <v>776.31</v>
      </c>
      <c r="S438" t="s">
        <v>35</v>
      </c>
      <c r="T438" t="s">
        <v>140</v>
      </c>
      <c r="U438" t="s">
        <v>3056</v>
      </c>
      <c r="V438" t="s">
        <v>3057</v>
      </c>
      <c r="W438">
        <v>5</v>
      </c>
      <c r="X438" t="s">
        <v>39</v>
      </c>
      <c r="Y438">
        <v>40</v>
      </c>
    </row>
    <row r="439" spans="1:25" x14ac:dyDescent="0.35">
      <c r="A439" t="s">
        <v>3058</v>
      </c>
      <c r="B439" s="1">
        <v>45550</v>
      </c>
      <c r="C439" s="1">
        <v>45552</v>
      </c>
      <c r="D439" t="s">
        <v>603</v>
      </c>
      <c r="E439" t="s">
        <v>3059</v>
      </c>
      <c r="F439" t="s">
        <v>95</v>
      </c>
      <c r="G439" t="s">
        <v>3060</v>
      </c>
      <c r="H439" t="s">
        <v>163</v>
      </c>
      <c r="I439" t="s">
        <v>108</v>
      </c>
      <c r="J439" t="s">
        <v>118</v>
      </c>
      <c r="K439" t="s">
        <v>222</v>
      </c>
      <c r="L439" t="s">
        <v>3061</v>
      </c>
      <c r="M439">
        <v>1</v>
      </c>
      <c r="N439">
        <v>2363</v>
      </c>
      <c r="O439">
        <v>15</v>
      </c>
      <c r="P439">
        <v>2785.55</v>
      </c>
      <c r="Q439">
        <v>2009.42</v>
      </c>
      <c r="R439">
        <v>776.13</v>
      </c>
      <c r="S439" t="s">
        <v>100</v>
      </c>
      <c r="T439" t="s">
        <v>140</v>
      </c>
      <c r="U439" t="s">
        <v>3062</v>
      </c>
      <c r="V439" t="s">
        <v>3063</v>
      </c>
      <c r="W439">
        <v>13</v>
      </c>
      <c r="X439" t="s">
        <v>53</v>
      </c>
      <c r="Y439">
        <v>0</v>
      </c>
    </row>
    <row r="440" spans="1:25" x14ac:dyDescent="0.35">
      <c r="A440" t="s">
        <v>3064</v>
      </c>
      <c r="B440" s="1">
        <v>45675</v>
      </c>
      <c r="C440" s="1">
        <v>45680</v>
      </c>
      <c r="D440" t="s">
        <v>2786</v>
      </c>
      <c r="E440" t="s">
        <v>3065</v>
      </c>
      <c r="F440" t="s">
        <v>28</v>
      </c>
      <c r="G440" t="s">
        <v>3066</v>
      </c>
      <c r="H440" t="s">
        <v>117</v>
      </c>
      <c r="I440" t="s">
        <v>108</v>
      </c>
      <c r="J440" t="s">
        <v>97</v>
      </c>
      <c r="K440" t="s">
        <v>155</v>
      </c>
      <c r="L440" t="s">
        <v>3067</v>
      </c>
      <c r="M440">
        <v>1</v>
      </c>
      <c r="N440">
        <v>4825</v>
      </c>
      <c r="O440">
        <v>10</v>
      </c>
      <c r="P440">
        <v>5119.5</v>
      </c>
      <c r="Q440">
        <v>4343.2700000000004</v>
      </c>
      <c r="R440">
        <v>776.23</v>
      </c>
      <c r="S440" t="s">
        <v>100</v>
      </c>
      <c r="T440" t="s">
        <v>36</v>
      </c>
      <c r="U440" t="s">
        <v>3068</v>
      </c>
      <c r="V440" t="s">
        <v>3069</v>
      </c>
      <c r="W440">
        <v>35</v>
      </c>
      <c r="X440" t="s">
        <v>53</v>
      </c>
      <c r="Y440">
        <v>0</v>
      </c>
    </row>
    <row r="441" spans="1:25" x14ac:dyDescent="0.35">
      <c r="A441" t="s">
        <v>3070</v>
      </c>
      <c r="B441" s="1">
        <v>45671</v>
      </c>
      <c r="C441" s="1">
        <v>45677</v>
      </c>
      <c r="D441" t="s">
        <v>3071</v>
      </c>
      <c r="E441" t="s">
        <v>3072</v>
      </c>
      <c r="F441" t="s">
        <v>28</v>
      </c>
      <c r="G441" t="s">
        <v>3073</v>
      </c>
      <c r="H441" t="s">
        <v>206</v>
      </c>
      <c r="I441" t="s">
        <v>31</v>
      </c>
      <c r="J441" t="s">
        <v>32</v>
      </c>
      <c r="K441" t="s">
        <v>786</v>
      </c>
      <c r="L441" t="s">
        <v>3074</v>
      </c>
      <c r="M441">
        <v>1</v>
      </c>
      <c r="N441">
        <v>4321</v>
      </c>
      <c r="O441">
        <v>20</v>
      </c>
      <c r="P441">
        <v>4233.8</v>
      </c>
      <c r="Q441">
        <v>3457.56</v>
      </c>
      <c r="R441">
        <v>776.24</v>
      </c>
      <c r="S441" t="s">
        <v>100</v>
      </c>
      <c r="T441" t="s">
        <v>89</v>
      </c>
      <c r="U441" t="s">
        <v>3075</v>
      </c>
      <c r="V441" t="s">
        <v>3076</v>
      </c>
      <c r="W441">
        <v>26</v>
      </c>
      <c r="X441" t="s">
        <v>53</v>
      </c>
      <c r="Y441">
        <v>0</v>
      </c>
    </row>
    <row r="442" spans="1:25" x14ac:dyDescent="0.35">
      <c r="A442" t="s">
        <v>3077</v>
      </c>
      <c r="B442" s="1">
        <v>45557</v>
      </c>
      <c r="C442" s="1">
        <v>45560</v>
      </c>
      <c r="D442" t="s">
        <v>2721</v>
      </c>
      <c r="E442" t="s">
        <v>3078</v>
      </c>
      <c r="F442" t="s">
        <v>57</v>
      </c>
      <c r="G442" t="s">
        <v>3079</v>
      </c>
      <c r="H442" t="s">
        <v>334</v>
      </c>
      <c r="I442" t="s">
        <v>108</v>
      </c>
      <c r="J442" t="s">
        <v>97</v>
      </c>
      <c r="K442" t="s">
        <v>78</v>
      </c>
      <c r="L442" t="s">
        <v>3080</v>
      </c>
      <c r="M442">
        <v>7</v>
      </c>
      <c r="N442">
        <v>985</v>
      </c>
      <c r="O442">
        <v>10</v>
      </c>
      <c r="P442">
        <v>6982.5</v>
      </c>
      <c r="Q442">
        <v>6206.34</v>
      </c>
      <c r="R442">
        <v>776.16</v>
      </c>
      <c r="S442" t="s">
        <v>35</v>
      </c>
      <c r="T442" t="s">
        <v>50</v>
      </c>
      <c r="U442" t="s">
        <v>3081</v>
      </c>
      <c r="V442" t="s">
        <v>3082</v>
      </c>
      <c r="W442">
        <v>45</v>
      </c>
      <c r="X442" t="s">
        <v>53</v>
      </c>
      <c r="Y442">
        <v>0</v>
      </c>
    </row>
    <row r="443" spans="1:25" x14ac:dyDescent="0.35">
      <c r="A443" t="s">
        <v>3083</v>
      </c>
      <c r="B443" s="1">
        <v>45474</v>
      </c>
      <c r="C443" s="1">
        <v>45475</v>
      </c>
      <c r="D443" t="s">
        <v>3084</v>
      </c>
      <c r="E443" t="s">
        <v>3085</v>
      </c>
      <c r="F443" t="s">
        <v>28</v>
      </c>
      <c r="G443" t="s">
        <v>3086</v>
      </c>
      <c r="H443" t="s">
        <v>136</v>
      </c>
      <c r="I443" t="s">
        <v>137</v>
      </c>
      <c r="J443" t="s">
        <v>118</v>
      </c>
      <c r="K443" t="s">
        <v>699</v>
      </c>
      <c r="L443" t="s">
        <v>3087</v>
      </c>
      <c r="M443">
        <v>6</v>
      </c>
      <c r="N443">
        <v>765</v>
      </c>
      <c r="O443">
        <v>20</v>
      </c>
      <c r="P443">
        <v>4449</v>
      </c>
      <c r="Q443">
        <v>3672.85</v>
      </c>
      <c r="R443">
        <v>776.15</v>
      </c>
      <c r="S443" t="s">
        <v>80</v>
      </c>
      <c r="T443" t="s">
        <v>140</v>
      </c>
      <c r="U443" t="s">
        <v>3088</v>
      </c>
      <c r="V443" t="s">
        <v>3089</v>
      </c>
      <c r="W443">
        <v>20</v>
      </c>
      <c r="X443" t="s">
        <v>53</v>
      </c>
      <c r="Y443">
        <v>0</v>
      </c>
    </row>
    <row r="444" spans="1:25" x14ac:dyDescent="0.35">
      <c r="A444" t="s">
        <v>3090</v>
      </c>
      <c r="B444" s="1">
        <v>45410</v>
      </c>
      <c r="C444" s="1">
        <v>45411</v>
      </c>
      <c r="D444" t="s">
        <v>3091</v>
      </c>
      <c r="E444" t="s">
        <v>3092</v>
      </c>
      <c r="F444" t="s">
        <v>95</v>
      </c>
      <c r="G444" t="s">
        <v>3093</v>
      </c>
      <c r="H444" t="s">
        <v>172</v>
      </c>
      <c r="I444" t="s">
        <v>45</v>
      </c>
      <c r="J444" t="s">
        <v>118</v>
      </c>
      <c r="K444" t="s">
        <v>415</v>
      </c>
      <c r="L444" t="s">
        <v>3094</v>
      </c>
      <c r="M444">
        <v>10</v>
      </c>
      <c r="N444">
        <v>1730</v>
      </c>
      <c r="O444">
        <v>0</v>
      </c>
      <c r="P444">
        <v>18077</v>
      </c>
      <c r="Q444">
        <v>17300.759999999998</v>
      </c>
      <c r="R444">
        <v>776.24</v>
      </c>
      <c r="S444" t="s">
        <v>100</v>
      </c>
      <c r="T444" t="s">
        <v>50</v>
      </c>
      <c r="U444" t="s">
        <v>3095</v>
      </c>
      <c r="V444" t="s">
        <v>3096</v>
      </c>
      <c r="W444">
        <v>31</v>
      </c>
      <c r="X444" t="s">
        <v>53</v>
      </c>
      <c r="Y444">
        <v>0</v>
      </c>
    </row>
    <row r="445" spans="1:25" x14ac:dyDescent="0.35">
      <c r="A445" t="s">
        <v>3097</v>
      </c>
      <c r="B445" s="1">
        <v>45634</v>
      </c>
      <c r="C445" s="1">
        <v>45639</v>
      </c>
      <c r="D445" t="s">
        <v>3098</v>
      </c>
      <c r="E445" t="s">
        <v>3099</v>
      </c>
      <c r="F445" t="s">
        <v>95</v>
      </c>
      <c r="G445" t="s">
        <v>3100</v>
      </c>
      <c r="H445" t="s">
        <v>163</v>
      </c>
      <c r="I445" t="s">
        <v>108</v>
      </c>
      <c r="J445" t="s">
        <v>118</v>
      </c>
      <c r="K445" t="s">
        <v>87</v>
      </c>
      <c r="L445" t="s">
        <v>3101</v>
      </c>
      <c r="M445">
        <v>5</v>
      </c>
      <c r="N445">
        <v>972</v>
      </c>
      <c r="O445">
        <v>20</v>
      </c>
      <c r="P445">
        <v>4665</v>
      </c>
      <c r="Q445">
        <v>3888.84</v>
      </c>
      <c r="R445">
        <v>776.16</v>
      </c>
      <c r="S445" t="s">
        <v>80</v>
      </c>
      <c r="T445" t="s">
        <v>89</v>
      </c>
      <c r="U445" t="s">
        <v>3102</v>
      </c>
      <c r="V445" t="s">
        <v>3103</v>
      </c>
      <c r="W445">
        <v>2</v>
      </c>
      <c r="X445" t="s">
        <v>39</v>
      </c>
      <c r="Y445">
        <v>35</v>
      </c>
    </row>
    <row r="446" spans="1:25" x14ac:dyDescent="0.35">
      <c r="A446" t="s">
        <v>3104</v>
      </c>
      <c r="B446" s="1">
        <v>45491</v>
      </c>
      <c r="C446" s="1">
        <v>45492</v>
      </c>
      <c r="D446" t="s">
        <v>3105</v>
      </c>
      <c r="E446" t="s">
        <v>3106</v>
      </c>
      <c r="F446" t="s">
        <v>57</v>
      </c>
      <c r="G446" t="s">
        <v>3107</v>
      </c>
      <c r="H446" t="s">
        <v>334</v>
      </c>
      <c r="I446" t="s">
        <v>108</v>
      </c>
      <c r="J446" t="s">
        <v>46</v>
      </c>
      <c r="K446" t="s">
        <v>231</v>
      </c>
      <c r="L446" t="s">
        <v>3108</v>
      </c>
      <c r="M446">
        <v>2</v>
      </c>
      <c r="N446">
        <v>867</v>
      </c>
      <c r="O446">
        <v>10</v>
      </c>
      <c r="P446">
        <v>2337.6</v>
      </c>
      <c r="Q446">
        <v>1561.27</v>
      </c>
      <c r="R446">
        <v>776.33</v>
      </c>
      <c r="S446" t="s">
        <v>49</v>
      </c>
      <c r="T446" t="s">
        <v>140</v>
      </c>
      <c r="U446" t="s">
        <v>3109</v>
      </c>
      <c r="V446" t="s">
        <v>3110</v>
      </c>
      <c r="W446">
        <v>26</v>
      </c>
      <c r="X446" t="s">
        <v>53</v>
      </c>
      <c r="Y446">
        <v>0</v>
      </c>
    </row>
    <row r="447" spans="1:25" x14ac:dyDescent="0.35">
      <c r="A447" t="s">
        <v>3111</v>
      </c>
      <c r="B447" s="1">
        <v>45342</v>
      </c>
      <c r="C447" s="1">
        <v>45347</v>
      </c>
      <c r="D447" t="s">
        <v>3112</v>
      </c>
      <c r="E447" t="s">
        <v>3113</v>
      </c>
      <c r="F447" t="s">
        <v>57</v>
      </c>
      <c r="G447" t="s">
        <v>3114</v>
      </c>
      <c r="H447" t="s">
        <v>230</v>
      </c>
      <c r="I447" t="s">
        <v>137</v>
      </c>
      <c r="J447" t="s">
        <v>46</v>
      </c>
      <c r="K447" t="s">
        <v>786</v>
      </c>
      <c r="L447" t="s">
        <v>3115</v>
      </c>
      <c r="M447">
        <v>7</v>
      </c>
      <c r="N447">
        <v>2081</v>
      </c>
      <c r="O447">
        <v>5</v>
      </c>
      <c r="P447">
        <v>14615.65</v>
      </c>
      <c r="Q447">
        <v>13839.52</v>
      </c>
      <c r="R447">
        <v>776.13</v>
      </c>
      <c r="S447" t="s">
        <v>35</v>
      </c>
      <c r="T447" t="s">
        <v>89</v>
      </c>
      <c r="U447" t="s">
        <v>3116</v>
      </c>
      <c r="V447" t="s">
        <v>3117</v>
      </c>
      <c r="W447">
        <v>21</v>
      </c>
      <c r="X447" t="s">
        <v>53</v>
      </c>
      <c r="Y447">
        <v>0</v>
      </c>
    </row>
    <row r="448" spans="1:25" x14ac:dyDescent="0.35">
      <c r="A448" t="s">
        <v>3118</v>
      </c>
      <c r="B448" s="1">
        <v>45859</v>
      </c>
      <c r="C448" s="1">
        <v>45860</v>
      </c>
      <c r="D448" t="s">
        <v>3119</v>
      </c>
      <c r="E448" t="s">
        <v>3120</v>
      </c>
      <c r="F448" t="s">
        <v>95</v>
      </c>
      <c r="G448" t="s">
        <v>3121</v>
      </c>
      <c r="H448" t="s">
        <v>163</v>
      </c>
      <c r="I448" t="s">
        <v>108</v>
      </c>
      <c r="J448" t="s">
        <v>32</v>
      </c>
      <c r="K448" t="s">
        <v>199</v>
      </c>
      <c r="L448" t="s">
        <v>3122</v>
      </c>
      <c r="M448">
        <v>5</v>
      </c>
      <c r="N448">
        <v>206</v>
      </c>
      <c r="O448">
        <v>10</v>
      </c>
      <c r="P448">
        <v>1704</v>
      </c>
      <c r="Q448">
        <v>927.83</v>
      </c>
      <c r="R448">
        <v>776.17</v>
      </c>
      <c r="S448" t="s">
        <v>100</v>
      </c>
      <c r="T448" t="s">
        <v>140</v>
      </c>
      <c r="U448" t="s">
        <v>3123</v>
      </c>
      <c r="V448" t="s">
        <v>3124</v>
      </c>
      <c r="W448">
        <v>46</v>
      </c>
      <c r="X448" t="s">
        <v>53</v>
      </c>
      <c r="Y448">
        <v>0</v>
      </c>
    </row>
    <row r="449" spans="1:25" x14ac:dyDescent="0.35">
      <c r="A449" t="s">
        <v>3125</v>
      </c>
      <c r="B449" s="1">
        <v>45406</v>
      </c>
      <c r="C449" s="1">
        <v>45412</v>
      </c>
      <c r="D449" t="s">
        <v>3126</v>
      </c>
      <c r="E449" t="s">
        <v>3127</v>
      </c>
      <c r="F449" t="s">
        <v>28</v>
      </c>
      <c r="G449" t="s">
        <v>3128</v>
      </c>
      <c r="H449" t="s">
        <v>68</v>
      </c>
      <c r="I449" t="s">
        <v>31</v>
      </c>
      <c r="J449" t="s">
        <v>46</v>
      </c>
      <c r="K449" t="s">
        <v>119</v>
      </c>
      <c r="L449" t="s">
        <v>1346</v>
      </c>
      <c r="M449">
        <v>2</v>
      </c>
      <c r="N449">
        <v>2838</v>
      </c>
      <c r="O449">
        <v>0</v>
      </c>
      <c r="P449">
        <v>6453</v>
      </c>
      <c r="Q449">
        <v>5676.67</v>
      </c>
      <c r="R449">
        <v>776.33</v>
      </c>
      <c r="S449" t="s">
        <v>49</v>
      </c>
      <c r="T449" t="s">
        <v>89</v>
      </c>
      <c r="U449" t="s">
        <v>3129</v>
      </c>
      <c r="V449" t="s">
        <v>3130</v>
      </c>
      <c r="W449">
        <v>7</v>
      </c>
      <c r="X449" t="s">
        <v>39</v>
      </c>
      <c r="Y449">
        <v>44</v>
      </c>
    </row>
    <row r="450" spans="1:25" x14ac:dyDescent="0.35">
      <c r="A450" t="s">
        <v>3131</v>
      </c>
      <c r="B450" s="1">
        <v>45525</v>
      </c>
      <c r="C450" s="1">
        <v>45530</v>
      </c>
      <c r="D450" t="s">
        <v>1121</v>
      </c>
      <c r="E450" t="s">
        <v>3132</v>
      </c>
      <c r="F450" t="s">
        <v>57</v>
      </c>
      <c r="G450" t="s">
        <v>3133</v>
      </c>
      <c r="H450" t="s">
        <v>283</v>
      </c>
      <c r="I450" t="s">
        <v>45</v>
      </c>
      <c r="J450" t="s">
        <v>97</v>
      </c>
      <c r="K450" t="s">
        <v>430</v>
      </c>
      <c r="L450" t="s">
        <v>3134</v>
      </c>
      <c r="M450">
        <v>6</v>
      </c>
      <c r="N450">
        <v>1015</v>
      </c>
      <c r="O450">
        <v>20</v>
      </c>
      <c r="P450">
        <v>5649</v>
      </c>
      <c r="Q450">
        <v>4872.88</v>
      </c>
      <c r="R450">
        <v>776.12</v>
      </c>
      <c r="S450" t="s">
        <v>49</v>
      </c>
      <c r="T450" t="s">
        <v>140</v>
      </c>
      <c r="U450" t="s">
        <v>3135</v>
      </c>
      <c r="V450" t="s">
        <v>3136</v>
      </c>
      <c r="W450">
        <v>46</v>
      </c>
      <c r="X450" t="s">
        <v>53</v>
      </c>
      <c r="Y450">
        <v>0</v>
      </c>
    </row>
    <row r="451" spans="1:25" x14ac:dyDescent="0.35">
      <c r="A451" t="s">
        <v>3137</v>
      </c>
      <c r="B451" s="1">
        <v>45551</v>
      </c>
      <c r="C451" s="1">
        <v>45552</v>
      </c>
      <c r="D451" t="s">
        <v>3138</v>
      </c>
      <c r="E451" t="s">
        <v>3139</v>
      </c>
      <c r="F451" t="s">
        <v>95</v>
      </c>
      <c r="G451" t="s">
        <v>3140</v>
      </c>
      <c r="H451" t="s">
        <v>364</v>
      </c>
      <c r="I451" t="s">
        <v>137</v>
      </c>
      <c r="J451" t="s">
        <v>46</v>
      </c>
      <c r="K451" t="s">
        <v>1088</v>
      </c>
      <c r="L451" t="s">
        <v>3141</v>
      </c>
      <c r="M451">
        <v>8</v>
      </c>
      <c r="N451">
        <v>3526</v>
      </c>
      <c r="O451">
        <v>10</v>
      </c>
      <c r="P451">
        <v>26164.2</v>
      </c>
      <c r="Q451">
        <v>25387.919999999998</v>
      </c>
      <c r="R451">
        <v>776.28</v>
      </c>
      <c r="S451" t="s">
        <v>100</v>
      </c>
      <c r="T451" t="s">
        <v>50</v>
      </c>
      <c r="U451" t="s">
        <v>3142</v>
      </c>
      <c r="V451" t="s">
        <v>3143</v>
      </c>
      <c r="W451">
        <v>18</v>
      </c>
      <c r="X451" t="s">
        <v>53</v>
      </c>
      <c r="Y451">
        <v>0</v>
      </c>
    </row>
    <row r="452" spans="1:25" x14ac:dyDescent="0.35">
      <c r="A452" t="s">
        <v>3144</v>
      </c>
      <c r="B452" s="1">
        <v>45504</v>
      </c>
      <c r="C452" s="1">
        <v>45508</v>
      </c>
      <c r="D452" t="s">
        <v>3145</v>
      </c>
      <c r="E452" t="s">
        <v>3146</v>
      </c>
      <c r="F452" t="s">
        <v>57</v>
      </c>
      <c r="G452" t="s">
        <v>3147</v>
      </c>
      <c r="H452" t="s">
        <v>68</v>
      </c>
      <c r="I452" t="s">
        <v>31</v>
      </c>
      <c r="J452" t="s">
        <v>32</v>
      </c>
      <c r="K452" t="s">
        <v>547</v>
      </c>
      <c r="L452" t="s">
        <v>2861</v>
      </c>
      <c r="M452">
        <v>2</v>
      </c>
      <c r="N452">
        <v>3361</v>
      </c>
      <c r="O452">
        <v>15</v>
      </c>
      <c r="P452">
        <v>6490.7</v>
      </c>
      <c r="Q452">
        <v>5714.48</v>
      </c>
      <c r="R452">
        <v>776.22</v>
      </c>
      <c r="S452" t="s">
        <v>80</v>
      </c>
      <c r="T452" t="s">
        <v>50</v>
      </c>
      <c r="U452" t="s">
        <v>3148</v>
      </c>
      <c r="V452" t="s">
        <v>3149</v>
      </c>
      <c r="W452">
        <v>28</v>
      </c>
      <c r="X452" t="s">
        <v>53</v>
      </c>
      <c r="Y452">
        <v>0</v>
      </c>
    </row>
    <row r="453" spans="1:25" x14ac:dyDescent="0.35">
      <c r="A453" t="s">
        <v>3150</v>
      </c>
      <c r="B453" s="1">
        <v>45895</v>
      </c>
      <c r="C453" s="1">
        <v>45897</v>
      </c>
      <c r="D453" t="s">
        <v>3151</v>
      </c>
      <c r="E453" t="s">
        <v>3152</v>
      </c>
      <c r="F453" t="s">
        <v>28</v>
      </c>
      <c r="G453" t="s">
        <v>3153</v>
      </c>
      <c r="H453" t="s">
        <v>230</v>
      </c>
      <c r="I453" t="s">
        <v>137</v>
      </c>
      <c r="J453" t="s">
        <v>46</v>
      </c>
      <c r="K453" t="s">
        <v>699</v>
      </c>
      <c r="L453" t="s">
        <v>3154</v>
      </c>
      <c r="M453">
        <v>9</v>
      </c>
      <c r="N453">
        <v>2967</v>
      </c>
      <c r="O453">
        <v>10</v>
      </c>
      <c r="P453">
        <v>24809.7</v>
      </c>
      <c r="Q453">
        <v>24033.46</v>
      </c>
      <c r="R453">
        <v>776.24</v>
      </c>
      <c r="S453" t="s">
        <v>35</v>
      </c>
      <c r="T453" t="s">
        <v>140</v>
      </c>
      <c r="U453" t="s">
        <v>3155</v>
      </c>
      <c r="V453" t="s">
        <v>3156</v>
      </c>
      <c r="W453">
        <v>0</v>
      </c>
      <c r="X453" t="s">
        <v>39</v>
      </c>
      <c r="Y453">
        <v>33</v>
      </c>
    </row>
    <row r="454" spans="1:25" x14ac:dyDescent="0.35">
      <c r="A454" t="s">
        <v>3157</v>
      </c>
      <c r="B454" s="1">
        <v>45484</v>
      </c>
      <c r="C454" s="1">
        <v>45489</v>
      </c>
      <c r="D454" t="s">
        <v>2621</v>
      </c>
      <c r="E454" t="s">
        <v>3158</v>
      </c>
      <c r="F454" t="s">
        <v>95</v>
      </c>
      <c r="G454" t="s">
        <v>3159</v>
      </c>
      <c r="H454" t="s">
        <v>77</v>
      </c>
      <c r="I454" t="s">
        <v>45</v>
      </c>
      <c r="J454" t="s">
        <v>46</v>
      </c>
      <c r="K454" t="s">
        <v>173</v>
      </c>
      <c r="L454" t="s">
        <v>3160</v>
      </c>
      <c r="M454">
        <v>10</v>
      </c>
      <c r="N454">
        <v>2320</v>
      </c>
      <c r="O454">
        <v>15</v>
      </c>
      <c r="P454">
        <v>20497</v>
      </c>
      <c r="Q454">
        <v>19720.830000000002</v>
      </c>
      <c r="R454">
        <v>776.17</v>
      </c>
      <c r="S454" t="s">
        <v>49</v>
      </c>
      <c r="T454" t="s">
        <v>50</v>
      </c>
      <c r="U454" t="s">
        <v>3161</v>
      </c>
      <c r="V454" t="s">
        <v>3162</v>
      </c>
      <c r="W454">
        <v>41</v>
      </c>
      <c r="X454" t="s">
        <v>53</v>
      </c>
      <c r="Y454">
        <v>0</v>
      </c>
    </row>
    <row r="455" spans="1:25" x14ac:dyDescent="0.35">
      <c r="A455" t="s">
        <v>3163</v>
      </c>
      <c r="B455" s="1">
        <v>45578</v>
      </c>
      <c r="C455" s="1">
        <v>45582</v>
      </c>
      <c r="D455" t="s">
        <v>3164</v>
      </c>
      <c r="E455" t="s">
        <v>3165</v>
      </c>
      <c r="F455" t="s">
        <v>95</v>
      </c>
      <c r="G455" t="s">
        <v>3166</v>
      </c>
      <c r="H455" t="s">
        <v>198</v>
      </c>
      <c r="I455" t="s">
        <v>31</v>
      </c>
      <c r="J455" t="s">
        <v>32</v>
      </c>
      <c r="K455" t="s">
        <v>786</v>
      </c>
      <c r="L455" t="s">
        <v>3167</v>
      </c>
      <c r="M455">
        <v>9</v>
      </c>
      <c r="N455">
        <v>1370</v>
      </c>
      <c r="O455">
        <v>10</v>
      </c>
      <c r="P455">
        <v>11874</v>
      </c>
      <c r="Q455">
        <v>11097.77</v>
      </c>
      <c r="R455">
        <v>776.23</v>
      </c>
      <c r="S455" t="s">
        <v>35</v>
      </c>
      <c r="T455" t="s">
        <v>36</v>
      </c>
      <c r="U455" t="s">
        <v>3168</v>
      </c>
      <c r="V455" t="s">
        <v>3169</v>
      </c>
      <c r="W455">
        <v>2</v>
      </c>
      <c r="X455" t="s">
        <v>39</v>
      </c>
      <c r="Y455">
        <v>36</v>
      </c>
    </row>
    <row r="456" spans="1:25" x14ac:dyDescent="0.35">
      <c r="A456" t="s">
        <v>3170</v>
      </c>
      <c r="B456" s="1">
        <v>45400</v>
      </c>
      <c r="C456" s="1">
        <v>45405</v>
      </c>
      <c r="D456" t="s">
        <v>3091</v>
      </c>
      <c r="E456" t="s">
        <v>3171</v>
      </c>
      <c r="F456" t="s">
        <v>28</v>
      </c>
      <c r="G456" t="s">
        <v>3172</v>
      </c>
      <c r="H456" t="s">
        <v>154</v>
      </c>
      <c r="I456" t="s">
        <v>137</v>
      </c>
      <c r="J456" t="s">
        <v>118</v>
      </c>
      <c r="K456" t="s">
        <v>173</v>
      </c>
      <c r="L456" t="s">
        <v>3173</v>
      </c>
      <c r="M456">
        <v>6</v>
      </c>
      <c r="N456">
        <v>2033</v>
      </c>
      <c r="O456">
        <v>20</v>
      </c>
      <c r="P456">
        <v>10535.4</v>
      </c>
      <c r="Q456">
        <v>9759.07</v>
      </c>
      <c r="R456">
        <v>776.33</v>
      </c>
      <c r="S456" t="s">
        <v>100</v>
      </c>
      <c r="T456" t="s">
        <v>89</v>
      </c>
      <c r="U456" t="s">
        <v>3174</v>
      </c>
      <c r="V456" t="s">
        <v>3175</v>
      </c>
      <c r="W456">
        <v>4</v>
      </c>
      <c r="X456" t="s">
        <v>39</v>
      </c>
      <c r="Y456">
        <v>37</v>
      </c>
    </row>
    <row r="457" spans="1:25" x14ac:dyDescent="0.35">
      <c r="A457" t="s">
        <v>3176</v>
      </c>
      <c r="B457" s="1">
        <v>45510</v>
      </c>
      <c r="C457" s="1">
        <v>45513</v>
      </c>
      <c r="D457" t="s">
        <v>3177</v>
      </c>
      <c r="E457" t="s">
        <v>2260</v>
      </c>
      <c r="F457" t="s">
        <v>95</v>
      </c>
      <c r="G457" t="s">
        <v>3178</v>
      </c>
      <c r="H457" t="s">
        <v>320</v>
      </c>
      <c r="I457" t="s">
        <v>137</v>
      </c>
      <c r="J457" t="s">
        <v>97</v>
      </c>
      <c r="K457" t="s">
        <v>885</v>
      </c>
      <c r="L457" t="s">
        <v>3179</v>
      </c>
      <c r="M457">
        <v>1</v>
      </c>
      <c r="N457">
        <v>4473</v>
      </c>
      <c r="O457">
        <v>10</v>
      </c>
      <c r="P457">
        <v>4802.7</v>
      </c>
      <c r="Q457">
        <v>4026.49</v>
      </c>
      <c r="R457">
        <v>776.21</v>
      </c>
      <c r="S457" t="s">
        <v>100</v>
      </c>
      <c r="T457" t="s">
        <v>50</v>
      </c>
      <c r="U457" t="s">
        <v>3180</v>
      </c>
      <c r="V457" t="s">
        <v>3181</v>
      </c>
      <c r="W457">
        <v>6</v>
      </c>
      <c r="X457" t="s">
        <v>39</v>
      </c>
      <c r="Y457">
        <v>22</v>
      </c>
    </row>
    <row r="458" spans="1:25" x14ac:dyDescent="0.35">
      <c r="A458" t="s">
        <v>3182</v>
      </c>
      <c r="B458" s="1">
        <v>45534</v>
      </c>
      <c r="C458" s="1">
        <v>45538</v>
      </c>
      <c r="D458" t="s">
        <v>1336</v>
      </c>
      <c r="E458" t="s">
        <v>3183</v>
      </c>
      <c r="F458" t="s">
        <v>57</v>
      </c>
      <c r="G458" t="s">
        <v>3184</v>
      </c>
      <c r="H458" t="s">
        <v>172</v>
      </c>
      <c r="I458" t="s">
        <v>45</v>
      </c>
      <c r="J458" t="s">
        <v>32</v>
      </c>
      <c r="K458" t="s">
        <v>648</v>
      </c>
      <c r="L458" t="s">
        <v>3185</v>
      </c>
      <c r="M458">
        <v>5</v>
      </c>
      <c r="N458">
        <v>929</v>
      </c>
      <c r="O458">
        <v>5</v>
      </c>
      <c r="P458">
        <v>5189.75</v>
      </c>
      <c r="Q458">
        <v>4413.57</v>
      </c>
      <c r="R458">
        <v>776.18</v>
      </c>
      <c r="S458" t="s">
        <v>80</v>
      </c>
      <c r="T458" t="s">
        <v>140</v>
      </c>
      <c r="U458" t="s">
        <v>3186</v>
      </c>
      <c r="V458" t="s">
        <v>3187</v>
      </c>
      <c r="W458">
        <v>4</v>
      </c>
      <c r="X458" t="s">
        <v>39</v>
      </c>
      <c r="Y458">
        <v>49</v>
      </c>
    </row>
    <row r="459" spans="1:25" x14ac:dyDescent="0.35">
      <c r="A459" t="s">
        <v>3188</v>
      </c>
      <c r="B459" s="1">
        <v>45822</v>
      </c>
      <c r="C459" s="1">
        <v>45829</v>
      </c>
      <c r="D459" t="s">
        <v>3189</v>
      </c>
      <c r="E459" t="s">
        <v>3190</v>
      </c>
      <c r="F459" t="s">
        <v>95</v>
      </c>
      <c r="G459" t="s">
        <v>3191</v>
      </c>
      <c r="H459" t="s">
        <v>127</v>
      </c>
      <c r="I459" t="s">
        <v>45</v>
      </c>
      <c r="J459" t="s">
        <v>46</v>
      </c>
      <c r="K459" t="s">
        <v>714</v>
      </c>
      <c r="L459" t="s">
        <v>3192</v>
      </c>
      <c r="M459">
        <v>6</v>
      </c>
      <c r="N459">
        <v>484</v>
      </c>
      <c r="O459">
        <v>10</v>
      </c>
      <c r="P459">
        <v>3390.6</v>
      </c>
      <c r="Q459">
        <v>2614.2600000000002</v>
      </c>
      <c r="R459">
        <v>776.34</v>
      </c>
      <c r="S459" t="s">
        <v>49</v>
      </c>
      <c r="T459" t="s">
        <v>140</v>
      </c>
      <c r="U459" t="s">
        <v>3193</v>
      </c>
      <c r="V459" t="s">
        <v>3194</v>
      </c>
      <c r="W459">
        <v>31</v>
      </c>
      <c r="X459" t="s">
        <v>53</v>
      </c>
      <c r="Y459">
        <v>0</v>
      </c>
    </row>
    <row r="460" spans="1:25" x14ac:dyDescent="0.35">
      <c r="A460" t="s">
        <v>3195</v>
      </c>
      <c r="B460" s="1">
        <v>45592</v>
      </c>
      <c r="C460" s="1">
        <v>45595</v>
      </c>
      <c r="D460" t="s">
        <v>3196</v>
      </c>
      <c r="E460" t="s">
        <v>3197</v>
      </c>
      <c r="F460" t="s">
        <v>95</v>
      </c>
      <c r="G460" t="s">
        <v>3198</v>
      </c>
      <c r="H460" t="s">
        <v>136</v>
      </c>
      <c r="I460" t="s">
        <v>137</v>
      </c>
      <c r="J460" t="s">
        <v>32</v>
      </c>
      <c r="K460" t="s">
        <v>128</v>
      </c>
      <c r="L460" t="s">
        <v>3199</v>
      </c>
      <c r="M460">
        <v>3</v>
      </c>
      <c r="N460">
        <v>610</v>
      </c>
      <c r="O460">
        <v>10</v>
      </c>
      <c r="P460">
        <v>2424</v>
      </c>
      <c r="Q460">
        <v>1647.7</v>
      </c>
      <c r="R460">
        <v>776.3</v>
      </c>
      <c r="S460" t="s">
        <v>100</v>
      </c>
      <c r="T460" t="s">
        <v>36</v>
      </c>
      <c r="U460" t="s">
        <v>3200</v>
      </c>
      <c r="V460" t="s">
        <v>3201</v>
      </c>
      <c r="W460">
        <v>10</v>
      </c>
      <c r="X460" t="s">
        <v>53</v>
      </c>
      <c r="Y460">
        <v>0</v>
      </c>
    </row>
    <row r="461" spans="1:25" x14ac:dyDescent="0.35">
      <c r="A461" t="s">
        <v>3202</v>
      </c>
      <c r="B461" s="1">
        <v>45346</v>
      </c>
      <c r="C461" s="1">
        <v>45347</v>
      </c>
      <c r="D461" t="s">
        <v>3203</v>
      </c>
      <c r="E461" t="s">
        <v>3204</v>
      </c>
      <c r="F461" t="s">
        <v>28</v>
      </c>
      <c r="G461" t="s">
        <v>3205</v>
      </c>
      <c r="H461" t="s">
        <v>154</v>
      </c>
      <c r="I461" t="s">
        <v>137</v>
      </c>
      <c r="J461" t="s">
        <v>46</v>
      </c>
      <c r="K461" t="s">
        <v>562</v>
      </c>
      <c r="L461" t="s">
        <v>3206</v>
      </c>
      <c r="M461">
        <v>7</v>
      </c>
      <c r="N461">
        <v>4418</v>
      </c>
      <c r="O461">
        <v>0</v>
      </c>
      <c r="P461">
        <v>31703</v>
      </c>
      <c r="Q461">
        <v>30926.880000000001</v>
      </c>
      <c r="R461">
        <v>776.12</v>
      </c>
      <c r="S461" t="s">
        <v>100</v>
      </c>
      <c r="T461" t="s">
        <v>89</v>
      </c>
      <c r="U461" t="s">
        <v>3207</v>
      </c>
      <c r="V461" t="s">
        <v>3208</v>
      </c>
      <c r="W461">
        <v>0</v>
      </c>
      <c r="X461" t="s">
        <v>39</v>
      </c>
      <c r="Y461">
        <v>21</v>
      </c>
    </row>
    <row r="462" spans="1:25" x14ac:dyDescent="0.35">
      <c r="A462" t="s">
        <v>3209</v>
      </c>
      <c r="B462" s="1">
        <v>45826</v>
      </c>
      <c r="C462" s="1">
        <v>45833</v>
      </c>
      <c r="D462" t="s">
        <v>1665</v>
      </c>
      <c r="E462" t="s">
        <v>3210</v>
      </c>
      <c r="F462" t="s">
        <v>28</v>
      </c>
      <c r="G462" t="s">
        <v>3211</v>
      </c>
      <c r="H462" t="s">
        <v>172</v>
      </c>
      <c r="I462" t="s">
        <v>45</v>
      </c>
      <c r="J462" t="s">
        <v>97</v>
      </c>
      <c r="K462" t="s">
        <v>714</v>
      </c>
      <c r="L462" t="s">
        <v>3212</v>
      </c>
      <c r="M462">
        <v>3</v>
      </c>
      <c r="N462">
        <v>3793</v>
      </c>
      <c r="O462">
        <v>10</v>
      </c>
      <c r="P462">
        <v>11018.1</v>
      </c>
      <c r="Q462">
        <v>10241.799999999999</v>
      </c>
      <c r="R462">
        <v>776.3</v>
      </c>
      <c r="S462" t="s">
        <v>35</v>
      </c>
      <c r="T462" t="s">
        <v>50</v>
      </c>
      <c r="U462" t="s">
        <v>3213</v>
      </c>
      <c r="V462" t="s">
        <v>3214</v>
      </c>
      <c r="W462">
        <v>16</v>
      </c>
      <c r="X462" t="s">
        <v>53</v>
      </c>
      <c r="Y462">
        <v>0</v>
      </c>
    </row>
    <row r="463" spans="1:25" x14ac:dyDescent="0.35">
      <c r="A463" t="s">
        <v>3215</v>
      </c>
      <c r="B463" s="1">
        <v>45402</v>
      </c>
      <c r="C463" s="1">
        <v>45403</v>
      </c>
      <c r="D463" t="s">
        <v>2474</v>
      </c>
      <c r="E463" t="s">
        <v>3216</v>
      </c>
      <c r="F463" t="s">
        <v>57</v>
      </c>
      <c r="G463" t="s">
        <v>3217</v>
      </c>
      <c r="H463" t="s">
        <v>230</v>
      </c>
      <c r="I463" t="s">
        <v>137</v>
      </c>
      <c r="J463" t="s">
        <v>97</v>
      </c>
      <c r="K463" t="s">
        <v>532</v>
      </c>
      <c r="L463" t="s">
        <v>3218</v>
      </c>
      <c r="M463">
        <v>9</v>
      </c>
      <c r="N463">
        <v>3839</v>
      </c>
      <c r="O463">
        <v>20</v>
      </c>
      <c r="P463">
        <v>28417.8</v>
      </c>
      <c r="Q463">
        <v>27641.52</v>
      </c>
      <c r="R463">
        <v>776.28</v>
      </c>
      <c r="S463" t="s">
        <v>49</v>
      </c>
      <c r="T463" t="s">
        <v>140</v>
      </c>
      <c r="U463" t="s">
        <v>3219</v>
      </c>
      <c r="V463" t="s">
        <v>3220</v>
      </c>
      <c r="W463">
        <v>2</v>
      </c>
      <c r="X463" t="s">
        <v>39</v>
      </c>
      <c r="Y463">
        <v>49</v>
      </c>
    </row>
    <row r="464" spans="1:25" x14ac:dyDescent="0.35">
      <c r="A464" t="s">
        <v>3221</v>
      </c>
      <c r="B464" s="1">
        <v>45880</v>
      </c>
      <c r="C464" s="1">
        <v>45887</v>
      </c>
      <c r="D464" t="s">
        <v>3222</v>
      </c>
      <c r="E464" t="s">
        <v>3223</v>
      </c>
      <c r="F464" t="s">
        <v>28</v>
      </c>
      <c r="G464" t="s">
        <v>3224</v>
      </c>
      <c r="H464" t="s">
        <v>107</v>
      </c>
      <c r="I464" t="s">
        <v>108</v>
      </c>
      <c r="J464" t="s">
        <v>46</v>
      </c>
      <c r="K464" t="s">
        <v>430</v>
      </c>
      <c r="L464" t="s">
        <v>3225</v>
      </c>
      <c r="M464">
        <v>3</v>
      </c>
      <c r="N464">
        <v>1881</v>
      </c>
      <c r="O464">
        <v>20</v>
      </c>
      <c r="P464">
        <v>5291.4</v>
      </c>
      <c r="Q464">
        <v>4515.2</v>
      </c>
      <c r="R464">
        <v>776.2</v>
      </c>
      <c r="S464" t="s">
        <v>49</v>
      </c>
      <c r="T464" t="s">
        <v>36</v>
      </c>
      <c r="U464" t="s">
        <v>3226</v>
      </c>
      <c r="V464" t="s">
        <v>3227</v>
      </c>
      <c r="W464">
        <v>23</v>
      </c>
      <c r="X464" t="s">
        <v>53</v>
      </c>
      <c r="Y464">
        <v>0</v>
      </c>
    </row>
    <row r="465" spans="1:25" x14ac:dyDescent="0.35">
      <c r="A465" t="s">
        <v>3228</v>
      </c>
      <c r="B465" s="1">
        <v>45543</v>
      </c>
      <c r="C465" s="1">
        <v>45547</v>
      </c>
      <c r="D465" t="s">
        <v>1003</v>
      </c>
      <c r="E465" t="s">
        <v>3229</v>
      </c>
      <c r="F465" t="s">
        <v>57</v>
      </c>
      <c r="G465" t="s">
        <v>2941</v>
      </c>
      <c r="H465" t="s">
        <v>68</v>
      </c>
      <c r="I465" t="s">
        <v>31</v>
      </c>
      <c r="J465" t="s">
        <v>97</v>
      </c>
      <c r="K465" t="s">
        <v>466</v>
      </c>
      <c r="L465" t="s">
        <v>3230</v>
      </c>
      <c r="M465">
        <v>7</v>
      </c>
      <c r="N465">
        <v>1968</v>
      </c>
      <c r="O465">
        <v>0</v>
      </c>
      <c r="P465">
        <v>14553</v>
      </c>
      <c r="Q465">
        <v>13776.81</v>
      </c>
      <c r="R465">
        <v>776.19</v>
      </c>
      <c r="S465" t="s">
        <v>100</v>
      </c>
      <c r="T465" t="s">
        <v>36</v>
      </c>
      <c r="U465" t="s">
        <v>3231</v>
      </c>
      <c r="V465" t="s">
        <v>3232</v>
      </c>
      <c r="W465">
        <v>40</v>
      </c>
      <c r="X465" t="s">
        <v>53</v>
      </c>
      <c r="Y465">
        <v>0</v>
      </c>
    </row>
    <row r="466" spans="1:25" x14ac:dyDescent="0.35">
      <c r="A466" t="s">
        <v>3233</v>
      </c>
      <c r="B466" s="1">
        <v>45374</v>
      </c>
      <c r="C466" s="1">
        <v>45376</v>
      </c>
      <c r="D466" t="s">
        <v>939</v>
      </c>
      <c r="E466" t="s">
        <v>3234</v>
      </c>
      <c r="F466" t="s">
        <v>28</v>
      </c>
      <c r="G466" t="s">
        <v>3235</v>
      </c>
      <c r="H466" t="s">
        <v>283</v>
      </c>
      <c r="I466" t="s">
        <v>45</v>
      </c>
      <c r="J466" t="s">
        <v>32</v>
      </c>
      <c r="K466" t="s">
        <v>87</v>
      </c>
      <c r="L466" t="s">
        <v>3236</v>
      </c>
      <c r="M466">
        <v>2</v>
      </c>
      <c r="N466">
        <v>2373</v>
      </c>
      <c r="O466">
        <v>20</v>
      </c>
      <c r="P466">
        <v>4573.8</v>
      </c>
      <c r="Q466">
        <v>3797.6</v>
      </c>
      <c r="R466">
        <v>776.2</v>
      </c>
      <c r="S466" t="s">
        <v>49</v>
      </c>
      <c r="T466" t="s">
        <v>89</v>
      </c>
      <c r="U466" t="s">
        <v>3237</v>
      </c>
      <c r="V466" t="s">
        <v>3238</v>
      </c>
      <c r="W466">
        <v>0</v>
      </c>
      <c r="X466" t="s">
        <v>39</v>
      </c>
      <c r="Y466">
        <v>28</v>
      </c>
    </row>
    <row r="467" spans="1:25" x14ac:dyDescent="0.35">
      <c r="A467" t="s">
        <v>3239</v>
      </c>
      <c r="B467" s="1">
        <v>45658</v>
      </c>
      <c r="C467" s="1">
        <v>45661</v>
      </c>
      <c r="D467" t="s">
        <v>953</v>
      </c>
      <c r="E467" t="s">
        <v>3240</v>
      </c>
      <c r="F467" t="s">
        <v>28</v>
      </c>
      <c r="G467" t="s">
        <v>3241</v>
      </c>
      <c r="H467" t="s">
        <v>77</v>
      </c>
      <c r="I467" t="s">
        <v>45</v>
      </c>
      <c r="J467" t="s">
        <v>118</v>
      </c>
      <c r="K467" t="s">
        <v>699</v>
      </c>
      <c r="L467" t="s">
        <v>3242</v>
      </c>
      <c r="M467">
        <v>10</v>
      </c>
      <c r="N467">
        <v>2843</v>
      </c>
      <c r="O467">
        <v>5</v>
      </c>
      <c r="P467">
        <v>27785.5</v>
      </c>
      <c r="Q467">
        <v>27009.21</v>
      </c>
      <c r="R467">
        <v>776.29</v>
      </c>
      <c r="S467" t="s">
        <v>100</v>
      </c>
      <c r="T467" t="s">
        <v>140</v>
      </c>
      <c r="U467" t="s">
        <v>3243</v>
      </c>
      <c r="V467" t="s">
        <v>3244</v>
      </c>
      <c r="W467">
        <v>34</v>
      </c>
      <c r="X467" t="s">
        <v>53</v>
      </c>
      <c r="Y467">
        <v>0</v>
      </c>
    </row>
    <row r="468" spans="1:25" x14ac:dyDescent="0.35">
      <c r="A468" t="s">
        <v>3245</v>
      </c>
      <c r="B468" s="1">
        <v>45480</v>
      </c>
      <c r="C468" s="1">
        <v>45486</v>
      </c>
      <c r="D468" t="s">
        <v>3246</v>
      </c>
      <c r="E468" t="s">
        <v>3247</v>
      </c>
      <c r="F468" t="s">
        <v>57</v>
      </c>
      <c r="G468" t="s">
        <v>3248</v>
      </c>
      <c r="H468" t="s">
        <v>44</v>
      </c>
      <c r="I468" t="s">
        <v>45</v>
      </c>
      <c r="J468" t="s">
        <v>118</v>
      </c>
      <c r="K468" t="s">
        <v>33</v>
      </c>
      <c r="L468" t="s">
        <v>3249</v>
      </c>
      <c r="M468">
        <v>1</v>
      </c>
      <c r="N468">
        <v>432</v>
      </c>
      <c r="O468">
        <v>10</v>
      </c>
      <c r="P468">
        <v>1165.8</v>
      </c>
      <c r="Q468">
        <v>389.48</v>
      </c>
      <c r="R468">
        <v>776.32</v>
      </c>
      <c r="S468" t="s">
        <v>80</v>
      </c>
      <c r="T468" t="s">
        <v>50</v>
      </c>
      <c r="U468" t="s">
        <v>3250</v>
      </c>
      <c r="V468" t="s">
        <v>3251</v>
      </c>
      <c r="W468">
        <v>41</v>
      </c>
      <c r="X468" t="s">
        <v>53</v>
      </c>
      <c r="Y468">
        <v>0</v>
      </c>
    </row>
    <row r="469" spans="1:25" x14ac:dyDescent="0.35">
      <c r="A469" t="s">
        <v>3252</v>
      </c>
      <c r="B469" s="1">
        <v>45930</v>
      </c>
      <c r="C469" s="1">
        <v>45937</v>
      </c>
      <c r="D469" t="s">
        <v>2621</v>
      </c>
      <c r="E469" t="s">
        <v>3253</v>
      </c>
      <c r="F469" t="s">
        <v>28</v>
      </c>
      <c r="G469" t="s">
        <v>3254</v>
      </c>
      <c r="H469" t="s">
        <v>77</v>
      </c>
      <c r="I469" t="s">
        <v>45</v>
      </c>
      <c r="J469" t="s">
        <v>32</v>
      </c>
      <c r="K469" t="s">
        <v>547</v>
      </c>
      <c r="L469" t="s">
        <v>3255</v>
      </c>
      <c r="M469">
        <v>4</v>
      </c>
      <c r="N469">
        <v>3170</v>
      </c>
      <c r="O469">
        <v>10</v>
      </c>
      <c r="P469">
        <v>12189</v>
      </c>
      <c r="Q469">
        <v>11412.62</v>
      </c>
      <c r="R469">
        <v>776.38</v>
      </c>
      <c r="S469" t="s">
        <v>35</v>
      </c>
      <c r="T469" t="s">
        <v>36</v>
      </c>
      <c r="U469" t="s">
        <v>3256</v>
      </c>
      <c r="V469" t="s">
        <v>3257</v>
      </c>
      <c r="W469">
        <v>19</v>
      </c>
      <c r="X469" t="s">
        <v>53</v>
      </c>
      <c r="Y469">
        <v>0</v>
      </c>
    </row>
    <row r="470" spans="1:25" x14ac:dyDescent="0.35">
      <c r="A470" t="s">
        <v>3258</v>
      </c>
      <c r="B470" s="1">
        <v>45236</v>
      </c>
      <c r="C470" s="1">
        <v>45242</v>
      </c>
      <c r="D470" t="s">
        <v>1910</v>
      </c>
      <c r="E470" t="s">
        <v>3259</v>
      </c>
      <c r="F470" t="s">
        <v>95</v>
      </c>
      <c r="G470" t="s">
        <v>3260</v>
      </c>
      <c r="H470" t="s">
        <v>334</v>
      </c>
      <c r="I470" t="s">
        <v>108</v>
      </c>
      <c r="J470" t="s">
        <v>32</v>
      </c>
      <c r="K470" t="s">
        <v>1088</v>
      </c>
      <c r="L470" t="s">
        <v>3261</v>
      </c>
      <c r="M470">
        <v>5</v>
      </c>
      <c r="N470">
        <v>3216</v>
      </c>
      <c r="O470">
        <v>5</v>
      </c>
      <c r="P470">
        <v>16053</v>
      </c>
      <c r="Q470">
        <v>15276.85</v>
      </c>
      <c r="R470">
        <v>776.15</v>
      </c>
      <c r="S470" t="s">
        <v>100</v>
      </c>
      <c r="T470" t="s">
        <v>140</v>
      </c>
      <c r="U470" t="s">
        <v>3262</v>
      </c>
      <c r="V470" t="s">
        <v>3263</v>
      </c>
      <c r="W470">
        <v>14</v>
      </c>
      <c r="X470" t="s">
        <v>53</v>
      </c>
      <c r="Y470">
        <v>0</v>
      </c>
    </row>
    <row r="471" spans="1:25" x14ac:dyDescent="0.35">
      <c r="A471" t="s">
        <v>3264</v>
      </c>
      <c r="B471" s="1">
        <v>45665</v>
      </c>
      <c r="C471" s="1">
        <v>45672</v>
      </c>
      <c r="D471" t="s">
        <v>3265</v>
      </c>
      <c r="E471" t="s">
        <v>3266</v>
      </c>
      <c r="F471" t="s">
        <v>28</v>
      </c>
      <c r="G471" t="s">
        <v>3267</v>
      </c>
      <c r="H471" t="s">
        <v>77</v>
      </c>
      <c r="I471" t="s">
        <v>45</v>
      </c>
      <c r="J471" t="s">
        <v>97</v>
      </c>
      <c r="K471" t="s">
        <v>927</v>
      </c>
      <c r="L471" t="s">
        <v>3268</v>
      </c>
      <c r="M471">
        <v>3</v>
      </c>
      <c r="N471">
        <v>1278</v>
      </c>
      <c r="O471">
        <v>15</v>
      </c>
      <c r="P471">
        <v>4035.9</v>
      </c>
      <c r="Q471">
        <v>3259.67</v>
      </c>
      <c r="R471">
        <v>776.23</v>
      </c>
      <c r="S471" t="s">
        <v>49</v>
      </c>
      <c r="T471" t="s">
        <v>36</v>
      </c>
      <c r="U471" t="s">
        <v>3269</v>
      </c>
      <c r="V471" t="s">
        <v>3270</v>
      </c>
      <c r="W471">
        <v>45</v>
      </c>
      <c r="X471" t="s">
        <v>53</v>
      </c>
      <c r="Y471">
        <v>0</v>
      </c>
    </row>
    <row r="472" spans="1:25" x14ac:dyDescent="0.35">
      <c r="A472" t="s">
        <v>3271</v>
      </c>
      <c r="B472" s="1">
        <v>45377</v>
      </c>
      <c r="C472" s="1">
        <v>45380</v>
      </c>
      <c r="D472" t="s">
        <v>1037</v>
      </c>
      <c r="E472" t="s">
        <v>3272</v>
      </c>
      <c r="F472" t="s">
        <v>28</v>
      </c>
      <c r="G472" t="s">
        <v>3273</v>
      </c>
      <c r="H472" t="s">
        <v>117</v>
      </c>
      <c r="I472" t="s">
        <v>108</v>
      </c>
      <c r="J472" t="s">
        <v>97</v>
      </c>
      <c r="K472" t="s">
        <v>109</v>
      </c>
      <c r="L472" t="s">
        <v>3274</v>
      </c>
      <c r="M472">
        <v>2</v>
      </c>
      <c r="N472">
        <v>2275</v>
      </c>
      <c r="O472">
        <v>0</v>
      </c>
      <c r="P472">
        <v>5327</v>
      </c>
      <c r="Q472">
        <v>4550.72</v>
      </c>
      <c r="R472">
        <v>776.28</v>
      </c>
      <c r="S472" t="s">
        <v>80</v>
      </c>
      <c r="T472" t="s">
        <v>89</v>
      </c>
      <c r="U472" t="s">
        <v>3275</v>
      </c>
      <c r="V472" t="s">
        <v>3276</v>
      </c>
      <c r="W472">
        <v>8</v>
      </c>
      <c r="X472" t="s">
        <v>39</v>
      </c>
      <c r="Y472">
        <v>25</v>
      </c>
    </row>
    <row r="473" spans="1:25" x14ac:dyDescent="0.35">
      <c r="A473" t="s">
        <v>3277</v>
      </c>
      <c r="B473" s="1">
        <v>45649</v>
      </c>
      <c r="C473" s="1">
        <v>45653</v>
      </c>
      <c r="D473" t="s">
        <v>3278</v>
      </c>
      <c r="E473" t="s">
        <v>3279</v>
      </c>
      <c r="F473" t="s">
        <v>95</v>
      </c>
      <c r="G473" t="s">
        <v>3280</v>
      </c>
      <c r="H473" t="s">
        <v>163</v>
      </c>
      <c r="I473" t="s">
        <v>108</v>
      </c>
      <c r="J473" t="s">
        <v>118</v>
      </c>
      <c r="K473" t="s">
        <v>562</v>
      </c>
      <c r="L473" t="s">
        <v>3281</v>
      </c>
      <c r="M473">
        <v>1</v>
      </c>
      <c r="N473">
        <v>965</v>
      </c>
      <c r="O473">
        <v>5</v>
      </c>
      <c r="P473">
        <v>1693.75</v>
      </c>
      <c r="Q473">
        <v>917.63</v>
      </c>
      <c r="R473">
        <v>776.12</v>
      </c>
      <c r="S473" t="s">
        <v>49</v>
      </c>
      <c r="T473" t="s">
        <v>50</v>
      </c>
      <c r="U473" t="s">
        <v>3282</v>
      </c>
      <c r="V473" t="s">
        <v>3283</v>
      </c>
      <c r="W473">
        <v>17</v>
      </c>
      <c r="X473" t="s">
        <v>53</v>
      </c>
      <c r="Y473">
        <v>0</v>
      </c>
    </row>
    <row r="474" spans="1:25" x14ac:dyDescent="0.35">
      <c r="A474" t="s">
        <v>3284</v>
      </c>
      <c r="B474" s="1">
        <v>45515</v>
      </c>
      <c r="C474" s="1">
        <v>45517</v>
      </c>
      <c r="D474" t="s">
        <v>3285</v>
      </c>
      <c r="E474" t="s">
        <v>3286</v>
      </c>
      <c r="F474" t="s">
        <v>95</v>
      </c>
      <c r="G474" t="s">
        <v>3287</v>
      </c>
      <c r="H474" t="s">
        <v>77</v>
      </c>
      <c r="I474" t="s">
        <v>45</v>
      </c>
      <c r="J474" t="s">
        <v>46</v>
      </c>
      <c r="K474" t="s">
        <v>173</v>
      </c>
      <c r="L474" t="s">
        <v>3288</v>
      </c>
      <c r="M474">
        <v>6</v>
      </c>
      <c r="N474">
        <v>856</v>
      </c>
      <c r="O474">
        <v>0</v>
      </c>
      <c r="P474">
        <v>5913</v>
      </c>
      <c r="Q474">
        <v>5136.78</v>
      </c>
      <c r="R474">
        <v>776.22</v>
      </c>
      <c r="S474" t="s">
        <v>80</v>
      </c>
      <c r="T474" t="s">
        <v>140</v>
      </c>
      <c r="U474" t="s">
        <v>3289</v>
      </c>
      <c r="V474" t="s">
        <v>3290</v>
      </c>
      <c r="W474">
        <v>11</v>
      </c>
      <c r="X474" t="s">
        <v>53</v>
      </c>
      <c r="Y474">
        <v>0</v>
      </c>
    </row>
    <row r="475" spans="1:25" x14ac:dyDescent="0.35">
      <c r="A475" t="s">
        <v>3291</v>
      </c>
      <c r="B475" s="1">
        <v>45468</v>
      </c>
      <c r="C475" s="1">
        <v>45474</v>
      </c>
      <c r="D475" t="s">
        <v>3292</v>
      </c>
      <c r="E475" t="s">
        <v>3293</v>
      </c>
      <c r="F475" t="s">
        <v>95</v>
      </c>
      <c r="G475" t="s">
        <v>3294</v>
      </c>
      <c r="H475" t="s">
        <v>68</v>
      </c>
      <c r="I475" t="s">
        <v>31</v>
      </c>
      <c r="J475" t="s">
        <v>32</v>
      </c>
      <c r="K475" t="s">
        <v>155</v>
      </c>
      <c r="L475" t="s">
        <v>3295</v>
      </c>
      <c r="M475">
        <v>9</v>
      </c>
      <c r="N475">
        <v>4778</v>
      </c>
      <c r="O475">
        <v>10</v>
      </c>
      <c r="P475">
        <v>39478.800000000003</v>
      </c>
      <c r="Q475">
        <v>38702.5</v>
      </c>
      <c r="R475">
        <v>776.3</v>
      </c>
      <c r="S475" t="s">
        <v>100</v>
      </c>
      <c r="T475" t="s">
        <v>50</v>
      </c>
      <c r="U475" t="s">
        <v>3296</v>
      </c>
      <c r="V475" t="s">
        <v>3297</v>
      </c>
      <c r="W475">
        <v>46</v>
      </c>
      <c r="X475" t="s">
        <v>53</v>
      </c>
      <c r="Y475">
        <v>0</v>
      </c>
    </row>
    <row r="476" spans="1:25" x14ac:dyDescent="0.35">
      <c r="A476" t="s">
        <v>3298</v>
      </c>
      <c r="B476" s="1">
        <v>45684</v>
      </c>
      <c r="C476" s="1">
        <v>45687</v>
      </c>
      <c r="D476" t="s">
        <v>3299</v>
      </c>
      <c r="E476" t="s">
        <v>3300</v>
      </c>
      <c r="F476" t="s">
        <v>57</v>
      </c>
      <c r="G476" t="s">
        <v>3301</v>
      </c>
      <c r="H476" t="s">
        <v>364</v>
      </c>
      <c r="I476" t="s">
        <v>137</v>
      </c>
      <c r="J476" t="s">
        <v>46</v>
      </c>
      <c r="K476" t="s">
        <v>562</v>
      </c>
      <c r="L476" t="s">
        <v>3302</v>
      </c>
      <c r="M476">
        <v>8</v>
      </c>
      <c r="N476">
        <v>469</v>
      </c>
      <c r="O476">
        <v>15</v>
      </c>
      <c r="P476">
        <v>3966.2</v>
      </c>
      <c r="Q476">
        <v>3189.92</v>
      </c>
      <c r="R476">
        <v>776.28</v>
      </c>
      <c r="S476" t="s">
        <v>80</v>
      </c>
      <c r="T476" t="s">
        <v>50</v>
      </c>
      <c r="U476" t="s">
        <v>3303</v>
      </c>
      <c r="V476" t="s">
        <v>3304</v>
      </c>
      <c r="W476">
        <v>15</v>
      </c>
      <c r="X476" t="s">
        <v>53</v>
      </c>
      <c r="Y476">
        <v>0</v>
      </c>
    </row>
    <row r="477" spans="1:25" x14ac:dyDescent="0.35">
      <c r="A477" t="s">
        <v>3305</v>
      </c>
      <c r="B477" s="1">
        <v>45575</v>
      </c>
      <c r="C477" s="1">
        <v>45577</v>
      </c>
      <c r="D477" t="s">
        <v>3306</v>
      </c>
      <c r="E477" t="s">
        <v>3307</v>
      </c>
      <c r="F477" t="s">
        <v>57</v>
      </c>
      <c r="G477" t="s">
        <v>3308</v>
      </c>
      <c r="H477" t="s">
        <v>68</v>
      </c>
      <c r="I477" t="s">
        <v>31</v>
      </c>
      <c r="J477" t="s">
        <v>46</v>
      </c>
      <c r="K477" t="s">
        <v>524</v>
      </c>
      <c r="L477" t="s">
        <v>3309</v>
      </c>
      <c r="M477">
        <v>4</v>
      </c>
      <c r="N477">
        <v>4588</v>
      </c>
      <c r="O477">
        <v>10</v>
      </c>
      <c r="P477">
        <v>17293.8</v>
      </c>
      <c r="Q477">
        <v>16517.7</v>
      </c>
      <c r="R477">
        <v>776.1</v>
      </c>
      <c r="S477" t="s">
        <v>35</v>
      </c>
      <c r="T477" t="s">
        <v>89</v>
      </c>
      <c r="U477" t="s">
        <v>3310</v>
      </c>
      <c r="V477" t="s">
        <v>3311</v>
      </c>
      <c r="W477">
        <v>19</v>
      </c>
      <c r="X477" t="s">
        <v>53</v>
      </c>
      <c r="Y477">
        <v>0</v>
      </c>
    </row>
    <row r="478" spans="1:25" x14ac:dyDescent="0.35">
      <c r="A478" t="s">
        <v>3312</v>
      </c>
      <c r="B478" s="1">
        <v>45584</v>
      </c>
      <c r="C478" s="1">
        <v>45591</v>
      </c>
      <c r="D478" t="s">
        <v>3313</v>
      </c>
      <c r="E478" t="s">
        <v>3314</v>
      </c>
      <c r="F478" t="s">
        <v>95</v>
      </c>
      <c r="G478" t="s">
        <v>2254</v>
      </c>
      <c r="H478" t="s">
        <v>230</v>
      </c>
      <c r="I478" t="s">
        <v>137</v>
      </c>
      <c r="J478" t="s">
        <v>97</v>
      </c>
      <c r="K478" t="s">
        <v>691</v>
      </c>
      <c r="L478" t="s">
        <v>3315</v>
      </c>
      <c r="M478">
        <v>9</v>
      </c>
      <c r="N478">
        <v>1014</v>
      </c>
      <c r="O478">
        <v>15</v>
      </c>
      <c r="P478">
        <v>8534.1</v>
      </c>
      <c r="Q478">
        <v>7757.91</v>
      </c>
      <c r="R478">
        <v>776.19</v>
      </c>
      <c r="S478" t="s">
        <v>80</v>
      </c>
      <c r="T478" t="s">
        <v>89</v>
      </c>
      <c r="U478" t="s">
        <v>3316</v>
      </c>
      <c r="V478" t="s">
        <v>3317</v>
      </c>
      <c r="W478">
        <v>49</v>
      </c>
      <c r="X478" t="s">
        <v>53</v>
      </c>
      <c r="Y478">
        <v>0</v>
      </c>
    </row>
    <row r="479" spans="1:25" x14ac:dyDescent="0.35">
      <c r="A479" t="s">
        <v>3318</v>
      </c>
      <c r="B479" s="1">
        <v>45874</v>
      </c>
      <c r="C479" s="1">
        <v>45877</v>
      </c>
      <c r="D479" t="s">
        <v>3319</v>
      </c>
      <c r="E479" t="s">
        <v>3320</v>
      </c>
      <c r="F479" t="s">
        <v>57</v>
      </c>
      <c r="G479" t="s">
        <v>3321</v>
      </c>
      <c r="H479" t="s">
        <v>68</v>
      </c>
      <c r="I479" t="s">
        <v>31</v>
      </c>
      <c r="J479" t="s">
        <v>97</v>
      </c>
      <c r="K479" t="s">
        <v>750</v>
      </c>
      <c r="L479" t="s">
        <v>3322</v>
      </c>
      <c r="M479">
        <v>3</v>
      </c>
      <c r="N479">
        <v>4380</v>
      </c>
      <c r="O479">
        <v>5</v>
      </c>
      <c r="P479">
        <v>13260</v>
      </c>
      <c r="Q479">
        <v>12483.67</v>
      </c>
      <c r="R479">
        <v>776.33</v>
      </c>
      <c r="S479" t="s">
        <v>80</v>
      </c>
      <c r="T479" t="s">
        <v>89</v>
      </c>
      <c r="U479" t="s">
        <v>3323</v>
      </c>
      <c r="V479" t="s">
        <v>3324</v>
      </c>
      <c r="W479">
        <v>20</v>
      </c>
      <c r="X479" t="s">
        <v>53</v>
      </c>
      <c r="Y479">
        <v>0</v>
      </c>
    </row>
    <row r="480" spans="1:25" x14ac:dyDescent="0.35">
      <c r="A480" t="s">
        <v>3325</v>
      </c>
      <c r="B480" s="1">
        <v>45879</v>
      </c>
      <c r="C480" s="1">
        <v>45886</v>
      </c>
      <c r="D480" t="s">
        <v>2110</v>
      </c>
      <c r="E480" t="s">
        <v>3326</v>
      </c>
      <c r="F480" t="s">
        <v>28</v>
      </c>
      <c r="G480" t="s">
        <v>3327</v>
      </c>
      <c r="H480" t="s">
        <v>154</v>
      </c>
      <c r="I480" t="s">
        <v>137</v>
      </c>
      <c r="J480" t="s">
        <v>46</v>
      </c>
      <c r="K480" t="s">
        <v>430</v>
      </c>
      <c r="L480" t="s">
        <v>3328</v>
      </c>
      <c r="M480">
        <v>8</v>
      </c>
      <c r="N480">
        <v>864</v>
      </c>
      <c r="O480">
        <v>15</v>
      </c>
      <c r="P480">
        <v>6652.2</v>
      </c>
      <c r="Q480">
        <v>5876.07</v>
      </c>
      <c r="R480">
        <v>776.13</v>
      </c>
      <c r="S480" t="s">
        <v>80</v>
      </c>
      <c r="T480" t="s">
        <v>50</v>
      </c>
      <c r="U480" t="s">
        <v>3329</v>
      </c>
      <c r="V480" t="s">
        <v>3330</v>
      </c>
      <c r="W480">
        <v>4</v>
      </c>
      <c r="X480" t="s">
        <v>39</v>
      </c>
      <c r="Y480">
        <v>24</v>
      </c>
    </row>
    <row r="481" spans="1:25" x14ac:dyDescent="0.35">
      <c r="A481" t="s">
        <v>3331</v>
      </c>
      <c r="B481" s="1">
        <v>45930</v>
      </c>
      <c r="C481" s="1">
        <v>45932</v>
      </c>
      <c r="D481" t="s">
        <v>3332</v>
      </c>
      <c r="E481" t="s">
        <v>3333</v>
      </c>
      <c r="F481" t="s">
        <v>95</v>
      </c>
      <c r="G481" t="s">
        <v>3334</v>
      </c>
      <c r="H481" t="s">
        <v>30</v>
      </c>
      <c r="I481" t="s">
        <v>31</v>
      </c>
      <c r="J481" t="s">
        <v>32</v>
      </c>
      <c r="K481" t="s">
        <v>1275</v>
      </c>
      <c r="L481" t="s">
        <v>3335</v>
      </c>
      <c r="M481">
        <v>4</v>
      </c>
      <c r="N481">
        <v>889</v>
      </c>
      <c r="O481">
        <v>15</v>
      </c>
      <c r="P481">
        <v>3799.6</v>
      </c>
      <c r="Q481">
        <v>3023.32</v>
      </c>
      <c r="R481">
        <v>776.28</v>
      </c>
      <c r="S481" t="s">
        <v>49</v>
      </c>
      <c r="T481" t="s">
        <v>89</v>
      </c>
      <c r="U481" t="s">
        <v>3336</v>
      </c>
      <c r="V481" t="s">
        <v>3337</v>
      </c>
      <c r="W481">
        <v>38</v>
      </c>
      <c r="X481" t="s">
        <v>53</v>
      </c>
      <c r="Y481">
        <v>0</v>
      </c>
    </row>
    <row r="482" spans="1:25" x14ac:dyDescent="0.35">
      <c r="A482" t="s">
        <v>3338</v>
      </c>
      <c r="B482" s="1">
        <v>45400</v>
      </c>
      <c r="C482" s="1">
        <v>45401</v>
      </c>
      <c r="D482" t="s">
        <v>3339</v>
      </c>
      <c r="E482" t="s">
        <v>3340</v>
      </c>
      <c r="F482" t="s">
        <v>95</v>
      </c>
      <c r="G482" t="s">
        <v>3341</v>
      </c>
      <c r="H482" t="s">
        <v>334</v>
      </c>
      <c r="I482" t="s">
        <v>108</v>
      </c>
      <c r="J482" t="s">
        <v>118</v>
      </c>
      <c r="K482" t="s">
        <v>524</v>
      </c>
      <c r="L482" t="s">
        <v>3342</v>
      </c>
      <c r="M482">
        <v>10</v>
      </c>
      <c r="N482">
        <v>3256</v>
      </c>
      <c r="O482">
        <v>10</v>
      </c>
      <c r="P482">
        <v>30081</v>
      </c>
      <c r="Q482">
        <v>29304.71</v>
      </c>
      <c r="R482">
        <v>776.29</v>
      </c>
      <c r="S482" t="s">
        <v>35</v>
      </c>
      <c r="T482" t="s">
        <v>140</v>
      </c>
      <c r="U482" t="s">
        <v>3343</v>
      </c>
      <c r="V482" t="s">
        <v>3344</v>
      </c>
      <c r="W482">
        <v>29</v>
      </c>
      <c r="X482" t="s">
        <v>53</v>
      </c>
      <c r="Y482">
        <v>0</v>
      </c>
    </row>
    <row r="483" spans="1:25" x14ac:dyDescent="0.35">
      <c r="A483" t="s">
        <v>3345</v>
      </c>
      <c r="B483" s="1">
        <v>45530</v>
      </c>
      <c r="C483" s="1">
        <v>45536</v>
      </c>
      <c r="D483" t="s">
        <v>3346</v>
      </c>
      <c r="E483" t="s">
        <v>3347</v>
      </c>
      <c r="F483" t="s">
        <v>57</v>
      </c>
      <c r="G483" t="s">
        <v>3348</v>
      </c>
      <c r="H483" t="s">
        <v>334</v>
      </c>
      <c r="I483" t="s">
        <v>108</v>
      </c>
      <c r="J483" t="s">
        <v>118</v>
      </c>
      <c r="K483" t="s">
        <v>207</v>
      </c>
      <c r="L483" t="s">
        <v>3349</v>
      </c>
      <c r="M483">
        <v>5</v>
      </c>
      <c r="N483">
        <v>753</v>
      </c>
      <c r="O483">
        <v>5</v>
      </c>
      <c r="P483">
        <v>4353.75</v>
      </c>
      <c r="Q483">
        <v>3577.58</v>
      </c>
      <c r="R483">
        <v>776.17</v>
      </c>
      <c r="S483" t="s">
        <v>100</v>
      </c>
      <c r="T483" t="s">
        <v>36</v>
      </c>
      <c r="U483" t="s">
        <v>3350</v>
      </c>
      <c r="V483" t="s">
        <v>3351</v>
      </c>
      <c r="W483">
        <v>30</v>
      </c>
      <c r="X483" t="s">
        <v>53</v>
      </c>
      <c r="Y483">
        <v>0</v>
      </c>
    </row>
    <row r="484" spans="1:25" x14ac:dyDescent="0.35">
      <c r="A484" t="s">
        <v>3352</v>
      </c>
      <c r="B484" s="1">
        <v>45706</v>
      </c>
      <c r="C484" s="1">
        <v>45708</v>
      </c>
      <c r="D484" t="s">
        <v>3353</v>
      </c>
      <c r="E484" t="s">
        <v>3354</v>
      </c>
      <c r="F484" t="s">
        <v>95</v>
      </c>
      <c r="G484" t="s">
        <v>3355</v>
      </c>
      <c r="H484" t="s">
        <v>206</v>
      </c>
      <c r="I484" t="s">
        <v>31</v>
      </c>
      <c r="J484" t="s">
        <v>46</v>
      </c>
      <c r="K484" t="s">
        <v>60</v>
      </c>
      <c r="L484" t="s">
        <v>3356</v>
      </c>
      <c r="M484">
        <v>6</v>
      </c>
      <c r="N484">
        <v>1742</v>
      </c>
      <c r="O484">
        <v>0</v>
      </c>
      <c r="P484">
        <v>11229</v>
      </c>
      <c r="Q484">
        <v>10452.700000000001</v>
      </c>
      <c r="R484">
        <v>776.3</v>
      </c>
      <c r="S484" t="s">
        <v>35</v>
      </c>
      <c r="T484" t="s">
        <v>50</v>
      </c>
      <c r="U484" t="s">
        <v>3357</v>
      </c>
      <c r="V484" t="s">
        <v>3358</v>
      </c>
      <c r="W484">
        <v>3</v>
      </c>
      <c r="X484" t="s">
        <v>39</v>
      </c>
      <c r="Y484">
        <v>47</v>
      </c>
    </row>
    <row r="485" spans="1:25" x14ac:dyDescent="0.35">
      <c r="A485" t="s">
        <v>3359</v>
      </c>
      <c r="B485" s="1">
        <v>45805</v>
      </c>
      <c r="C485" s="1">
        <v>45810</v>
      </c>
      <c r="D485" t="s">
        <v>3360</v>
      </c>
      <c r="E485" t="s">
        <v>3361</v>
      </c>
      <c r="F485" t="s">
        <v>95</v>
      </c>
      <c r="G485" t="s">
        <v>3362</v>
      </c>
      <c r="H485" t="s">
        <v>163</v>
      </c>
      <c r="I485" t="s">
        <v>108</v>
      </c>
      <c r="J485" t="s">
        <v>32</v>
      </c>
      <c r="K485" t="s">
        <v>786</v>
      </c>
      <c r="L485" t="s">
        <v>3363</v>
      </c>
      <c r="M485">
        <v>9</v>
      </c>
      <c r="N485">
        <v>3861</v>
      </c>
      <c r="O485">
        <v>10</v>
      </c>
      <c r="P485">
        <v>32051.1</v>
      </c>
      <c r="Q485">
        <v>31274.81</v>
      </c>
      <c r="R485">
        <v>776.29</v>
      </c>
      <c r="S485" t="s">
        <v>35</v>
      </c>
      <c r="T485" t="s">
        <v>36</v>
      </c>
      <c r="U485" t="s">
        <v>3364</v>
      </c>
      <c r="V485" t="s">
        <v>3365</v>
      </c>
      <c r="W485">
        <v>40</v>
      </c>
      <c r="X485" t="s">
        <v>53</v>
      </c>
      <c r="Y485">
        <v>0</v>
      </c>
    </row>
    <row r="486" spans="1:25" x14ac:dyDescent="0.35">
      <c r="A486" t="s">
        <v>3366</v>
      </c>
      <c r="B486" s="1">
        <v>45347</v>
      </c>
      <c r="C486" s="1">
        <v>45349</v>
      </c>
      <c r="D486" t="s">
        <v>1555</v>
      </c>
      <c r="E486" t="s">
        <v>3367</v>
      </c>
      <c r="F486" t="s">
        <v>95</v>
      </c>
      <c r="G486" t="s">
        <v>1584</v>
      </c>
      <c r="H486" t="s">
        <v>136</v>
      </c>
      <c r="I486" t="s">
        <v>137</v>
      </c>
      <c r="J486" t="s">
        <v>46</v>
      </c>
      <c r="K486" t="s">
        <v>181</v>
      </c>
      <c r="L486" t="s">
        <v>3368</v>
      </c>
      <c r="M486">
        <v>4</v>
      </c>
      <c r="N486">
        <v>3730</v>
      </c>
      <c r="O486">
        <v>20</v>
      </c>
      <c r="P486">
        <v>12713</v>
      </c>
      <c r="Q486">
        <v>11936.83</v>
      </c>
      <c r="R486">
        <v>776.17</v>
      </c>
      <c r="S486" t="s">
        <v>49</v>
      </c>
      <c r="T486" t="s">
        <v>89</v>
      </c>
      <c r="U486" t="s">
        <v>3369</v>
      </c>
      <c r="V486" t="s">
        <v>3370</v>
      </c>
      <c r="W486">
        <v>26</v>
      </c>
      <c r="X486" t="s">
        <v>53</v>
      </c>
      <c r="Y486">
        <v>0</v>
      </c>
    </row>
    <row r="487" spans="1:25" x14ac:dyDescent="0.35">
      <c r="A487" t="s">
        <v>3371</v>
      </c>
      <c r="B487" s="1">
        <v>45464</v>
      </c>
      <c r="C487" s="1">
        <v>45471</v>
      </c>
      <c r="D487" t="s">
        <v>3372</v>
      </c>
      <c r="E487" t="s">
        <v>3373</v>
      </c>
      <c r="F487" t="s">
        <v>57</v>
      </c>
      <c r="G487" t="s">
        <v>3374</v>
      </c>
      <c r="H487" t="s">
        <v>189</v>
      </c>
      <c r="I487" t="s">
        <v>108</v>
      </c>
      <c r="J487" t="s">
        <v>118</v>
      </c>
      <c r="K487" t="s">
        <v>970</v>
      </c>
      <c r="L487" t="s">
        <v>3375</v>
      </c>
      <c r="M487">
        <v>10</v>
      </c>
      <c r="N487">
        <v>1528</v>
      </c>
      <c r="O487">
        <v>0</v>
      </c>
      <c r="P487">
        <v>16057</v>
      </c>
      <c r="Q487">
        <v>15280.74</v>
      </c>
      <c r="R487">
        <v>776.26</v>
      </c>
      <c r="S487" t="s">
        <v>49</v>
      </c>
      <c r="T487" t="s">
        <v>50</v>
      </c>
      <c r="U487" t="s">
        <v>3376</v>
      </c>
      <c r="V487" t="s">
        <v>3377</v>
      </c>
      <c r="W487">
        <v>45</v>
      </c>
      <c r="X487" t="s">
        <v>53</v>
      </c>
      <c r="Y487">
        <v>0</v>
      </c>
    </row>
    <row r="488" spans="1:25" x14ac:dyDescent="0.35">
      <c r="A488" t="s">
        <v>3378</v>
      </c>
      <c r="B488" s="1">
        <v>45282</v>
      </c>
      <c r="C488" s="1">
        <v>45289</v>
      </c>
      <c r="D488" t="s">
        <v>3379</v>
      </c>
      <c r="E488" t="s">
        <v>3380</v>
      </c>
      <c r="F488" t="s">
        <v>95</v>
      </c>
      <c r="G488" t="s">
        <v>3381</v>
      </c>
      <c r="H488" t="s">
        <v>136</v>
      </c>
      <c r="I488" t="s">
        <v>137</v>
      </c>
      <c r="J488" t="s">
        <v>97</v>
      </c>
      <c r="K488" t="s">
        <v>415</v>
      </c>
      <c r="L488" t="s">
        <v>3382</v>
      </c>
      <c r="M488">
        <v>9</v>
      </c>
      <c r="N488">
        <v>1118</v>
      </c>
      <c r="O488">
        <v>10</v>
      </c>
      <c r="P488">
        <v>9832.7999999999993</v>
      </c>
      <c r="Q488">
        <v>9056.5400000000009</v>
      </c>
      <c r="R488">
        <v>776.26</v>
      </c>
      <c r="S488" t="s">
        <v>80</v>
      </c>
      <c r="T488" t="s">
        <v>36</v>
      </c>
      <c r="U488" t="s">
        <v>3383</v>
      </c>
      <c r="V488" t="s">
        <v>3384</v>
      </c>
      <c r="W488">
        <v>29</v>
      </c>
      <c r="X488" t="s">
        <v>53</v>
      </c>
      <c r="Y488">
        <v>0</v>
      </c>
    </row>
    <row r="489" spans="1:25" x14ac:dyDescent="0.35">
      <c r="A489" t="s">
        <v>3385</v>
      </c>
      <c r="B489" s="1">
        <v>45790</v>
      </c>
      <c r="C489" s="1">
        <v>45791</v>
      </c>
      <c r="D489" t="s">
        <v>574</v>
      </c>
      <c r="E489" t="s">
        <v>3386</v>
      </c>
      <c r="F489" t="s">
        <v>95</v>
      </c>
      <c r="G489" t="s">
        <v>3387</v>
      </c>
      <c r="H489" t="s">
        <v>107</v>
      </c>
      <c r="I489" t="s">
        <v>108</v>
      </c>
      <c r="J489" t="s">
        <v>46</v>
      </c>
      <c r="K489" t="s">
        <v>992</v>
      </c>
      <c r="L489" t="s">
        <v>670</v>
      </c>
      <c r="M489">
        <v>6</v>
      </c>
      <c r="N489">
        <v>2223</v>
      </c>
      <c r="O489">
        <v>0</v>
      </c>
      <c r="P489">
        <v>14115</v>
      </c>
      <c r="Q489">
        <v>13338.85</v>
      </c>
      <c r="R489">
        <v>776.15</v>
      </c>
      <c r="S489" t="s">
        <v>100</v>
      </c>
      <c r="T489" t="s">
        <v>36</v>
      </c>
      <c r="U489" t="s">
        <v>3388</v>
      </c>
      <c r="V489" t="s">
        <v>3389</v>
      </c>
      <c r="W489">
        <v>1</v>
      </c>
      <c r="X489" t="s">
        <v>39</v>
      </c>
      <c r="Y489">
        <v>36</v>
      </c>
    </row>
    <row r="490" spans="1:25" x14ac:dyDescent="0.35">
      <c r="A490" t="s">
        <v>3390</v>
      </c>
      <c r="B490" s="1">
        <v>45950</v>
      </c>
      <c r="C490" s="1">
        <v>45951</v>
      </c>
      <c r="D490" t="s">
        <v>847</v>
      </c>
      <c r="E490" t="s">
        <v>3391</v>
      </c>
      <c r="F490" t="s">
        <v>95</v>
      </c>
      <c r="G490" t="s">
        <v>3392</v>
      </c>
      <c r="H490" t="s">
        <v>68</v>
      </c>
      <c r="I490" t="s">
        <v>31</v>
      </c>
      <c r="J490" t="s">
        <v>118</v>
      </c>
      <c r="K490" t="s">
        <v>1898</v>
      </c>
      <c r="L490" t="s">
        <v>3393</v>
      </c>
      <c r="M490">
        <v>9</v>
      </c>
      <c r="N490">
        <v>2812</v>
      </c>
      <c r="O490">
        <v>5</v>
      </c>
      <c r="P490">
        <v>24819.599999999999</v>
      </c>
      <c r="Q490">
        <v>24043.26</v>
      </c>
      <c r="R490">
        <v>776.34</v>
      </c>
      <c r="S490" t="s">
        <v>100</v>
      </c>
      <c r="T490" t="s">
        <v>36</v>
      </c>
      <c r="U490" t="s">
        <v>3394</v>
      </c>
      <c r="V490" t="s">
        <v>3395</v>
      </c>
      <c r="W490">
        <v>20</v>
      </c>
      <c r="X490" t="s">
        <v>53</v>
      </c>
      <c r="Y490">
        <v>0</v>
      </c>
    </row>
    <row r="491" spans="1:25" x14ac:dyDescent="0.35">
      <c r="A491" t="s">
        <v>3396</v>
      </c>
      <c r="B491" s="1">
        <v>45745</v>
      </c>
      <c r="C491" s="1">
        <v>45748</v>
      </c>
      <c r="D491" t="s">
        <v>3397</v>
      </c>
      <c r="E491" t="s">
        <v>3398</v>
      </c>
      <c r="F491" t="s">
        <v>28</v>
      </c>
      <c r="G491" t="s">
        <v>3399</v>
      </c>
      <c r="H491" t="s">
        <v>206</v>
      </c>
      <c r="I491" t="s">
        <v>31</v>
      </c>
      <c r="J491" t="s">
        <v>46</v>
      </c>
      <c r="K491" t="s">
        <v>648</v>
      </c>
      <c r="L491" t="s">
        <v>3400</v>
      </c>
      <c r="M491">
        <v>3</v>
      </c>
      <c r="N491">
        <v>142</v>
      </c>
      <c r="O491">
        <v>5</v>
      </c>
      <c r="P491">
        <v>1181.7</v>
      </c>
      <c r="Q491">
        <v>405.43</v>
      </c>
      <c r="R491">
        <v>776.27</v>
      </c>
      <c r="S491" t="s">
        <v>80</v>
      </c>
      <c r="T491" t="s">
        <v>140</v>
      </c>
      <c r="U491" t="s">
        <v>3401</v>
      </c>
      <c r="V491" t="s">
        <v>3402</v>
      </c>
      <c r="W491">
        <v>8</v>
      </c>
      <c r="X491" t="s">
        <v>39</v>
      </c>
      <c r="Y491">
        <v>40</v>
      </c>
    </row>
    <row r="492" spans="1:25" x14ac:dyDescent="0.35">
      <c r="A492" t="s">
        <v>3403</v>
      </c>
      <c r="B492" s="1">
        <v>45440</v>
      </c>
      <c r="C492" s="1">
        <v>45441</v>
      </c>
      <c r="D492" t="s">
        <v>3404</v>
      </c>
      <c r="E492" t="s">
        <v>3405</v>
      </c>
      <c r="F492" t="s">
        <v>95</v>
      </c>
      <c r="G492" t="s">
        <v>3406</v>
      </c>
      <c r="H492" t="s">
        <v>283</v>
      </c>
      <c r="I492" t="s">
        <v>45</v>
      </c>
      <c r="J492" t="s">
        <v>46</v>
      </c>
      <c r="K492" t="s">
        <v>78</v>
      </c>
      <c r="L492" t="s">
        <v>3407</v>
      </c>
      <c r="M492">
        <v>5</v>
      </c>
      <c r="N492">
        <v>185</v>
      </c>
      <c r="O492">
        <v>0</v>
      </c>
      <c r="P492">
        <v>1702</v>
      </c>
      <c r="Q492">
        <v>925.64</v>
      </c>
      <c r="R492">
        <v>776.36</v>
      </c>
      <c r="S492" t="s">
        <v>49</v>
      </c>
      <c r="T492" t="s">
        <v>36</v>
      </c>
      <c r="U492" t="s">
        <v>3408</v>
      </c>
      <c r="V492" t="s">
        <v>3409</v>
      </c>
      <c r="W492">
        <v>1</v>
      </c>
      <c r="X492" t="s">
        <v>39</v>
      </c>
      <c r="Y492">
        <v>23</v>
      </c>
    </row>
    <row r="493" spans="1:25" x14ac:dyDescent="0.35">
      <c r="A493" t="s">
        <v>3410</v>
      </c>
      <c r="B493" s="1">
        <v>45722</v>
      </c>
      <c r="C493" s="1">
        <v>45723</v>
      </c>
      <c r="D493" t="s">
        <v>3411</v>
      </c>
      <c r="E493" t="s">
        <v>3412</v>
      </c>
      <c r="F493" t="s">
        <v>28</v>
      </c>
      <c r="G493" t="s">
        <v>3413</v>
      </c>
      <c r="H493" t="s">
        <v>107</v>
      </c>
      <c r="I493" t="s">
        <v>108</v>
      </c>
      <c r="J493" t="s">
        <v>97</v>
      </c>
      <c r="K493" t="s">
        <v>482</v>
      </c>
      <c r="L493" t="s">
        <v>3414</v>
      </c>
      <c r="M493">
        <v>2</v>
      </c>
      <c r="N493">
        <v>1735</v>
      </c>
      <c r="O493">
        <v>15</v>
      </c>
      <c r="P493">
        <v>3726.5</v>
      </c>
      <c r="Q493">
        <v>2950.33</v>
      </c>
      <c r="R493">
        <v>776.17</v>
      </c>
      <c r="S493" t="s">
        <v>100</v>
      </c>
      <c r="T493" t="s">
        <v>140</v>
      </c>
      <c r="U493" t="s">
        <v>3415</v>
      </c>
      <c r="V493" t="s">
        <v>3416</v>
      </c>
      <c r="W493">
        <v>27</v>
      </c>
      <c r="X493" t="s">
        <v>53</v>
      </c>
      <c r="Y493">
        <v>0</v>
      </c>
    </row>
    <row r="494" spans="1:25" x14ac:dyDescent="0.35">
      <c r="A494" t="s">
        <v>3417</v>
      </c>
      <c r="B494" s="1">
        <v>45558</v>
      </c>
      <c r="C494" s="1">
        <v>45562</v>
      </c>
      <c r="D494" t="s">
        <v>26</v>
      </c>
      <c r="E494" t="s">
        <v>3418</v>
      </c>
      <c r="F494" t="s">
        <v>95</v>
      </c>
      <c r="G494" t="s">
        <v>3419</v>
      </c>
      <c r="H494" t="s">
        <v>107</v>
      </c>
      <c r="I494" t="s">
        <v>108</v>
      </c>
      <c r="J494" t="s">
        <v>118</v>
      </c>
      <c r="K494" t="s">
        <v>662</v>
      </c>
      <c r="L494" t="s">
        <v>3420</v>
      </c>
      <c r="M494">
        <v>1</v>
      </c>
      <c r="N494">
        <v>4867</v>
      </c>
      <c r="O494">
        <v>5</v>
      </c>
      <c r="P494">
        <v>5400.65</v>
      </c>
      <c r="Q494">
        <v>4624.26</v>
      </c>
      <c r="R494">
        <v>776.39</v>
      </c>
      <c r="S494" t="s">
        <v>49</v>
      </c>
      <c r="T494" t="s">
        <v>36</v>
      </c>
      <c r="U494" t="s">
        <v>3421</v>
      </c>
      <c r="V494" t="s">
        <v>3422</v>
      </c>
      <c r="W494">
        <v>31</v>
      </c>
      <c r="X494" t="s">
        <v>53</v>
      </c>
      <c r="Y494">
        <v>0</v>
      </c>
    </row>
    <row r="495" spans="1:25" x14ac:dyDescent="0.35">
      <c r="A495" t="s">
        <v>3423</v>
      </c>
      <c r="B495" s="1">
        <v>45810</v>
      </c>
      <c r="C495" s="1">
        <v>45816</v>
      </c>
      <c r="D495" t="s">
        <v>1672</v>
      </c>
      <c r="E495" t="s">
        <v>3424</v>
      </c>
      <c r="F495" t="s">
        <v>28</v>
      </c>
      <c r="G495" t="s">
        <v>3425</v>
      </c>
      <c r="H495" t="s">
        <v>136</v>
      </c>
      <c r="I495" t="s">
        <v>137</v>
      </c>
      <c r="J495" t="s">
        <v>118</v>
      </c>
      <c r="K495" t="s">
        <v>128</v>
      </c>
      <c r="L495" t="s">
        <v>3426</v>
      </c>
      <c r="M495">
        <v>3</v>
      </c>
      <c r="N495">
        <v>2733</v>
      </c>
      <c r="O495">
        <v>5</v>
      </c>
      <c r="P495">
        <v>8566.0499999999993</v>
      </c>
      <c r="Q495">
        <v>7789.93</v>
      </c>
      <c r="R495">
        <v>776.12</v>
      </c>
      <c r="S495" t="s">
        <v>80</v>
      </c>
      <c r="T495" t="s">
        <v>36</v>
      </c>
      <c r="U495" t="s">
        <v>3427</v>
      </c>
      <c r="V495" t="s">
        <v>3428</v>
      </c>
      <c r="W495">
        <v>4</v>
      </c>
      <c r="X495" t="s">
        <v>39</v>
      </c>
      <c r="Y495">
        <v>29</v>
      </c>
    </row>
    <row r="496" spans="1:25" x14ac:dyDescent="0.35">
      <c r="A496" t="s">
        <v>3429</v>
      </c>
      <c r="B496" s="1">
        <v>45325</v>
      </c>
      <c r="C496" s="1">
        <v>45329</v>
      </c>
      <c r="D496" t="s">
        <v>3306</v>
      </c>
      <c r="E496" t="s">
        <v>3430</v>
      </c>
      <c r="F496" t="s">
        <v>57</v>
      </c>
      <c r="G496" t="s">
        <v>3431</v>
      </c>
      <c r="H496" t="s">
        <v>198</v>
      </c>
      <c r="I496" t="s">
        <v>31</v>
      </c>
      <c r="J496" t="s">
        <v>118</v>
      </c>
      <c r="K496" t="s">
        <v>524</v>
      </c>
      <c r="L496" t="s">
        <v>3432</v>
      </c>
      <c r="M496">
        <v>2</v>
      </c>
      <c r="N496">
        <v>604</v>
      </c>
      <c r="O496">
        <v>20</v>
      </c>
      <c r="P496">
        <v>1743.4</v>
      </c>
      <c r="Q496">
        <v>967.27</v>
      </c>
      <c r="R496">
        <v>776.13</v>
      </c>
      <c r="S496" t="s">
        <v>100</v>
      </c>
      <c r="T496" t="s">
        <v>36</v>
      </c>
      <c r="U496" t="s">
        <v>3433</v>
      </c>
      <c r="V496" t="s">
        <v>3434</v>
      </c>
      <c r="W496">
        <v>35</v>
      </c>
      <c r="X496" t="s">
        <v>53</v>
      </c>
      <c r="Y496">
        <v>0</v>
      </c>
    </row>
    <row r="497" spans="1:25" x14ac:dyDescent="0.35">
      <c r="A497" t="s">
        <v>3435</v>
      </c>
      <c r="B497" s="1">
        <v>45807</v>
      </c>
      <c r="C497" s="1">
        <v>45811</v>
      </c>
      <c r="D497" t="s">
        <v>3436</v>
      </c>
      <c r="E497" t="s">
        <v>3437</v>
      </c>
      <c r="F497" t="s">
        <v>57</v>
      </c>
      <c r="G497" t="s">
        <v>3438</v>
      </c>
      <c r="H497" t="s">
        <v>206</v>
      </c>
      <c r="I497" t="s">
        <v>31</v>
      </c>
      <c r="J497" t="s">
        <v>97</v>
      </c>
      <c r="K497" t="s">
        <v>155</v>
      </c>
      <c r="L497" t="s">
        <v>3439</v>
      </c>
      <c r="M497">
        <v>4</v>
      </c>
      <c r="N497">
        <v>3598</v>
      </c>
      <c r="O497">
        <v>5</v>
      </c>
      <c r="P497">
        <v>14449.4</v>
      </c>
      <c r="Q497">
        <v>13673.25</v>
      </c>
      <c r="R497">
        <v>776.15</v>
      </c>
      <c r="S497" t="s">
        <v>80</v>
      </c>
      <c r="T497" t="s">
        <v>140</v>
      </c>
      <c r="U497" t="s">
        <v>3440</v>
      </c>
      <c r="V497" t="s">
        <v>3441</v>
      </c>
      <c r="W497">
        <v>3</v>
      </c>
      <c r="X497" t="s">
        <v>39</v>
      </c>
      <c r="Y497">
        <v>50</v>
      </c>
    </row>
    <row r="498" spans="1:25" x14ac:dyDescent="0.35">
      <c r="A498" t="s">
        <v>3442</v>
      </c>
      <c r="B498" s="1">
        <v>45710</v>
      </c>
      <c r="C498" s="1">
        <v>45714</v>
      </c>
      <c r="D498" t="s">
        <v>3443</v>
      </c>
      <c r="E498" t="s">
        <v>3444</v>
      </c>
      <c r="F498" t="s">
        <v>57</v>
      </c>
      <c r="G498" t="s">
        <v>3445</v>
      </c>
      <c r="H498" t="s">
        <v>59</v>
      </c>
      <c r="I498" t="s">
        <v>31</v>
      </c>
      <c r="J498" t="s">
        <v>46</v>
      </c>
      <c r="K498" t="s">
        <v>239</v>
      </c>
      <c r="L498" t="s">
        <v>3446</v>
      </c>
      <c r="M498">
        <v>4</v>
      </c>
      <c r="N498">
        <v>372</v>
      </c>
      <c r="O498">
        <v>5</v>
      </c>
      <c r="P498">
        <v>2190.6</v>
      </c>
      <c r="Q498">
        <v>1414.46</v>
      </c>
      <c r="R498">
        <v>776.14</v>
      </c>
      <c r="S498" t="s">
        <v>35</v>
      </c>
      <c r="T498" t="s">
        <v>50</v>
      </c>
      <c r="U498" t="s">
        <v>3447</v>
      </c>
      <c r="V498" t="s">
        <v>3448</v>
      </c>
      <c r="W498">
        <v>25</v>
      </c>
      <c r="X498" t="s">
        <v>53</v>
      </c>
      <c r="Y498">
        <v>0</v>
      </c>
    </row>
    <row r="499" spans="1:25" x14ac:dyDescent="0.35">
      <c r="A499" t="s">
        <v>3449</v>
      </c>
      <c r="B499" s="1">
        <v>45258</v>
      </c>
      <c r="C499" s="1">
        <v>45263</v>
      </c>
      <c r="D499" t="s">
        <v>975</v>
      </c>
      <c r="E499" t="s">
        <v>3450</v>
      </c>
      <c r="F499" t="s">
        <v>95</v>
      </c>
      <c r="G499" t="s">
        <v>3451</v>
      </c>
      <c r="H499" t="s">
        <v>117</v>
      </c>
      <c r="I499" t="s">
        <v>108</v>
      </c>
      <c r="J499" t="s">
        <v>118</v>
      </c>
      <c r="K499" t="s">
        <v>155</v>
      </c>
      <c r="L499" t="s">
        <v>3452</v>
      </c>
      <c r="M499">
        <v>2</v>
      </c>
      <c r="N499">
        <v>184</v>
      </c>
      <c r="O499">
        <v>10</v>
      </c>
      <c r="P499">
        <v>1108.2</v>
      </c>
      <c r="Q499">
        <v>332.05</v>
      </c>
      <c r="R499">
        <v>776.15</v>
      </c>
      <c r="S499" t="s">
        <v>35</v>
      </c>
      <c r="T499" t="s">
        <v>89</v>
      </c>
      <c r="U499" t="s">
        <v>3453</v>
      </c>
      <c r="V499" t="s">
        <v>3454</v>
      </c>
      <c r="W499">
        <v>21</v>
      </c>
      <c r="X499" t="s">
        <v>53</v>
      </c>
      <c r="Y499">
        <v>0</v>
      </c>
    </row>
    <row r="500" spans="1:25" x14ac:dyDescent="0.35">
      <c r="A500" t="s">
        <v>3455</v>
      </c>
      <c r="B500" s="1">
        <v>45699</v>
      </c>
      <c r="C500" s="1">
        <v>45701</v>
      </c>
      <c r="D500" t="s">
        <v>3456</v>
      </c>
      <c r="E500" t="s">
        <v>3457</v>
      </c>
      <c r="F500" t="s">
        <v>28</v>
      </c>
      <c r="G500" t="s">
        <v>3458</v>
      </c>
      <c r="H500" t="s">
        <v>127</v>
      </c>
      <c r="I500" t="s">
        <v>45</v>
      </c>
      <c r="J500" t="s">
        <v>32</v>
      </c>
      <c r="K500" t="s">
        <v>714</v>
      </c>
      <c r="L500" t="s">
        <v>3459</v>
      </c>
      <c r="M500">
        <v>3</v>
      </c>
      <c r="N500">
        <v>4652</v>
      </c>
      <c r="O500">
        <v>15</v>
      </c>
      <c r="P500">
        <v>12639.6</v>
      </c>
      <c r="Q500">
        <v>11863.21</v>
      </c>
      <c r="R500">
        <v>776.39</v>
      </c>
      <c r="S500" t="s">
        <v>100</v>
      </c>
      <c r="T500" t="s">
        <v>50</v>
      </c>
      <c r="U500" t="s">
        <v>3460</v>
      </c>
      <c r="V500" t="s">
        <v>3461</v>
      </c>
      <c r="W500">
        <v>19</v>
      </c>
      <c r="X500" t="s">
        <v>53</v>
      </c>
      <c r="Y500">
        <v>0</v>
      </c>
    </row>
    <row r="501" spans="1:25" x14ac:dyDescent="0.35">
      <c r="A501" t="s">
        <v>3462</v>
      </c>
      <c r="B501" s="1">
        <v>45485</v>
      </c>
      <c r="C501" s="1">
        <v>45490</v>
      </c>
      <c r="D501" t="s">
        <v>3463</v>
      </c>
      <c r="E501" t="s">
        <v>3464</v>
      </c>
      <c r="F501" t="s">
        <v>28</v>
      </c>
      <c r="G501" t="s">
        <v>3465</v>
      </c>
      <c r="H501" t="s">
        <v>320</v>
      </c>
      <c r="I501" t="s">
        <v>137</v>
      </c>
      <c r="J501" t="s">
        <v>118</v>
      </c>
      <c r="K501" t="s">
        <v>128</v>
      </c>
      <c r="L501" t="s">
        <v>3466</v>
      </c>
      <c r="M501">
        <v>5</v>
      </c>
      <c r="N501">
        <v>4467</v>
      </c>
      <c r="O501">
        <v>10</v>
      </c>
      <c r="P501">
        <v>20878.5</v>
      </c>
      <c r="Q501">
        <v>20102.18</v>
      </c>
      <c r="R501">
        <v>776.32</v>
      </c>
      <c r="S501" t="s">
        <v>49</v>
      </c>
      <c r="T501" t="s">
        <v>140</v>
      </c>
      <c r="U501" t="s">
        <v>3467</v>
      </c>
      <c r="V501" t="s">
        <v>3468</v>
      </c>
      <c r="W501">
        <v>28</v>
      </c>
      <c r="X501" t="s">
        <v>53</v>
      </c>
      <c r="Y501">
        <v>0</v>
      </c>
    </row>
    <row r="502" spans="1:25" x14ac:dyDescent="0.35">
      <c r="A502" t="s">
        <v>3469</v>
      </c>
      <c r="B502" s="1">
        <v>45584</v>
      </c>
      <c r="C502" s="1">
        <v>45591</v>
      </c>
      <c r="D502" t="s">
        <v>3470</v>
      </c>
      <c r="E502" t="s">
        <v>3471</v>
      </c>
      <c r="F502" t="s">
        <v>28</v>
      </c>
      <c r="G502" t="s">
        <v>3472</v>
      </c>
      <c r="H502" t="s">
        <v>206</v>
      </c>
      <c r="I502" t="s">
        <v>31</v>
      </c>
      <c r="J502" t="s">
        <v>32</v>
      </c>
      <c r="K502" t="s">
        <v>109</v>
      </c>
      <c r="L502" t="s">
        <v>3473</v>
      </c>
      <c r="M502">
        <v>1</v>
      </c>
      <c r="N502">
        <v>1285</v>
      </c>
      <c r="O502">
        <v>0</v>
      </c>
      <c r="P502">
        <v>2062</v>
      </c>
      <c r="Q502">
        <v>1285.6199999999999</v>
      </c>
      <c r="R502">
        <v>776.38</v>
      </c>
      <c r="S502" t="s">
        <v>49</v>
      </c>
      <c r="T502" t="s">
        <v>140</v>
      </c>
      <c r="U502" t="s">
        <v>3474</v>
      </c>
      <c r="V502" t="s">
        <v>3475</v>
      </c>
      <c r="W502">
        <v>16</v>
      </c>
      <c r="X502" t="s">
        <v>53</v>
      </c>
      <c r="Y502">
        <v>0</v>
      </c>
    </row>
    <row r="503" spans="1:25" x14ac:dyDescent="0.35">
      <c r="A503" t="s">
        <v>3476</v>
      </c>
      <c r="B503" s="1">
        <v>45461</v>
      </c>
      <c r="C503" s="1">
        <v>45465</v>
      </c>
      <c r="D503" t="s">
        <v>3477</v>
      </c>
      <c r="E503" t="s">
        <v>3478</v>
      </c>
      <c r="F503" t="s">
        <v>95</v>
      </c>
      <c r="G503" t="s">
        <v>3479</v>
      </c>
      <c r="H503" t="s">
        <v>117</v>
      </c>
      <c r="I503" t="s">
        <v>108</v>
      </c>
      <c r="J503" t="s">
        <v>118</v>
      </c>
      <c r="K503" t="s">
        <v>222</v>
      </c>
      <c r="L503" t="s">
        <v>3480</v>
      </c>
      <c r="M503">
        <v>4</v>
      </c>
      <c r="N503">
        <v>3022</v>
      </c>
      <c r="O503">
        <v>5</v>
      </c>
      <c r="P503">
        <v>12260.6</v>
      </c>
      <c r="Q503">
        <v>11484.25</v>
      </c>
      <c r="R503">
        <v>776.35</v>
      </c>
      <c r="S503" t="s">
        <v>35</v>
      </c>
      <c r="T503" t="s">
        <v>140</v>
      </c>
      <c r="U503" t="s">
        <v>3481</v>
      </c>
      <c r="V503" t="s">
        <v>3482</v>
      </c>
      <c r="W503">
        <v>39</v>
      </c>
      <c r="X503" t="s">
        <v>53</v>
      </c>
      <c r="Y503">
        <v>0</v>
      </c>
    </row>
    <row r="504" spans="1:25" x14ac:dyDescent="0.35">
      <c r="A504" t="s">
        <v>3483</v>
      </c>
      <c r="B504" s="1">
        <v>45521</v>
      </c>
      <c r="C504" s="1">
        <v>45527</v>
      </c>
      <c r="D504" t="s">
        <v>3164</v>
      </c>
      <c r="E504" t="s">
        <v>3484</v>
      </c>
      <c r="F504" t="s">
        <v>57</v>
      </c>
      <c r="G504" t="s">
        <v>3485</v>
      </c>
      <c r="H504" t="s">
        <v>189</v>
      </c>
      <c r="I504" t="s">
        <v>108</v>
      </c>
      <c r="J504" t="s">
        <v>32</v>
      </c>
      <c r="K504" t="s">
        <v>164</v>
      </c>
      <c r="L504" t="s">
        <v>2997</v>
      </c>
      <c r="M504">
        <v>9</v>
      </c>
      <c r="N504">
        <v>1691</v>
      </c>
      <c r="O504">
        <v>0</v>
      </c>
      <c r="P504">
        <v>15996</v>
      </c>
      <c r="Q504">
        <v>15219.9</v>
      </c>
      <c r="R504">
        <v>776.1</v>
      </c>
      <c r="S504" t="s">
        <v>80</v>
      </c>
      <c r="T504" t="s">
        <v>50</v>
      </c>
      <c r="U504" t="s">
        <v>1471</v>
      </c>
      <c r="V504" t="s">
        <v>3486</v>
      </c>
      <c r="W504">
        <v>14</v>
      </c>
      <c r="X504" t="s">
        <v>53</v>
      </c>
      <c r="Y504">
        <v>0</v>
      </c>
    </row>
    <row r="505" spans="1:25" x14ac:dyDescent="0.35">
      <c r="A505" t="s">
        <v>3487</v>
      </c>
      <c r="B505" s="1">
        <v>45437</v>
      </c>
      <c r="C505" s="1">
        <v>45438</v>
      </c>
      <c r="D505" t="s">
        <v>3488</v>
      </c>
      <c r="E505" t="s">
        <v>3489</v>
      </c>
      <c r="F505" t="s">
        <v>28</v>
      </c>
      <c r="G505" t="s">
        <v>3490</v>
      </c>
      <c r="H505" t="s">
        <v>334</v>
      </c>
      <c r="I505" t="s">
        <v>108</v>
      </c>
      <c r="J505" t="s">
        <v>46</v>
      </c>
      <c r="K505" t="s">
        <v>1088</v>
      </c>
      <c r="L505" t="s">
        <v>3491</v>
      </c>
      <c r="M505">
        <v>7</v>
      </c>
      <c r="N505">
        <v>320</v>
      </c>
      <c r="O505">
        <v>15</v>
      </c>
      <c r="P505">
        <v>2681</v>
      </c>
      <c r="Q505">
        <v>1904.81</v>
      </c>
      <c r="R505">
        <v>776.19</v>
      </c>
      <c r="S505" t="s">
        <v>49</v>
      </c>
      <c r="T505" t="s">
        <v>140</v>
      </c>
      <c r="U505" t="s">
        <v>3492</v>
      </c>
      <c r="V505" t="s">
        <v>3493</v>
      </c>
      <c r="W505">
        <v>28</v>
      </c>
      <c r="X505" t="s">
        <v>53</v>
      </c>
      <c r="Y505">
        <v>0</v>
      </c>
    </row>
    <row r="506" spans="1:25" x14ac:dyDescent="0.35">
      <c r="A506" t="s">
        <v>3494</v>
      </c>
      <c r="B506" s="1">
        <v>45676</v>
      </c>
      <c r="C506" s="1">
        <v>45679</v>
      </c>
      <c r="D506" t="s">
        <v>178</v>
      </c>
      <c r="E506" t="s">
        <v>3495</v>
      </c>
      <c r="F506" t="s">
        <v>57</v>
      </c>
      <c r="G506" t="s">
        <v>3496</v>
      </c>
      <c r="H506" t="s">
        <v>136</v>
      </c>
      <c r="I506" t="s">
        <v>137</v>
      </c>
      <c r="J506" t="s">
        <v>97</v>
      </c>
      <c r="K506" t="s">
        <v>78</v>
      </c>
      <c r="L506" t="s">
        <v>3497</v>
      </c>
      <c r="M506">
        <v>10</v>
      </c>
      <c r="N506">
        <v>3164</v>
      </c>
      <c r="O506">
        <v>10</v>
      </c>
      <c r="P506">
        <v>29253</v>
      </c>
      <c r="Q506">
        <v>28476.79</v>
      </c>
      <c r="R506">
        <v>776.21</v>
      </c>
      <c r="S506" t="s">
        <v>49</v>
      </c>
      <c r="T506" t="s">
        <v>36</v>
      </c>
      <c r="U506" t="s">
        <v>3498</v>
      </c>
      <c r="V506" t="s">
        <v>3499</v>
      </c>
      <c r="W506">
        <v>31</v>
      </c>
      <c r="X506" t="s">
        <v>53</v>
      </c>
      <c r="Y506">
        <v>0</v>
      </c>
    </row>
    <row r="507" spans="1:25" x14ac:dyDescent="0.35">
      <c r="A507" t="s">
        <v>3500</v>
      </c>
      <c r="B507" s="1">
        <v>45941</v>
      </c>
      <c r="C507" s="1">
        <v>45948</v>
      </c>
      <c r="D507" t="s">
        <v>1244</v>
      </c>
      <c r="E507" t="s">
        <v>3501</v>
      </c>
      <c r="F507" t="s">
        <v>95</v>
      </c>
      <c r="G507" t="s">
        <v>3502</v>
      </c>
      <c r="H507" t="s">
        <v>77</v>
      </c>
      <c r="I507" t="s">
        <v>45</v>
      </c>
      <c r="J507" t="s">
        <v>118</v>
      </c>
      <c r="K507" t="s">
        <v>231</v>
      </c>
      <c r="L507" t="s">
        <v>3503</v>
      </c>
      <c r="M507">
        <v>1</v>
      </c>
      <c r="N507">
        <v>4642</v>
      </c>
      <c r="O507">
        <v>20</v>
      </c>
      <c r="P507">
        <v>4490.6000000000004</v>
      </c>
      <c r="Q507">
        <v>3714.27</v>
      </c>
      <c r="R507">
        <v>776.33</v>
      </c>
      <c r="S507" t="s">
        <v>100</v>
      </c>
      <c r="T507" t="s">
        <v>140</v>
      </c>
      <c r="U507" t="s">
        <v>3504</v>
      </c>
      <c r="V507" t="s">
        <v>3505</v>
      </c>
      <c r="W507">
        <v>49</v>
      </c>
      <c r="X507" t="s">
        <v>53</v>
      </c>
      <c r="Y507">
        <v>0</v>
      </c>
    </row>
    <row r="508" spans="1:25" x14ac:dyDescent="0.35">
      <c r="A508" t="s">
        <v>3506</v>
      </c>
      <c r="B508" s="1">
        <v>45441</v>
      </c>
      <c r="C508" s="1">
        <v>45443</v>
      </c>
      <c r="D508" t="s">
        <v>3507</v>
      </c>
      <c r="E508" t="s">
        <v>3508</v>
      </c>
      <c r="F508" t="s">
        <v>95</v>
      </c>
      <c r="G508" t="s">
        <v>3509</v>
      </c>
      <c r="H508" t="s">
        <v>198</v>
      </c>
      <c r="I508" t="s">
        <v>31</v>
      </c>
      <c r="J508" t="s">
        <v>46</v>
      </c>
      <c r="K508" t="s">
        <v>714</v>
      </c>
      <c r="L508" t="s">
        <v>3510</v>
      </c>
      <c r="M508">
        <v>8</v>
      </c>
      <c r="N508">
        <v>2192</v>
      </c>
      <c r="O508">
        <v>20</v>
      </c>
      <c r="P508">
        <v>14805.8</v>
      </c>
      <c r="Q508">
        <v>14029.46</v>
      </c>
      <c r="R508">
        <v>776.34</v>
      </c>
      <c r="S508" t="s">
        <v>35</v>
      </c>
      <c r="T508" t="s">
        <v>89</v>
      </c>
      <c r="U508" t="s">
        <v>3511</v>
      </c>
      <c r="V508" t="s">
        <v>3512</v>
      </c>
      <c r="W508">
        <v>31</v>
      </c>
      <c r="X508" t="s">
        <v>53</v>
      </c>
      <c r="Y508">
        <v>0</v>
      </c>
    </row>
    <row r="509" spans="1:25" x14ac:dyDescent="0.35">
      <c r="A509" t="s">
        <v>3513</v>
      </c>
      <c r="B509" s="1">
        <v>45652</v>
      </c>
      <c r="C509" s="1">
        <v>45658</v>
      </c>
      <c r="D509" t="s">
        <v>3514</v>
      </c>
      <c r="E509" t="s">
        <v>3515</v>
      </c>
      <c r="F509" t="s">
        <v>28</v>
      </c>
      <c r="G509" t="s">
        <v>3516</v>
      </c>
      <c r="H509" t="s">
        <v>206</v>
      </c>
      <c r="I509" t="s">
        <v>31</v>
      </c>
      <c r="J509" t="s">
        <v>46</v>
      </c>
      <c r="K509" t="s">
        <v>155</v>
      </c>
      <c r="L509" t="s">
        <v>3517</v>
      </c>
      <c r="M509">
        <v>3</v>
      </c>
      <c r="N509">
        <v>141</v>
      </c>
      <c r="O509">
        <v>5</v>
      </c>
      <c r="P509">
        <v>1178.8499999999999</v>
      </c>
      <c r="Q509">
        <v>402.66</v>
      </c>
      <c r="R509">
        <v>776.19</v>
      </c>
      <c r="S509" t="s">
        <v>80</v>
      </c>
      <c r="T509" t="s">
        <v>89</v>
      </c>
      <c r="U509" t="s">
        <v>3518</v>
      </c>
      <c r="V509" t="s">
        <v>3519</v>
      </c>
      <c r="W509">
        <v>45</v>
      </c>
      <c r="X509" t="s">
        <v>53</v>
      </c>
      <c r="Y509">
        <v>0</v>
      </c>
    </row>
    <row r="510" spans="1:25" x14ac:dyDescent="0.35">
      <c r="A510" t="s">
        <v>3520</v>
      </c>
      <c r="B510" s="1">
        <v>45637</v>
      </c>
      <c r="C510" s="1">
        <v>45639</v>
      </c>
      <c r="D510" t="s">
        <v>2410</v>
      </c>
      <c r="E510" t="s">
        <v>3521</v>
      </c>
      <c r="F510" t="s">
        <v>95</v>
      </c>
      <c r="G510" t="s">
        <v>3522</v>
      </c>
      <c r="H510" t="s">
        <v>154</v>
      </c>
      <c r="I510" t="s">
        <v>137</v>
      </c>
      <c r="J510" t="s">
        <v>97</v>
      </c>
      <c r="K510" t="s">
        <v>524</v>
      </c>
      <c r="L510" t="s">
        <v>3523</v>
      </c>
      <c r="M510">
        <v>6</v>
      </c>
      <c r="N510">
        <v>1714</v>
      </c>
      <c r="O510">
        <v>0</v>
      </c>
      <c r="P510">
        <v>11061</v>
      </c>
      <c r="Q510">
        <v>10284.620000000001</v>
      </c>
      <c r="R510">
        <v>776.38</v>
      </c>
      <c r="S510" t="s">
        <v>100</v>
      </c>
      <c r="T510" t="s">
        <v>36</v>
      </c>
      <c r="U510" t="s">
        <v>3524</v>
      </c>
      <c r="V510" t="s">
        <v>3525</v>
      </c>
      <c r="W510">
        <v>30</v>
      </c>
      <c r="X510" t="s">
        <v>53</v>
      </c>
      <c r="Y510">
        <v>0</v>
      </c>
    </row>
    <row r="511" spans="1:25" x14ac:dyDescent="0.35">
      <c r="A511" t="s">
        <v>3526</v>
      </c>
      <c r="B511" s="1">
        <v>45850</v>
      </c>
      <c r="C511" s="1">
        <v>45853</v>
      </c>
      <c r="D511" t="s">
        <v>3527</v>
      </c>
      <c r="E511" t="s">
        <v>3528</v>
      </c>
      <c r="F511" t="s">
        <v>95</v>
      </c>
      <c r="G511" t="s">
        <v>3529</v>
      </c>
      <c r="H511" t="s">
        <v>44</v>
      </c>
      <c r="I511" t="s">
        <v>45</v>
      </c>
      <c r="J511" t="s">
        <v>46</v>
      </c>
      <c r="K511" t="s">
        <v>247</v>
      </c>
      <c r="L511" t="s">
        <v>3530</v>
      </c>
      <c r="M511">
        <v>3</v>
      </c>
      <c r="N511">
        <v>4665</v>
      </c>
      <c r="O511">
        <v>5</v>
      </c>
      <c r="P511">
        <v>14072.25</v>
      </c>
      <c r="Q511">
        <v>13296.04</v>
      </c>
      <c r="R511">
        <v>776.21</v>
      </c>
      <c r="S511" t="s">
        <v>100</v>
      </c>
      <c r="T511" t="s">
        <v>140</v>
      </c>
      <c r="U511" t="s">
        <v>3531</v>
      </c>
      <c r="V511" t="s">
        <v>3532</v>
      </c>
      <c r="W511">
        <v>11</v>
      </c>
      <c r="X511" t="s">
        <v>53</v>
      </c>
      <c r="Y511">
        <v>0</v>
      </c>
    </row>
    <row r="512" spans="1:25" x14ac:dyDescent="0.35">
      <c r="A512" t="s">
        <v>3533</v>
      </c>
      <c r="B512" s="1">
        <v>45905</v>
      </c>
      <c r="C512" s="1">
        <v>45911</v>
      </c>
      <c r="D512" t="s">
        <v>3534</v>
      </c>
      <c r="E512" t="s">
        <v>3535</v>
      </c>
      <c r="F512" t="s">
        <v>57</v>
      </c>
      <c r="G512" t="s">
        <v>363</v>
      </c>
      <c r="H512" t="s">
        <v>320</v>
      </c>
      <c r="I512" t="s">
        <v>137</v>
      </c>
      <c r="J512" t="s">
        <v>118</v>
      </c>
      <c r="K512" t="s">
        <v>474</v>
      </c>
      <c r="L512" t="s">
        <v>3536</v>
      </c>
      <c r="M512">
        <v>10</v>
      </c>
      <c r="N512">
        <v>478</v>
      </c>
      <c r="O512">
        <v>20</v>
      </c>
      <c r="P512">
        <v>4601</v>
      </c>
      <c r="Q512">
        <v>3824.79</v>
      </c>
      <c r="R512">
        <v>776.21</v>
      </c>
      <c r="S512" t="s">
        <v>80</v>
      </c>
      <c r="T512" t="s">
        <v>89</v>
      </c>
      <c r="U512" t="s">
        <v>3537</v>
      </c>
      <c r="V512" t="s">
        <v>3538</v>
      </c>
      <c r="W512">
        <v>34</v>
      </c>
      <c r="X512" t="s">
        <v>53</v>
      </c>
      <c r="Y512">
        <v>0</v>
      </c>
    </row>
    <row r="513" spans="1:25" x14ac:dyDescent="0.35">
      <c r="A513" t="s">
        <v>3539</v>
      </c>
      <c r="B513" s="1">
        <v>45760</v>
      </c>
      <c r="C513" s="1">
        <v>45763</v>
      </c>
      <c r="D513" t="s">
        <v>897</v>
      </c>
      <c r="E513" t="s">
        <v>3540</v>
      </c>
      <c r="F513" t="s">
        <v>95</v>
      </c>
      <c r="G513" t="s">
        <v>3541</v>
      </c>
      <c r="H513" t="s">
        <v>198</v>
      </c>
      <c r="I513" t="s">
        <v>31</v>
      </c>
      <c r="J513" t="s">
        <v>97</v>
      </c>
      <c r="K513" t="s">
        <v>927</v>
      </c>
      <c r="L513" t="s">
        <v>3542</v>
      </c>
      <c r="M513">
        <v>6</v>
      </c>
      <c r="N513">
        <v>1851</v>
      </c>
      <c r="O513">
        <v>5</v>
      </c>
      <c r="P513">
        <v>11327.7</v>
      </c>
      <c r="Q513">
        <v>10551.49</v>
      </c>
      <c r="R513">
        <v>776.21</v>
      </c>
      <c r="S513" t="s">
        <v>35</v>
      </c>
      <c r="T513" t="s">
        <v>89</v>
      </c>
      <c r="U513" t="s">
        <v>3543</v>
      </c>
      <c r="V513" t="s">
        <v>3544</v>
      </c>
      <c r="W513">
        <v>16</v>
      </c>
      <c r="X513" t="s">
        <v>53</v>
      </c>
      <c r="Y513">
        <v>0</v>
      </c>
    </row>
    <row r="514" spans="1:25" x14ac:dyDescent="0.35">
      <c r="A514" t="s">
        <v>3545</v>
      </c>
      <c r="B514" s="1">
        <v>45880</v>
      </c>
      <c r="C514" s="1">
        <v>45884</v>
      </c>
      <c r="D514" t="s">
        <v>3546</v>
      </c>
      <c r="E514" t="s">
        <v>3547</v>
      </c>
      <c r="F514" t="s">
        <v>28</v>
      </c>
      <c r="G514" t="s">
        <v>3548</v>
      </c>
      <c r="H514" t="s">
        <v>107</v>
      </c>
      <c r="I514" t="s">
        <v>108</v>
      </c>
      <c r="J514" t="s">
        <v>97</v>
      </c>
      <c r="K514" t="s">
        <v>109</v>
      </c>
      <c r="L514" t="s">
        <v>3549</v>
      </c>
      <c r="M514">
        <v>3</v>
      </c>
      <c r="N514">
        <v>4830</v>
      </c>
      <c r="O514">
        <v>20</v>
      </c>
      <c r="P514">
        <v>12369</v>
      </c>
      <c r="Q514">
        <v>11592.66</v>
      </c>
      <c r="R514">
        <v>776.34</v>
      </c>
      <c r="S514" t="s">
        <v>49</v>
      </c>
      <c r="T514" t="s">
        <v>89</v>
      </c>
      <c r="U514" t="s">
        <v>3550</v>
      </c>
      <c r="V514" t="s">
        <v>3551</v>
      </c>
      <c r="W514">
        <v>30</v>
      </c>
      <c r="X514" t="s">
        <v>53</v>
      </c>
      <c r="Y514">
        <v>0</v>
      </c>
    </row>
    <row r="515" spans="1:25" x14ac:dyDescent="0.35">
      <c r="A515" t="s">
        <v>3552</v>
      </c>
      <c r="B515" s="1">
        <v>45431</v>
      </c>
      <c r="C515" s="1">
        <v>45434</v>
      </c>
      <c r="D515" t="s">
        <v>3553</v>
      </c>
      <c r="E515" t="s">
        <v>3554</v>
      </c>
      <c r="F515" t="s">
        <v>95</v>
      </c>
      <c r="G515" t="s">
        <v>3555</v>
      </c>
      <c r="H515" t="s">
        <v>77</v>
      </c>
      <c r="I515" t="s">
        <v>45</v>
      </c>
      <c r="J515" t="s">
        <v>46</v>
      </c>
      <c r="K515" t="s">
        <v>699</v>
      </c>
      <c r="L515" t="s">
        <v>3556</v>
      </c>
      <c r="M515">
        <v>2</v>
      </c>
      <c r="N515">
        <v>3121</v>
      </c>
      <c r="O515">
        <v>10</v>
      </c>
      <c r="P515">
        <v>6394.8</v>
      </c>
      <c r="Q515">
        <v>5618.57</v>
      </c>
      <c r="R515">
        <v>776.23</v>
      </c>
      <c r="S515" t="s">
        <v>100</v>
      </c>
      <c r="T515" t="s">
        <v>140</v>
      </c>
      <c r="U515" t="s">
        <v>3557</v>
      </c>
      <c r="V515" t="s">
        <v>3558</v>
      </c>
      <c r="W515">
        <v>26</v>
      </c>
      <c r="X515" t="s">
        <v>53</v>
      </c>
      <c r="Y515">
        <v>0</v>
      </c>
    </row>
    <row r="516" spans="1:25" x14ac:dyDescent="0.35">
      <c r="A516" t="s">
        <v>3559</v>
      </c>
      <c r="B516" s="1">
        <v>45776</v>
      </c>
      <c r="C516" s="1">
        <v>45781</v>
      </c>
      <c r="D516" t="s">
        <v>3560</v>
      </c>
      <c r="E516" t="s">
        <v>3561</v>
      </c>
      <c r="F516" t="s">
        <v>95</v>
      </c>
      <c r="G516" t="s">
        <v>3562</v>
      </c>
      <c r="H516" t="s">
        <v>163</v>
      </c>
      <c r="I516" t="s">
        <v>108</v>
      </c>
      <c r="J516" t="s">
        <v>32</v>
      </c>
      <c r="K516" t="s">
        <v>466</v>
      </c>
      <c r="L516" t="s">
        <v>3563</v>
      </c>
      <c r="M516">
        <v>6</v>
      </c>
      <c r="N516">
        <v>2349</v>
      </c>
      <c r="O516">
        <v>15</v>
      </c>
      <c r="P516">
        <v>12756.9</v>
      </c>
      <c r="Q516">
        <v>11980.77</v>
      </c>
      <c r="R516">
        <v>776.13</v>
      </c>
      <c r="S516" t="s">
        <v>35</v>
      </c>
      <c r="T516" t="s">
        <v>50</v>
      </c>
      <c r="U516" t="s">
        <v>3564</v>
      </c>
      <c r="V516" t="s">
        <v>3565</v>
      </c>
      <c r="W516">
        <v>2</v>
      </c>
      <c r="X516" t="s">
        <v>39</v>
      </c>
      <c r="Y516">
        <v>37</v>
      </c>
    </row>
    <row r="517" spans="1:25" x14ac:dyDescent="0.35">
      <c r="A517" t="s">
        <v>3566</v>
      </c>
      <c r="B517" s="1">
        <v>45369</v>
      </c>
      <c r="C517" s="1">
        <v>45372</v>
      </c>
      <c r="D517" t="s">
        <v>3567</v>
      </c>
      <c r="E517" t="s">
        <v>3568</v>
      </c>
      <c r="F517" t="s">
        <v>57</v>
      </c>
      <c r="G517" t="s">
        <v>3569</v>
      </c>
      <c r="H517" t="s">
        <v>44</v>
      </c>
      <c r="I517" t="s">
        <v>45</v>
      </c>
      <c r="J517" t="s">
        <v>46</v>
      </c>
      <c r="K517" t="s">
        <v>648</v>
      </c>
      <c r="L517" t="s">
        <v>3570</v>
      </c>
      <c r="M517">
        <v>6</v>
      </c>
      <c r="N517">
        <v>2655</v>
      </c>
      <c r="O517">
        <v>20</v>
      </c>
      <c r="P517">
        <v>13521</v>
      </c>
      <c r="Q517">
        <v>12744.89</v>
      </c>
      <c r="R517">
        <v>776.11</v>
      </c>
      <c r="S517" t="s">
        <v>49</v>
      </c>
      <c r="T517" t="s">
        <v>36</v>
      </c>
      <c r="U517" t="s">
        <v>3571</v>
      </c>
      <c r="V517" t="s">
        <v>3572</v>
      </c>
      <c r="W517">
        <v>45</v>
      </c>
      <c r="X517" t="s">
        <v>53</v>
      </c>
      <c r="Y517">
        <v>0</v>
      </c>
    </row>
    <row r="518" spans="1:25" x14ac:dyDescent="0.35">
      <c r="A518" t="s">
        <v>3573</v>
      </c>
      <c r="B518" s="1">
        <v>45748</v>
      </c>
      <c r="C518" s="1">
        <v>45755</v>
      </c>
      <c r="D518" t="s">
        <v>2852</v>
      </c>
      <c r="E518" t="s">
        <v>3574</v>
      </c>
      <c r="F518" t="s">
        <v>28</v>
      </c>
      <c r="G518" t="s">
        <v>3575</v>
      </c>
      <c r="H518" t="s">
        <v>127</v>
      </c>
      <c r="I518" t="s">
        <v>45</v>
      </c>
      <c r="J518" t="s">
        <v>46</v>
      </c>
      <c r="K518" t="s">
        <v>524</v>
      </c>
      <c r="L518" t="s">
        <v>3576</v>
      </c>
      <c r="M518">
        <v>8</v>
      </c>
      <c r="N518">
        <v>1915</v>
      </c>
      <c r="O518">
        <v>0</v>
      </c>
      <c r="P518">
        <v>16097</v>
      </c>
      <c r="Q518">
        <v>15320.75</v>
      </c>
      <c r="R518">
        <v>776.25</v>
      </c>
      <c r="S518" t="s">
        <v>100</v>
      </c>
      <c r="T518" t="s">
        <v>50</v>
      </c>
      <c r="U518" t="s">
        <v>3577</v>
      </c>
      <c r="V518" t="s">
        <v>3578</v>
      </c>
      <c r="W518">
        <v>42</v>
      </c>
      <c r="X518" t="s">
        <v>53</v>
      </c>
      <c r="Y518">
        <v>0</v>
      </c>
    </row>
    <row r="519" spans="1:25" x14ac:dyDescent="0.35">
      <c r="A519" t="s">
        <v>3579</v>
      </c>
      <c r="B519" s="1">
        <v>45822</v>
      </c>
      <c r="C519" s="1">
        <v>45829</v>
      </c>
      <c r="D519" t="s">
        <v>776</v>
      </c>
      <c r="E519" t="s">
        <v>3580</v>
      </c>
      <c r="F519" t="s">
        <v>28</v>
      </c>
      <c r="G519" t="s">
        <v>3581</v>
      </c>
      <c r="H519" t="s">
        <v>154</v>
      </c>
      <c r="I519" t="s">
        <v>137</v>
      </c>
      <c r="J519" t="s">
        <v>97</v>
      </c>
      <c r="K519" t="s">
        <v>662</v>
      </c>
      <c r="L519" t="s">
        <v>3582</v>
      </c>
      <c r="M519">
        <v>5</v>
      </c>
      <c r="N519">
        <v>1360</v>
      </c>
      <c r="O519">
        <v>15</v>
      </c>
      <c r="P519">
        <v>6557</v>
      </c>
      <c r="Q519">
        <v>5780.82</v>
      </c>
      <c r="R519">
        <v>776.18</v>
      </c>
      <c r="S519" t="s">
        <v>100</v>
      </c>
      <c r="T519" t="s">
        <v>36</v>
      </c>
      <c r="U519" t="s">
        <v>3583</v>
      </c>
      <c r="V519" t="s">
        <v>3584</v>
      </c>
      <c r="W519">
        <v>11</v>
      </c>
      <c r="X519" t="s">
        <v>53</v>
      </c>
      <c r="Y519">
        <v>0</v>
      </c>
    </row>
    <row r="520" spans="1:25" x14ac:dyDescent="0.35">
      <c r="A520" t="s">
        <v>3585</v>
      </c>
      <c r="B520" s="1">
        <v>45709</v>
      </c>
      <c r="C520" s="1">
        <v>45716</v>
      </c>
      <c r="D520" t="s">
        <v>3586</v>
      </c>
      <c r="E520" t="s">
        <v>3587</v>
      </c>
      <c r="F520" t="s">
        <v>95</v>
      </c>
      <c r="G520" t="s">
        <v>3588</v>
      </c>
      <c r="H520" t="s">
        <v>107</v>
      </c>
      <c r="I520" t="s">
        <v>108</v>
      </c>
      <c r="J520" t="s">
        <v>97</v>
      </c>
      <c r="K520" t="s">
        <v>415</v>
      </c>
      <c r="L520" t="s">
        <v>3589</v>
      </c>
      <c r="M520">
        <v>6</v>
      </c>
      <c r="N520">
        <v>846</v>
      </c>
      <c r="O520">
        <v>15</v>
      </c>
      <c r="P520">
        <v>5091.6000000000004</v>
      </c>
      <c r="Q520">
        <v>4315.37</v>
      </c>
      <c r="R520">
        <v>776.23</v>
      </c>
      <c r="S520" t="s">
        <v>49</v>
      </c>
      <c r="T520" t="s">
        <v>50</v>
      </c>
      <c r="U520" t="s">
        <v>3590</v>
      </c>
      <c r="V520" t="s">
        <v>3591</v>
      </c>
      <c r="W520">
        <v>26</v>
      </c>
      <c r="X520" t="s">
        <v>53</v>
      </c>
      <c r="Y520">
        <v>0</v>
      </c>
    </row>
    <row r="521" spans="1:25" x14ac:dyDescent="0.35">
      <c r="A521" t="s">
        <v>3592</v>
      </c>
      <c r="B521" s="1">
        <v>45715</v>
      </c>
      <c r="C521" s="1">
        <v>45720</v>
      </c>
      <c r="D521" t="s">
        <v>3593</v>
      </c>
      <c r="E521" t="s">
        <v>3594</v>
      </c>
      <c r="F521" t="s">
        <v>28</v>
      </c>
      <c r="G521" t="s">
        <v>3595</v>
      </c>
      <c r="H521" t="s">
        <v>189</v>
      </c>
      <c r="I521" t="s">
        <v>108</v>
      </c>
      <c r="J521" t="s">
        <v>97</v>
      </c>
      <c r="K521" t="s">
        <v>750</v>
      </c>
      <c r="L521" t="s">
        <v>3596</v>
      </c>
      <c r="M521">
        <v>2</v>
      </c>
      <c r="N521">
        <v>1528</v>
      </c>
      <c r="O521">
        <v>5</v>
      </c>
      <c r="P521">
        <v>3680.2</v>
      </c>
      <c r="Q521">
        <v>2903.98</v>
      </c>
      <c r="R521">
        <v>776.22</v>
      </c>
      <c r="S521" t="s">
        <v>35</v>
      </c>
      <c r="T521" t="s">
        <v>36</v>
      </c>
      <c r="U521" t="s">
        <v>3597</v>
      </c>
      <c r="V521" t="s">
        <v>3598</v>
      </c>
      <c r="W521">
        <v>6</v>
      </c>
      <c r="X521" t="s">
        <v>39</v>
      </c>
      <c r="Y521">
        <v>47</v>
      </c>
    </row>
    <row r="522" spans="1:25" x14ac:dyDescent="0.35">
      <c r="A522" t="s">
        <v>3599</v>
      </c>
      <c r="B522" s="1">
        <v>45492</v>
      </c>
      <c r="C522" s="1">
        <v>45493</v>
      </c>
      <c r="D522" t="s">
        <v>3600</v>
      </c>
      <c r="E522" t="s">
        <v>3601</v>
      </c>
      <c r="F522" t="s">
        <v>95</v>
      </c>
      <c r="G522" t="s">
        <v>3602</v>
      </c>
      <c r="H522" t="s">
        <v>230</v>
      </c>
      <c r="I522" t="s">
        <v>137</v>
      </c>
      <c r="J522" t="s">
        <v>32</v>
      </c>
      <c r="K522" t="s">
        <v>992</v>
      </c>
      <c r="L522" t="s">
        <v>3603</v>
      </c>
      <c r="M522">
        <v>1</v>
      </c>
      <c r="N522">
        <v>530</v>
      </c>
      <c r="O522">
        <v>5</v>
      </c>
      <c r="P522">
        <v>1280.5</v>
      </c>
      <c r="Q522">
        <v>504.37</v>
      </c>
      <c r="R522">
        <v>776.13</v>
      </c>
      <c r="S522" t="s">
        <v>49</v>
      </c>
      <c r="T522" t="s">
        <v>36</v>
      </c>
      <c r="U522" t="s">
        <v>3604</v>
      </c>
      <c r="V522" t="s">
        <v>3605</v>
      </c>
      <c r="W522">
        <v>39</v>
      </c>
      <c r="X522" t="s">
        <v>53</v>
      </c>
      <c r="Y522">
        <v>0</v>
      </c>
    </row>
    <row r="523" spans="1:25" x14ac:dyDescent="0.35">
      <c r="A523" t="s">
        <v>3606</v>
      </c>
      <c r="B523" s="1">
        <v>45610</v>
      </c>
      <c r="C523" s="1">
        <v>45615</v>
      </c>
      <c r="D523" t="s">
        <v>1844</v>
      </c>
      <c r="E523" t="s">
        <v>3607</v>
      </c>
      <c r="F523" t="s">
        <v>28</v>
      </c>
      <c r="G523" t="s">
        <v>3608</v>
      </c>
      <c r="H523" t="s">
        <v>163</v>
      </c>
      <c r="I523" t="s">
        <v>108</v>
      </c>
      <c r="J523" t="s">
        <v>46</v>
      </c>
      <c r="K523" t="s">
        <v>312</v>
      </c>
      <c r="L523" t="s">
        <v>3609</v>
      </c>
      <c r="M523">
        <v>7</v>
      </c>
      <c r="N523">
        <v>1802</v>
      </c>
      <c r="O523">
        <v>0</v>
      </c>
      <c r="P523">
        <v>13391</v>
      </c>
      <c r="Q523">
        <v>12614.66</v>
      </c>
      <c r="R523">
        <v>776.34</v>
      </c>
      <c r="S523" t="s">
        <v>80</v>
      </c>
      <c r="T523" t="s">
        <v>140</v>
      </c>
      <c r="U523" t="s">
        <v>3610</v>
      </c>
      <c r="V523" t="s">
        <v>3611</v>
      </c>
      <c r="W523">
        <v>46</v>
      </c>
      <c r="X523" t="s">
        <v>53</v>
      </c>
      <c r="Y523">
        <v>0</v>
      </c>
    </row>
    <row r="524" spans="1:25" x14ac:dyDescent="0.35">
      <c r="A524" t="s">
        <v>3612</v>
      </c>
      <c r="B524" s="1">
        <v>45260</v>
      </c>
      <c r="C524" s="1">
        <v>45266</v>
      </c>
      <c r="D524" t="s">
        <v>2695</v>
      </c>
      <c r="E524" t="s">
        <v>3613</v>
      </c>
      <c r="F524" t="s">
        <v>28</v>
      </c>
      <c r="G524" t="s">
        <v>3614</v>
      </c>
      <c r="H524" t="s">
        <v>107</v>
      </c>
      <c r="I524" t="s">
        <v>108</v>
      </c>
      <c r="J524" t="s">
        <v>97</v>
      </c>
      <c r="K524" t="s">
        <v>524</v>
      </c>
      <c r="L524" t="s">
        <v>3615</v>
      </c>
      <c r="M524">
        <v>4</v>
      </c>
      <c r="N524">
        <v>840</v>
      </c>
      <c r="O524">
        <v>15</v>
      </c>
      <c r="P524">
        <v>3633</v>
      </c>
      <c r="Q524">
        <v>2856.61</v>
      </c>
      <c r="R524">
        <v>776.39</v>
      </c>
      <c r="S524" t="s">
        <v>35</v>
      </c>
      <c r="T524" t="s">
        <v>89</v>
      </c>
      <c r="U524" t="s">
        <v>3616</v>
      </c>
      <c r="V524" t="s">
        <v>3617</v>
      </c>
      <c r="W524">
        <v>10</v>
      </c>
      <c r="X524" t="s">
        <v>53</v>
      </c>
      <c r="Y524">
        <v>0</v>
      </c>
    </row>
    <row r="525" spans="1:25" x14ac:dyDescent="0.35">
      <c r="A525" t="s">
        <v>3618</v>
      </c>
      <c r="B525" s="1">
        <v>45271</v>
      </c>
      <c r="C525" s="1">
        <v>45273</v>
      </c>
      <c r="D525" t="s">
        <v>1308</v>
      </c>
      <c r="E525" t="s">
        <v>3619</v>
      </c>
      <c r="F525" t="s">
        <v>95</v>
      </c>
      <c r="G525" t="s">
        <v>3620</v>
      </c>
      <c r="H525" t="s">
        <v>230</v>
      </c>
      <c r="I525" t="s">
        <v>137</v>
      </c>
      <c r="J525" t="s">
        <v>32</v>
      </c>
      <c r="K525" t="s">
        <v>699</v>
      </c>
      <c r="L525" t="s">
        <v>3621</v>
      </c>
      <c r="M525">
        <v>10</v>
      </c>
      <c r="N525">
        <v>2596</v>
      </c>
      <c r="O525">
        <v>0</v>
      </c>
      <c r="P525">
        <v>26737</v>
      </c>
      <c r="Q525">
        <v>25960.85</v>
      </c>
      <c r="R525">
        <v>776.15</v>
      </c>
      <c r="S525" t="s">
        <v>80</v>
      </c>
      <c r="T525" t="s">
        <v>89</v>
      </c>
      <c r="U525" t="s">
        <v>3622</v>
      </c>
      <c r="V525" t="s">
        <v>3623</v>
      </c>
      <c r="W525">
        <v>13</v>
      </c>
      <c r="X525" t="s">
        <v>53</v>
      </c>
      <c r="Y525">
        <v>0</v>
      </c>
    </row>
    <row r="526" spans="1:25" x14ac:dyDescent="0.35">
      <c r="A526" t="s">
        <v>3624</v>
      </c>
      <c r="B526" s="1">
        <v>45280</v>
      </c>
      <c r="C526" s="1">
        <v>45282</v>
      </c>
      <c r="D526" t="s">
        <v>2734</v>
      </c>
      <c r="E526" t="s">
        <v>3625</v>
      </c>
      <c r="F526" t="s">
        <v>95</v>
      </c>
      <c r="G526" t="s">
        <v>3626</v>
      </c>
      <c r="H526" t="s">
        <v>320</v>
      </c>
      <c r="I526" t="s">
        <v>137</v>
      </c>
      <c r="J526" t="s">
        <v>46</v>
      </c>
      <c r="K526" t="s">
        <v>662</v>
      </c>
      <c r="L526" t="s">
        <v>3627</v>
      </c>
      <c r="M526">
        <v>2</v>
      </c>
      <c r="N526">
        <v>886</v>
      </c>
      <c r="O526">
        <v>20</v>
      </c>
      <c r="P526">
        <v>2194.6</v>
      </c>
      <c r="Q526">
        <v>1418.3</v>
      </c>
      <c r="R526">
        <v>776.3</v>
      </c>
      <c r="S526" t="s">
        <v>80</v>
      </c>
      <c r="T526" t="s">
        <v>89</v>
      </c>
      <c r="U526" t="s">
        <v>3628</v>
      </c>
      <c r="V526" t="s">
        <v>3629</v>
      </c>
      <c r="W526">
        <v>10</v>
      </c>
      <c r="X526" t="s">
        <v>53</v>
      </c>
      <c r="Y526">
        <v>0</v>
      </c>
    </row>
    <row r="527" spans="1:25" x14ac:dyDescent="0.35">
      <c r="A527" t="s">
        <v>3630</v>
      </c>
      <c r="B527" s="1">
        <v>45837</v>
      </c>
      <c r="C527" s="1">
        <v>45839</v>
      </c>
      <c r="D527" t="s">
        <v>3631</v>
      </c>
      <c r="E527" t="s">
        <v>3632</v>
      </c>
      <c r="F527" t="s">
        <v>95</v>
      </c>
      <c r="G527" t="s">
        <v>3633</v>
      </c>
      <c r="H527" t="s">
        <v>77</v>
      </c>
      <c r="I527" t="s">
        <v>45</v>
      </c>
      <c r="J527" t="s">
        <v>118</v>
      </c>
      <c r="K527" t="s">
        <v>239</v>
      </c>
      <c r="L527" t="s">
        <v>3634</v>
      </c>
      <c r="M527">
        <v>4</v>
      </c>
      <c r="N527">
        <v>346</v>
      </c>
      <c r="O527">
        <v>0</v>
      </c>
      <c r="P527">
        <v>2161</v>
      </c>
      <c r="Q527">
        <v>1384.87</v>
      </c>
      <c r="R527">
        <v>776.13</v>
      </c>
      <c r="S527" t="s">
        <v>100</v>
      </c>
      <c r="T527" t="s">
        <v>50</v>
      </c>
      <c r="U527" t="s">
        <v>3635</v>
      </c>
      <c r="V527" t="s">
        <v>3636</v>
      </c>
      <c r="W527">
        <v>44</v>
      </c>
      <c r="X527" t="s">
        <v>53</v>
      </c>
      <c r="Y527">
        <v>0</v>
      </c>
    </row>
    <row r="528" spans="1:25" x14ac:dyDescent="0.35">
      <c r="A528" t="s">
        <v>3637</v>
      </c>
      <c r="B528" s="1">
        <v>45826</v>
      </c>
      <c r="C528" s="1">
        <v>45830</v>
      </c>
      <c r="D528" t="s">
        <v>3638</v>
      </c>
      <c r="E528" t="s">
        <v>3639</v>
      </c>
      <c r="F528" t="s">
        <v>28</v>
      </c>
      <c r="G528" t="s">
        <v>3640</v>
      </c>
      <c r="H528" t="s">
        <v>30</v>
      </c>
      <c r="I528" t="s">
        <v>31</v>
      </c>
      <c r="J528" t="s">
        <v>97</v>
      </c>
      <c r="K528" t="s">
        <v>87</v>
      </c>
      <c r="L528" t="s">
        <v>3641</v>
      </c>
      <c r="M528">
        <v>7</v>
      </c>
      <c r="N528">
        <v>1644</v>
      </c>
      <c r="O528">
        <v>5</v>
      </c>
      <c r="P528">
        <v>11709.6</v>
      </c>
      <c r="Q528">
        <v>10933.22</v>
      </c>
      <c r="R528">
        <v>776.38</v>
      </c>
      <c r="S528" t="s">
        <v>100</v>
      </c>
      <c r="T528" t="s">
        <v>50</v>
      </c>
      <c r="U528" t="s">
        <v>3642</v>
      </c>
      <c r="V528" t="s">
        <v>3643</v>
      </c>
      <c r="W528">
        <v>46</v>
      </c>
      <c r="X528" t="s">
        <v>53</v>
      </c>
      <c r="Y528">
        <v>0</v>
      </c>
    </row>
    <row r="529" spans="1:25" x14ac:dyDescent="0.35">
      <c r="A529" t="s">
        <v>3644</v>
      </c>
      <c r="B529" s="1">
        <v>45849</v>
      </c>
      <c r="C529" s="1">
        <v>45851</v>
      </c>
      <c r="D529" t="s">
        <v>3645</v>
      </c>
      <c r="E529" t="s">
        <v>3646</v>
      </c>
      <c r="F529" t="s">
        <v>28</v>
      </c>
      <c r="G529" t="s">
        <v>3647</v>
      </c>
      <c r="H529" t="s">
        <v>30</v>
      </c>
      <c r="I529" t="s">
        <v>31</v>
      </c>
      <c r="J529" t="s">
        <v>97</v>
      </c>
      <c r="K529" t="s">
        <v>155</v>
      </c>
      <c r="L529" t="s">
        <v>3648</v>
      </c>
      <c r="M529">
        <v>7</v>
      </c>
      <c r="N529">
        <v>1819</v>
      </c>
      <c r="O529">
        <v>10</v>
      </c>
      <c r="P529">
        <v>12236.7</v>
      </c>
      <c r="Q529">
        <v>11460.3</v>
      </c>
      <c r="R529">
        <v>776.4</v>
      </c>
      <c r="S529" t="s">
        <v>35</v>
      </c>
      <c r="T529" t="s">
        <v>140</v>
      </c>
      <c r="U529" t="s">
        <v>3649</v>
      </c>
      <c r="V529" t="s">
        <v>3650</v>
      </c>
      <c r="W529">
        <v>17</v>
      </c>
      <c r="X529" t="s">
        <v>53</v>
      </c>
      <c r="Y529">
        <v>0</v>
      </c>
    </row>
    <row r="530" spans="1:25" x14ac:dyDescent="0.35">
      <c r="A530" t="s">
        <v>3651</v>
      </c>
      <c r="B530" s="1">
        <v>45624</v>
      </c>
      <c r="C530" s="1">
        <v>45630</v>
      </c>
      <c r="D530" t="s">
        <v>3652</v>
      </c>
      <c r="E530" t="s">
        <v>3653</v>
      </c>
      <c r="F530" t="s">
        <v>57</v>
      </c>
      <c r="G530" t="s">
        <v>3654</v>
      </c>
      <c r="H530" t="s">
        <v>127</v>
      </c>
      <c r="I530" t="s">
        <v>45</v>
      </c>
      <c r="J530" t="s">
        <v>32</v>
      </c>
      <c r="K530" t="s">
        <v>128</v>
      </c>
      <c r="L530" t="s">
        <v>3655</v>
      </c>
      <c r="M530">
        <v>2</v>
      </c>
      <c r="N530">
        <v>4106</v>
      </c>
      <c r="O530">
        <v>15</v>
      </c>
      <c r="P530">
        <v>7757.2</v>
      </c>
      <c r="Q530">
        <v>6980.84</v>
      </c>
      <c r="R530">
        <v>776.36</v>
      </c>
      <c r="S530" t="s">
        <v>35</v>
      </c>
      <c r="T530" t="s">
        <v>50</v>
      </c>
      <c r="U530" t="s">
        <v>3656</v>
      </c>
      <c r="V530" t="s">
        <v>3657</v>
      </c>
      <c r="W530">
        <v>37</v>
      </c>
      <c r="X530" t="s">
        <v>53</v>
      </c>
      <c r="Y530">
        <v>0</v>
      </c>
    </row>
    <row r="531" spans="1:25" x14ac:dyDescent="0.35">
      <c r="A531" t="s">
        <v>3658</v>
      </c>
      <c r="B531" s="1">
        <v>45480</v>
      </c>
      <c r="C531" s="1">
        <v>45485</v>
      </c>
      <c r="D531" t="s">
        <v>3659</v>
      </c>
      <c r="E531" t="s">
        <v>3660</v>
      </c>
      <c r="F531" t="s">
        <v>28</v>
      </c>
      <c r="G531" t="s">
        <v>3661</v>
      </c>
      <c r="H531" t="s">
        <v>117</v>
      </c>
      <c r="I531" t="s">
        <v>108</v>
      </c>
      <c r="J531" t="s">
        <v>46</v>
      </c>
      <c r="K531" t="s">
        <v>87</v>
      </c>
      <c r="L531" t="s">
        <v>3662</v>
      </c>
      <c r="M531">
        <v>1</v>
      </c>
      <c r="N531">
        <v>3211</v>
      </c>
      <c r="O531">
        <v>0</v>
      </c>
      <c r="P531">
        <v>3988</v>
      </c>
      <c r="Q531">
        <v>3211.68</v>
      </c>
      <c r="R531">
        <v>776.32</v>
      </c>
      <c r="S531" t="s">
        <v>100</v>
      </c>
      <c r="T531" t="s">
        <v>140</v>
      </c>
      <c r="U531" t="s">
        <v>3663</v>
      </c>
      <c r="V531" t="s">
        <v>3664</v>
      </c>
      <c r="W531">
        <v>46</v>
      </c>
      <c r="X531" t="s">
        <v>53</v>
      </c>
      <c r="Y531">
        <v>0</v>
      </c>
    </row>
    <row r="532" spans="1:25" x14ac:dyDescent="0.35">
      <c r="A532" t="s">
        <v>3665</v>
      </c>
      <c r="B532" s="1">
        <v>45673</v>
      </c>
      <c r="C532" s="1">
        <v>45676</v>
      </c>
      <c r="D532" t="s">
        <v>3666</v>
      </c>
      <c r="E532" t="s">
        <v>3667</v>
      </c>
      <c r="F532" t="s">
        <v>57</v>
      </c>
      <c r="G532" t="s">
        <v>3668</v>
      </c>
      <c r="H532" t="s">
        <v>163</v>
      </c>
      <c r="I532" t="s">
        <v>108</v>
      </c>
      <c r="J532" t="s">
        <v>118</v>
      </c>
      <c r="K532" t="s">
        <v>312</v>
      </c>
      <c r="L532" t="s">
        <v>3669</v>
      </c>
      <c r="M532">
        <v>8</v>
      </c>
      <c r="N532">
        <v>1683</v>
      </c>
      <c r="O532">
        <v>10</v>
      </c>
      <c r="P532">
        <v>12894.6</v>
      </c>
      <c r="Q532">
        <v>12118.34</v>
      </c>
      <c r="R532">
        <v>776.26</v>
      </c>
      <c r="S532" t="s">
        <v>100</v>
      </c>
      <c r="T532" t="s">
        <v>36</v>
      </c>
      <c r="U532" t="s">
        <v>3670</v>
      </c>
      <c r="V532" t="s">
        <v>3671</v>
      </c>
      <c r="W532">
        <v>45</v>
      </c>
      <c r="X532" t="s">
        <v>53</v>
      </c>
      <c r="Y532">
        <v>0</v>
      </c>
    </row>
    <row r="533" spans="1:25" x14ac:dyDescent="0.35">
      <c r="A533" t="s">
        <v>3672</v>
      </c>
      <c r="B533" s="1">
        <v>45533</v>
      </c>
      <c r="C533" s="1">
        <v>45535</v>
      </c>
      <c r="D533" t="s">
        <v>2500</v>
      </c>
      <c r="E533" t="s">
        <v>3673</v>
      </c>
      <c r="F533" t="s">
        <v>95</v>
      </c>
      <c r="G533" t="s">
        <v>3674</v>
      </c>
      <c r="H533" t="s">
        <v>117</v>
      </c>
      <c r="I533" t="s">
        <v>108</v>
      </c>
      <c r="J533" t="s">
        <v>97</v>
      </c>
      <c r="K533" t="s">
        <v>173</v>
      </c>
      <c r="L533" t="s">
        <v>3675</v>
      </c>
      <c r="M533">
        <v>3</v>
      </c>
      <c r="N533">
        <v>2014</v>
      </c>
      <c r="O533">
        <v>20</v>
      </c>
      <c r="P533">
        <v>5610.6</v>
      </c>
      <c r="Q533">
        <v>4834.28</v>
      </c>
      <c r="R533">
        <v>776.32</v>
      </c>
      <c r="S533" t="s">
        <v>100</v>
      </c>
      <c r="T533" t="s">
        <v>50</v>
      </c>
      <c r="U533" t="s">
        <v>3676</v>
      </c>
      <c r="V533" t="s">
        <v>3677</v>
      </c>
      <c r="W533">
        <v>3</v>
      </c>
      <c r="X533" t="s">
        <v>39</v>
      </c>
      <c r="Y533">
        <v>48</v>
      </c>
    </row>
    <row r="534" spans="1:25" x14ac:dyDescent="0.35">
      <c r="A534" t="s">
        <v>3678</v>
      </c>
      <c r="B534" s="1">
        <v>45758</v>
      </c>
      <c r="C534" s="1">
        <v>45761</v>
      </c>
      <c r="D534" t="s">
        <v>1522</v>
      </c>
      <c r="E534" t="s">
        <v>3679</v>
      </c>
      <c r="F534" t="s">
        <v>28</v>
      </c>
      <c r="G534" t="s">
        <v>3392</v>
      </c>
      <c r="H534" t="s">
        <v>30</v>
      </c>
      <c r="I534" t="s">
        <v>31</v>
      </c>
      <c r="J534" t="s">
        <v>32</v>
      </c>
      <c r="K534" t="s">
        <v>60</v>
      </c>
      <c r="L534" t="s">
        <v>3680</v>
      </c>
      <c r="M534">
        <v>2</v>
      </c>
      <c r="N534">
        <v>1412</v>
      </c>
      <c r="O534">
        <v>15</v>
      </c>
      <c r="P534">
        <v>3177.4</v>
      </c>
      <c r="Q534">
        <v>2401.29</v>
      </c>
      <c r="R534">
        <v>776.11</v>
      </c>
      <c r="S534" t="s">
        <v>80</v>
      </c>
      <c r="T534" t="s">
        <v>50</v>
      </c>
      <c r="U534" t="s">
        <v>3681</v>
      </c>
      <c r="V534" t="s">
        <v>3682</v>
      </c>
      <c r="W534">
        <v>4</v>
      </c>
      <c r="X534" t="s">
        <v>39</v>
      </c>
      <c r="Y534">
        <v>29</v>
      </c>
    </row>
    <row r="535" spans="1:25" x14ac:dyDescent="0.35">
      <c r="A535" t="s">
        <v>3683</v>
      </c>
      <c r="B535" s="1">
        <v>45262</v>
      </c>
      <c r="C535" s="1">
        <v>45268</v>
      </c>
      <c r="D535" t="s">
        <v>104</v>
      </c>
      <c r="E535" t="s">
        <v>3684</v>
      </c>
      <c r="F535" t="s">
        <v>57</v>
      </c>
      <c r="G535" t="s">
        <v>3685</v>
      </c>
      <c r="H535" t="s">
        <v>44</v>
      </c>
      <c r="I535" t="s">
        <v>45</v>
      </c>
      <c r="J535" t="s">
        <v>46</v>
      </c>
      <c r="K535" t="s">
        <v>128</v>
      </c>
      <c r="L535" t="s">
        <v>3686</v>
      </c>
      <c r="M535">
        <v>3</v>
      </c>
      <c r="N535">
        <v>4221</v>
      </c>
      <c r="O535">
        <v>20</v>
      </c>
      <c r="P535">
        <v>10907.4</v>
      </c>
      <c r="Q535">
        <v>10131.26</v>
      </c>
      <c r="R535">
        <v>776.14</v>
      </c>
      <c r="S535" t="s">
        <v>35</v>
      </c>
      <c r="T535" t="s">
        <v>140</v>
      </c>
      <c r="U535" t="s">
        <v>3687</v>
      </c>
      <c r="V535" t="s">
        <v>3688</v>
      </c>
      <c r="W535">
        <v>33</v>
      </c>
      <c r="X535" t="s">
        <v>53</v>
      </c>
      <c r="Y535">
        <v>0</v>
      </c>
    </row>
    <row r="536" spans="1:25" x14ac:dyDescent="0.35">
      <c r="A536" t="s">
        <v>3689</v>
      </c>
      <c r="B536" s="1">
        <v>45290</v>
      </c>
      <c r="C536" s="1">
        <v>45296</v>
      </c>
      <c r="D536" t="s">
        <v>3690</v>
      </c>
      <c r="E536" t="s">
        <v>3691</v>
      </c>
      <c r="F536" t="s">
        <v>57</v>
      </c>
      <c r="G536" t="s">
        <v>3692</v>
      </c>
      <c r="H536" t="s">
        <v>230</v>
      </c>
      <c r="I536" t="s">
        <v>137</v>
      </c>
      <c r="J536" t="s">
        <v>32</v>
      </c>
      <c r="K536" t="s">
        <v>69</v>
      </c>
      <c r="L536" t="s">
        <v>3693</v>
      </c>
      <c r="M536">
        <v>3</v>
      </c>
      <c r="N536">
        <v>432</v>
      </c>
      <c r="O536">
        <v>5</v>
      </c>
      <c r="P536">
        <v>2008.2</v>
      </c>
      <c r="Q536">
        <v>1232.07</v>
      </c>
      <c r="R536">
        <v>776.13</v>
      </c>
      <c r="S536" t="s">
        <v>49</v>
      </c>
      <c r="T536" t="s">
        <v>89</v>
      </c>
      <c r="U536" t="s">
        <v>3243</v>
      </c>
      <c r="V536" t="s">
        <v>3694</v>
      </c>
      <c r="W536">
        <v>5</v>
      </c>
      <c r="X536" t="s">
        <v>39</v>
      </c>
      <c r="Y536">
        <v>40</v>
      </c>
    </row>
    <row r="537" spans="1:25" x14ac:dyDescent="0.35">
      <c r="A537" t="s">
        <v>3695</v>
      </c>
      <c r="B537" s="1">
        <v>45404</v>
      </c>
      <c r="C537" s="1">
        <v>45406</v>
      </c>
      <c r="D537" t="s">
        <v>3696</v>
      </c>
      <c r="E537" t="s">
        <v>3697</v>
      </c>
      <c r="F537" t="s">
        <v>28</v>
      </c>
      <c r="G537" t="s">
        <v>3698</v>
      </c>
      <c r="H537" t="s">
        <v>154</v>
      </c>
      <c r="I537" t="s">
        <v>137</v>
      </c>
      <c r="J537" t="s">
        <v>118</v>
      </c>
      <c r="K537" t="s">
        <v>691</v>
      </c>
      <c r="L537" t="s">
        <v>3699</v>
      </c>
      <c r="M537">
        <v>10</v>
      </c>
      <c r="N537">
        <v>4564</v>
      </c>
      <c r="O537">
        <v>15</v>
      </c>
      <c r="P537">
        <v>39571</v>
      </c>
      <c r="Q537">
        <v>38794.74</v>
      </c>
      <c r="R537">
        <v>776.26</v>
      </c>
      <c r="S537" t="s">
        <v>49</v>
      </c>
      <c r="T537" t="s">
        <v>140</v>
      </c>
      <c r="U537" t="s">
        <v>3700</v>
      </c>
      <c r="V537" t="s">
        <v>3701</v>
      </c>
      <c r="W537">
        <v>43</v>
      </c>
      <c r="X537" t="s">
        <v>53</v>
      </c>
      <c r="Y537">
        <v>0</v>
      </c>
    </row>
    <row r="538" spans="1:25" x14ac:dyDescent="0.35">
      <c r="A538" t="s">
        <v>3702</v>
      </c>
      <c r="B538" s="1">
        <v>45843</v>
      </c>
      <c r="C538" s="1">
        <v>45848</v>
      </c>
      <c r="D538" t="s">
        <v>1128</v>
      </c>
      <c r="E538" t="s">
        <v>3703</v>
      </c>
      <c r="F538" t="s">
        <v>28</v>
      </c>
      <c r="G538" t="s">
        <v>3704</v>
      </c>
      <c r="H538" t="s">
        <v>59</v>
      </c>
      <c r="I538" t="s">
        <v>31</v>
      </c>
      <c r="J538" t="s">
        <v>118</v>
      </c>
      <c r="K538" t="s">
        <v>247</v>
      </c>
      <c r="L538" t="s">
        <v>3705</v>
      </c>
      <c r="M538">
        <v>10</v>
      </c>
      <c r="N538">
        <v>2570</v>
      </c>
      <c r="O538">
        <v>5</v>
      </c>
      <c r="P538">
        <v>25192</v>
      </c>
      <c r="Q538">
        <v>24415.9</v>
      </c>
      <c r="R538">
        <v>776.1</v>
      </c>
      <c r="S538" t="s">
        <v>80</v>
      </c>
      <c r="T538" t="s">
        <v>89</v>
      </c>
      <c r="U538" t="s">
        <v>3706</v>
      </c>
      <c r="V538" t="s">
        <v>3707</v>
      </c>
      <c r="W538">
        <v>5</v>
      </c>
      <c r="X538" t="s">
        <v>39</v>
      </c>
      <c r="Y538">
        <v>41</v>
      </c>
    </row>
    <row r="539" spans="1:25" x14ac:dyDescent="0.35">
      <c r="A539" t="s">
        <v>3708</v>
      </c>
      <c r="B539" s="1">
        <v>45885</v>
      </c>
      <c r="C539" s="1">
        <v>45891</v>
      </c>
      <c r="D539" t="s">
        <v>3645</v>
      </c>
      <c r="E539" t="s">
        <v>3709</v>
      </c>
      <c r="F539" t="s">
        <v>95</v>
      </c>
      <c r="G539" t="s">
        <v>3710</v>
      </c>
      <c r="H539" t="s">
        <v>107</v>
      </c>
      <c r="I539" t="s">
        <v>108</v>
      </c>
      <c r="J539" t="s">
        <v>46</v>
      </c>
      <c r="K539" t="s">
        <v>482</v>
      </c>
      <c r="L539" t="s">
        <v>3711</v>
      </c>
      <c r="M539">
        <v>10</v>
      </c>
      <c r="N539">
        <v>4458</v>
      </c>
      <c r="O539">
        <v>20</v>
      </c>
      <c r="P539">
        <v>36441</v>
      </c>
      <c r="Q539">
        <v>35664.76</v>
      </c>
      <c r="R539">
        <v>776.24</v>
      </c>
      <c r="S539" t="s">
        <v>80</v>
      </c>
      <c r="T539" t="s">
        <v>50</v>
      </c>
      <c r="U539" t="s">
        <v>3712</v>
      </c>
      <c r="V539" t="s">
        <v>3713</v>
      </c>
      <c r="W539">
        <v>25</v>
      </c>
      <c r="X539" t="s">
        <v>53</v>
      </c>
      <c r="Y539">
        <v>0</v>
      </c>
    </row>
    <row r="540" spans="1:25" x14ac:dyDescent="0.35">
      <c r="A540" t="s">
        <v>3714</v>
      </c>
      <c r="B540" s="1">
        <v>45357</v>
      </c>
      <c r="C540" s="1">
        <v>45359</v>
      </c>
      <c r="D540" t="s">
        <v>3715</v>
      </c>
      <c r="E540" t="s">
        <v>3716</v>
      </c>
      <c r="F540" t="s">
        <v>57</v>
      </c>
      <c r="G540" t="s">
        <v>3717</v>
      </c>
      <c r="H540" t="s">
        <v>283</v>
      </c>
      <c r="I540" t="s">
        <v>45</v>
      </c>
      <c r="J540" t="s">
        <v>97</v>
      </c>
      <c r="K540" t="s">
        <v>885</v>
      </c>
      <c r="L540" t="s">
        <v>3718</v>
      </c>
      <c r="M540">
        <v>2</v>
      </c>
      <c r="N540">
        <v>4460</v>
      </c>
      <c r="O540">
        <v>5</v>
      </c>
      <c r="P540">
        <v>9251</v>
      </c>
      <c r="Q540">
        <v>8474.66</v>
      </c>
      <c r="R540">
        <v>776.34</v>
      </c>
      <c r="S540" t="s">
        <v>80</v>
      </c>
      <c r="T540" t="s">
        <v>140</v>
      </c>
      <c r="U540" t="s">
        <v>3719</v>
      </c>
      <c r="V540" t="s">
        <v>3720</v>
      </c>
      <c r="W540">
        <v>10</v>
      </c>
      <c r="X540" t="s">
        <v>53</v>
      </c>
      <c r="Y540">
        <v>0</v>
      </c>
    </row>
    <row r="541" spans="1:25" x14ac:dyDescent="0.35">
      <c r="A541" t="s">
        <v>3721</v>
      </c>
      <c r="B541" s="1">
        <v>45668</v>
      </c>
      <c r="C541" s="1">
        <v>45670</v>
      </c>
      <c r="D541" t="s">
        <v>588</v>
      </c>
      <c r="E541" t="s">
        <v>3722</v>
      </c>
      <c r="F541" t="s">
        <v>95</v>
      </c>
      <c r="G541" t="s">
        <v>3723</v>
      </c>
      <c r="H541" t="s">
        <v>334</v>
      </c>
      <c r="I541" t="s">
        <v>108</v>
      </c>
      <c r="J541" t="s">
        <v>97</v>
      </c>
      <c r="K541" t="s">
        <v>430</v>
      </c>
      <c r="L541" t="s">
        <v>3724</v>
      </c>
      <c r="M541">
        <v>8</v>
      </c>
      <c r="N541">
        <v>2307</v>
      </c>
      <c r="O541">
        <v>10</v>
      </c>
      <c r="P541">
        <v>17387.400000000001</v>
      </c>
      <c r="Q541">
        <v>16611.150000000001</v>
      </c>
      <c r="R541">
        <v>776.25</v>
      </c>
      <c r="S541" t="s">
        <v>49</v>
      </c>
      <c r="T541" t="s">
        <v>89</v>
      </c>
      <c r="U541" t="s">
        <v>3725</v>
      </c>
      <c r="V541" t="s">
        <v>3726</v>
      </c>
      <c r="W541">
        <v>5</v>
      </c>
      <c r="X541" t="s">
        <v>39</v>
      </c>
      <c r="Y541">
        <v>31</v>
      </c>
    </row>
    <row r="542" spans="1:25" x14ac:dyDescent="0.35">
      <c r="A542" t="s">
        <v>3727</v>
      </c>
      <c r="B542" s="1">
        <v>45901</v>
      </c>
      <c r="C542" s="1">
        <v>45907</v>
      </c>
      <c r="D542" t="s">
        <v>3527</v>
      </c>
      <c r="E542" t="s">
        <v>3728</v>
      </c>
      <c r="F542" t="s">
        <v>95</v>
      </c>
      <c r="G542" t="s">
        <v>3729</v>
      </c>
      <c r="H542" t="s">
        <v>44</v>
      </c>
      <c r="I542" t="s">
        <v>45</v>
      </c>
      <c r="J542" t="s">
        <v>97</v>
      </c>
      <c r="K542" t="s">
        <v>199</v>
      </c>
      <c r="L542" t="s">
        <v>3730</v>
      </c>
      <c r="M542">
        <v>6</v>
      </c>
      <c r="N542">
        <v>492</v>
      </c>
      <c r="O542">
        <v>10</v>
      </c>
      <c r="P542">
        <v>3433.8</v>
      </c>
      <c r="Q542">
        <v>2657.51</v>
      </c>
      <c r="R542">
        <v>776.29</v>
      </c>
      <c r="S542" t="s">
        <v>100</v>
      </c>
      <c r="T542" t="s">
        <v>36</v>
      </c>
      <c r="U542" t="s">
        <v>3731</v>
      </c>
      <c r="V542" t="s">
        <v>3732</v>
      </c>
      <c r="W542">
        <v>37</v>
      </c>
      <c r="X542" t="s">
        <v>53</v>
      </c>
      <c r="Y542">
        <v>0</v>
      </c>
    </row>
    <row r="543" spans="1:25" x14ac:dyDescent="0.35">
      <c r="A543" t="s">
        <v>3733</v>
      </c>
      <c r="B543" s="1">
        <v>45946</v>
      </c>
      <c r="C543" s="1">
        <v>45948</v>
      </c>
      <c r="D543" t="s">
        <v>1377</v>
      </c>
      <c r="E543" t="s">
        <v>3734</v>
      </c>
      <c r="F543" t="s">
        <v>28</v>
      </c>
      <c r="G543" t="s">
        <v>3735</v>
      </c>
      <c r="H543" t="s">
        <v>107</v>
      </c>
      <c r="I543" t="s">
        <v>108</v>
      </c>
      <c r="J543" t="s">
        <v>32</v>
      </c>
      <c r="K543" t="s">
        <v>181</v>
      </c>
      <c r="L543" t="s">
        <v>3736</v>
      </c>
      <c r="M543">
        <v>4</v>
      </c>
      <c r="N543">
        <v>2243</v>
      </c>
      <c r="O543">
        <v>0</v>
      </c>
      <c r="P543">
        <v>9749</v>
      </c>
      <c r="Q543">
        <v>8972.6299999999992</v>
      </c>
      <c r="R543">
        <v>776.37</v>
      </c>
      <c r="S543" t="s">
        <v>49</v>
      </c>
      <c r="T543" t="s">
        <v>50</v>
      </c>
      <c r="U543" t="s">
        <v>3737</v>
      </c>
      <c r="V543" t="s">
        <v>3738</v>
      </c>
      <c r="W543">
        <v>31</v>
      </c>
      <c r="X543" t="s">
        <v>53</v>
      </c>
      <c r="Y543">
        <v>0</v>
      </c>
    </row>
    <row r="544" spans="1:25" x14ac:dyDescent="0.35">
      <c r="A544" t="s">
        <v>3739</v>
      </c>
      <c r="B544" s="1">
        <v>45415</v>
      </c>
      <c r="C544" s="1">
        <v>45416</v>
      </c>
      <c r="D544" t="s">
        <v>3740</v>
      </c>
      <c r="E544" t="s">
        <v>3741</v>
      </c>
      <c r="F544" t="s">
        <v>95</v>
      </c>
      <c r="G544" t="s">
        <v>3742</v>
      </c>
      <c r="H544" t="s">
        <v>117</v>
      </c>
      <c r="I544" t="s">
        <v>108</v>
      </c>
      <c r="J544" t="s">
        <v>118</v>
      </c>
      <c r="K544" t="s">
        <v>415</v>
      </c>
      <c r="L544" t="s">
        <v>3743</v>
      </c>
      <c r="M544">
        <v>6</v>
      </c>
      <c r="N544">
        <v>3358</v>
      </c>
      <c r="O544">
        <v>5</v>
      </c>
      <c r="P544">
        <v>19917.599999999999</v>
      </c>
      <c r="Q544">
        <v>19141.259999999998</v>
      </c>
      <c r="R544">
        <v>776.34</v>
      </c>
      <c r="S544" t="s">
        <v>35</v>
      </c>
      <c r="T544" t="s">
        <v>50</v>
      </c>
      <c r="U544" t="s">
        <v>3744</v>
      </c>
      <c r="V544" t="s">
        <v>3745</v>
      </c>
      <c r="W544">
        <v>12</v>
      </c>
      <c r="X544" t="s">
        <v>53</v>
      </c>
      <c r="Y544">
        <v>0</v>
      </c>
    </row>
    <row r="545" spans="1:25" x14ac:dyDescent="0.35">
      <c r="A545" t="s">
        <v>3746</v>
      </c>
      <c r="B545" s="1">
        <v>45798</v>
      </c>
      <c r="C545" s="1">
        <v>45804</v>
      </c>
      <c r="D545" t="s">
        <v>412</v>
      </c>
      <c r="E545" t="s">
        <v>3747</v>
      </c>
      <c r="F545" t="s">
        <v>28</v>
      </c>
      <c r="G545" t="s">
        <v>3748</v>
      </c>
      <c r="H545" t="s">
        <v>44</v>
      </c>
      <c r="I545" t="s">
        <v>45</v>
      </c>
      <c r="J545" t="s">
        <v>97</v>
      </c>
      <c r="K545" t="s">
        <v>482</v>
      </c>
      <c r="L545" t="s">
        <v>3749</v>
      </c>
      <c r="M545">
        <v>6</v>
      </c>
      <c r="N545">
        <v>4417</v>
      </c>
      <c r="O545">
        <v>0</v>
      </c>
      <c r="P545">
        <v>27279</v>
      </c>
      <c r="Q545">
        <v>26502.6</v>
      </c>
      <c r="R545">
        <v>776.4</v>
      </c>
      <c r="S545" t="s">
        <v>100</v>
      </c>
      <c r="T545" t="s">
        <v>89</v>
      </c>
      <c r="U545" t="s">
        <v>3750</v>
      </c>
      <c r="V545" t="s">
        <v>3751</v>
      </c>
      <c r="W545">
        <v>41</v>
      </c>
      <c r="X545" t="s">
        <v>53</v>
      </c>
      <c r="Y545">
        <v>0</v>
      </c>
    </row>
    <row r="546" spans="1:25" x14ac:dyDescent="0.35">
      <c r="A546" t="s">
        <v>3752</v>
      </c>
      <c r="B546" s="1">
        <v>45422</v>
      </c>
      <c r="C546" s="1">
        <v>45428</v>
      </c>
      <c r="D546" t="s">
        <v>3753</v>
      </c>
      <c r="E546" t="s">
        <v>3754</v>
      </c>
      <c r="F546" t="s">
        <v>57</v>
      </c>
      <c r="G546" t="s">
        <v>3755</v>
      </c>
      <c r="H546" t="s">
        <v>198</v>
      </c>
      <c r="I546" t="s">
        <v>31</v>
      </c>
      <c r="J546" t="s">
        <v>97</v>
      </c>
      <c r="K546" t="s">
        <v>349</v>
      </c>
      <c r="L546" t="s">
        <v>2321</v>
      </c>
      <c r="M546">
        <v>9</v>
      </c>
      <c r="N546">
        <v>3202</v>
      </c>
      <c r="O546">
        <v>10</v>
      </c>
      <c r="P546">
        <v>26713.200000000001</v>
      </c>
      <c r="Q546">
        <v>25936.82</v>
      </c>
      <c r="R546">
        <v>776.38</v>
      </c>
      <c r="S546" t="s">
        <v>100</v>
      </c>
      <c r="T546" t="s">
        <v>140</v>
      </c>
      <c r="U546" t="s">
        <v>3756</v>
      </c>
      <c r="V546" t="s">
        <v>3757</v>
      </c>
      <c r="W546">
        <v>31</v>
      </c>
      <c r="X546" t="s">
        <v>53</v>
      </c>
      <c r="Y546">
        <v>0</v>
      </c>
    </row>
    <row r="547" spans="1:25" x14ac:dyDescent="0.35">
      <c r="A547" t="s">
        <v>3758</v>
      </c>
      <c r="B547" s="1">
        <v>45476</v>
      </c>
      <c r="C547" s="1">
        <v>45480</v>
      </c>
      <c r="D547" t="s">
        <v>3759</v>
      </c>
      <c r="E547" t="s">
        <v>3760</v>
      </c>
      <c r="F547" t="s">
        <v>95</v>
      </c>
      <c r="G547" t="s">
        <v>3761</v>
      </c>
      <c r="H547" t="s">
        <v>77</v>
      </c>
      <c r="I547" t="s">
        <v>45</v>
      </c>
      <c r="J547" t="s">
        <v>32</v>
      </c>
      <c r="K547" t="s">
        <v>69</v>
      </c>
      <c r="L547" t="s">
        <v>3762</v>
      </c>
      <c r="M547">
        <v>6</v>
      </c>
      <c r="N547">
        <v>2728</v>
      </c>
      <c r="O547">
        <v>5</v>
      </c>
      <c r="P547">
        <v>16326.6</v>
      </c>
      <c r="Q547">
        <v>15550.24</v>
      </c>
      <c r="R547">
        <v>776.36</v>
      </c>
      <c r="S547" t="s">
        <v>80</v>
      </c>
      <c r="T547" t="s">
        <v>36</v>
      </c>
      <c r="U547" t="s">
        <v>3763</v>
      </c>
      <c r="V547" t="s">
        <v>3764</v>
      </c>
      <c r="W547">
        <v>50</v>
      </c>
      <c r="X547" t="s">
        <v>53</v>
      </c>
      <c r="Y547">
        <v>0</v>
      </c>
    </row>
    <row r="548" spans="1:25" x14ac:dyDescent="0.35">
      <c r="A548" t="s">
        <v>3765</v>
      </c>
      <c r="B548" s="1">
        <v>45403</v>
      </c>
      <c r="C548" s="1">
        <v>45404</v>
      </c>
      <c r="D548" t="s">
        <v>3766</v>
      </c>
      <c r="E548" t="s">
        <v>3767</v>
      </c>
      <c r="F548" t="s">
        <v>28</v>
      </c>
      <c r="G548" t="s">
        <v>3768</v>
      </c>
      <c r="H548" t="s">
        <v>30</v>
      </c>
      <c r="I548" t="s">
        <v>31</v>
      </c>
      <c r="J548" t="s">
        <v>97</v>
      </c>
      <c r="K548" t="s">
        <v>885</v>
      </c>
      <c r="L548" t="s">
        <v>3769</v>
      </c>
      <c r="M548">
        <v>3</v>
      </c>
      <c r="N548">
        <v>3319</v>
      </c>
      <c r="O548">
        <v>10</v>
      </c>
      <c r="P548">
        <v>9738.2999999999993</v>
      </c>
      <c r="Q548">
        <v>8962.09</v>
      </c>
      <c r="R548">
        <v>776.21</v>
      </c>
      <c r="S548" t="s">
        <v>80</v>
      </c>
      <c r="T548" t="s">
        <v>140</v>
      </c>
      <c r="U548" t="s">
        <v>3770</v>
      </c>
      <c r="V548" t="s">
        <v>3771</v>
      </c>
      <c r="W548">
        <v>20</v>
      </c>
      <c r="X548" t="s">
        <v>53</v>
      </c>
      <c r="Y548">
        <v>0</v>
      </c>
    </row>
    <row r="549" spans="1:25" x14ac:dyDescent="0.35">
      <c r="A549" t="s">
        <v>3772</v>
      </c>
      <c r="B549" s="1">
        <v>45318</v>
      </c>
      <c r="C549" s="1">
        <v>45320</v>
      </c>
      <c r="D549" t="s">
        <v>1844</v>
      </c>
      <c r="E549" t="s">
        <v>3773</v>
      </c>
      <c r="F549" t="s">
        <v>28</v>
      </c>
      <c r="G549" t="s">
        <v>3774</v>
      </c>
      <c r="H549" t="s">
        <v>44</v>
      </c>
      <c r="I549" t="s">
        <v>45</v>
      </c>
      <c r="J549" t="s">
        <v>32</v>
      </c>
      <c r="K549" t="s">
        <v>706</v>
      </c>
      <c r="L549" t="s">
        <v>3775</v>
      </c>
      <c r="M549">
        <v>3</v>
      </c>
      <c r="N549">
        <v>3664</v>
      </c>
      <c r="O549">
        <v>0</v>
      </c>
      <c r="P549">
        <v>11769</v>
      </c>
      <c r="Q549">
        <v>10992.61</v>
      </c>
      <c r="R549">
        <v>776.39</v>
      </c>
      <c r="S549" t="s">
        <v>80</v>
      </c>
      <c r="T549" t="s">
        <v>140</v>
      </c>
      <c r="U549" t="s">
        <v>3776</v>
      </c>
      <c r="V549" t="s">
        <v>3777</v>
      </c>
      <c r="W549">
        <v>45</v>
      </c>
      <c r="X549" t="s">
        <v>53</v>
      </c>
      <c r="Y549">
        <v>0</v>
      </c>
    </row>
    <row r="550" spans="1:25" x14ac:dyDescent="0.35">
      <c r="A550" t="s">
        <v>3778</v>
      </c>
      <c r="B550" s="1">
        <v>45833</v>
      </c>
      <c r="C550" s="1">
        <v>45836</v>
      </c>
      <c r="D550" t="s">
        <v>2084</v>
      </c>
      <c r="E550" t="s">
        <v>3779</v>
      </c>
      <c r="F550" t="s">
        <v>28</v>
      </c>
      <c r="G550" t="s">
        <v>3780</v>
      </c>
      <c r="H550" t="s">
        <v>198</v>
      </c>
      <c r="I550" t="s">
        <v>31</v>
      </c>
      <c r="J550" t="s">
        <v>32</v>
      </c>
      <c r="K550" t="s">
        <v>598</v>
      </c>
      <c r="L550" t="s">
        <v>3781</v>
      </c>
      <c r="M550">
        <v>6</v>
      </c>
      <c r="N550">
        <v>4279</v>
      </c>
      <c r="O550">
        <v>15</v>
      </c>
      <c r="P550">
        <v>22599.9</v>
      </c>
      <c r="Q550">
        <v>21823.58</v>
      </c>
      <c r="R550">
        <v>776.32</v>
      </c>
      <c r="S550" t="s">
        <v>35</v>
      </c>
      <c r="T550" t="s">
        <v>89</v>
      </c>
      <c r="U550" t="s">
        <v>3200</v>
      </c>
      <c r="V550" t="s">
        <v>3782</v>
      </c>
      <c r="W550">
        <v>12</v>
      </c>
      <c r="X550" t="s">
        <v>53</v>
      </c>
      <c r="Y550">
        <v>0</v>
      </c>
    </row>
    <row r="551" spans="1:25" x14ac:dyDescent="0.35">
      <c r="A551" t="s">
        <v>3783</v>
      </c>
      <c r="B551" s="1">
        <v>45753</v>
      </c>
      <c r="C551" s="1">
        <v>45759</v>
      </c>
      <c r="D551" t="s">
        <v>3784</v>
      </c>
      <c r="E551" t="s">
        <v>3785</v>
      </c>
      <c r="F551" t="s">
        <v>28</v>
      </c>
      <c r="G551" t="s">
        <v>3786</v>
      </c>
      <c r="H551" t="s">
        <v>59</v>
      </c>
      <c r="I551" t="s">
        <v>31</v>
      </c>
      <c r="J551" t="s">
        <v>32</v>
      </c>
      <c r="K551" t="s">
        <v>60</v>
      </c>
      <c r="L551" t="s">
        <v>3787</v>
      </c>
      <c r="M551">
        <v>8</v>
      </c>
      <c r="N551">
        <v>3587</v>
      </c>
      <c r="O551">
        <v>5</v>
      </c>
      <c r="P551">
        <v>28038.2</v>
      </c>
      <c r="Q551">
        <v>27261.83</v>
      </c>
      <c r="R551">
        <v>776.37</v>
      </c>
      <c r="S551" t="s">
        <v>80</v>
      </c>
      <c r="T551" t="s">
        <v>36</v>
      </c>
      <c r="U551" t="s">
        <v>3788</v>
      </c>
      <c r="V551" t="s">
        <v>3789</v>
      </c>
      <c r="W551">
        <v>33</v>
      </c>
      <c r="X551" t="s">
        <v>53</v>
      </c>
      <c r="Y551">
        <v>0</v>
      </c>
    </row>
    <row r="552" spans="1:25" x14ac:dyDescent="0.35">
      <c r="A552" t="s">
        <v>3790</v>
      </c>
      <c r="B552" s="1">
        <v>45663</v>
      </c>
      <c r="C552" s="1">
        <v>45666</v>
      </c>
      <c r="D552" t="s">
        <v>3791</v>
      </c>
      <c r="E552" t="s">
        <v>3792</v>
      </c>
      <c r="F552" t="s">
        <v>57</v>
      </c>
      <c r="G552" t="s">
        <v>3793</v>
      </c>
      <c r="H552" t="s">
        <v>30</v>
      </c>
      <c r="I552" t="s">
        <v>31</v>
      </c>
      <c r="J552" t="s">
        <v>118</v>
      </c>
      <c r="K552" t="s">
        <v>69</v>
      </c>
      <c r="L552" t="s">
        <v>3794</v>
      </c>
      <c r="M552">
        <v>2</v>
      </c>
      <c r="N552">
        <v>3903</v>
      </c>
      <c r="O552">
        <v>15</v>
      </c>
      <c r="P552">
        <v>7412.1</v>
      </c>
      <c r="Q552">
        <v>6635.71</v>
      </c>
      <c r="R552">
        <v>776.39</v>
      </c>
      <c r="S552" t="s">
        <v>80</v>
      </c>
      <c r="T552" t="s">
        <v>36</v>
      </c>
      <c r="U552" t="s">
        <v>3795</v>
      </c>
      <c r="V552" t="s">
        <v>3796</v>
      </c>
      <c r="W552">
        <v>1</v>
      </c>
      <c r="X552" t="s">
        <v>39</v>
      </c>
      <c r="Y552">
        <v>34</v>
      </c>
    </row>
    <row r="553" spans="1:25" x14ac:dyDescent="0.35">
      <c r="A553" t="s">
        <v>3797</v>
      </c>
      <c r="B553" s="1">
        <v>45383</v>
      </c>
      <c r="C553" s="1">
        <v>45387</v>
      </c>
      <c r="D553" t="s">
        <v>3798</v>
      </c>
      <c r="E553" t="s">
        <v>3799</v>
      </c>
      <c r="F553" t="s">
        <v>28</v>
      </c>
      <c r="G553" t="s">
        <v>3800</v>
      </c>
      <c r="H553" t="s">
        <v>283</v>
      </c>
      <c r="I553" t="s">
        <v>45</v>
      </c>
      <c r="J553" t="s">
        <v>118</v>
      </c>
      <c r="K553" t="s">
        <v>207</v>
      </c>
      <c r="L553" t="s">
        <v>3801</v>
      </c>
      <c r="M553">
        <v>2</v>
      </c>
      <c r="N553">
        <v>1688</v>
      </c>
      <c r="O553">
        <v>10</v>
      </c>
      <c r="P553">
        <v>3815.4</v>
      </c>
      <c r="Q553">
        <v>3039.27</v>
      </c>
      <c r="R553">
        <v>776.13</v>
      </c>
      <c r="S553" t="s">
        <v>35</v>
      </c>
      <c r="T553" t="s">
        <v>36</v>
      </c>
      <c r="U553" t="s">
        <v>3802</v>
      </c>
      <c r="V553" t="s">
        <v>3803</v>
      </c>
      <c r="W553">
        <v>47</v>
      </c>
      <c r="X553" t="s">
        <v>53</v>
      </c>
      <c r="Y553">
        <v>0</v>
      </c>
    </row>
    <row r="554" spans="1:25" x14ac:dyDescent="0.35">
      <c r="A554" t="s">
        <v>3804</v>
      </c>
      <c r="B554" s="1">
        <v>45428</v>
      </c>
      <c r="C554" s="1">
        <v>45429</v>
      </c>
      <c r="D554" t="s">
        <v>3805</v>
      </c>
      <c r="E554" t="s">
        <v>3806</v>
      </c>
      <c r="F554" t="s">
        <v>28</v>
      </c>
      <c r="G554" t="s">
        <v>3807</v>
      </c>
      <c r="H554" t="s">
        <v>77</v>
      </c>
      <c r="I554" t="s">
        <v>45</v>
      </c>
      <c r="J554" t="s">
        <v>118</v>
      </c>
      <c r="K554" t="s">
        <v>562</v>
      </c>
      <c r="L554" t="s">
        <v>3808</v>
      </c>
      <c r="M554">
        <v>4</v>
      </c>
      <c r="N554">
        <v>3484</v>
      </c>
      <c r="O554">
        <v>20</v>
      </c>
      <c r="P554">
        <v>11925.8</v>
      </c>
      <c r="Q554">
        <v>11149.68</v>
      </c>
      <c r="R554">
        <v>776.12</v>
      </c>
      <c r="S554" t="s">
        <v>35</v>
      </c>
      <c r="T554" t="s">
        <v>89</v>
      </c>
      <c r="U554" t="s">
        <v>3809</v>
      </c>
      <c r="V554" t="s">
        <v>3810</v>
      </c>
      <c r="W554">
        <v>30</v>
      </c>
      <c r="X554" t="s">
        <v>53</v>
      </c>
      <c r="Y554">
        <v>0</v>
      </c>
    </row>
    <row r="555" spans="1:25" x14ac:dyDescent="0.35">
      <c r="A555" t="s">
        <v>3811</v>
      </c>
      <c r="B555" s="1">
        <v>45392</v>
      </c>
      <c r="C555" s="1">
        <v>45399</v>
      </c>
      <c r="D555" t="s">
        <v>3812</v>
      </c>
      <c r="E555" t="s">
        <v>3813</v>
      </c>
      <c r="F555" t="s">
        <v>57</v>
      </c>
      <c r="G555" t="s">
        <v>3814</v>
      </c>
      <c r="H555" t="s">
        <v>189</v>
      </c>
      <c r="I555" t="s">
        <v>108</v>
      </c>
      <c r="J555" t="s">
        <v>97</v>
      </c>
      <c r="K555" t="s">
        <v>349</v>
      </c>
      <c r="L555" t="s">
        <v>3815</v>
      </c>
      <c r="M555">
        <v>8</v>
      </c>
      <c r="N555">
        <v>3333</v>
      </c>
      <c r="O555">
        <v>20</v>
      </c>
      <c r="P555">
        <v>22108.2</v>
      </c>
      <c r="Q555">
        <v>21331.95</v>
      </c>
      <c r="R555">
        <v>776.25</v>
      </c>
      <c r="S555" t="s">
        <v>35</v>
      </c>
      <c r="T555" t="s">
        <v>140</v>
      </c>
      <c r="U555" t="s">
        <v>3816</v>
      </c>
      <c r="V555" t="s">
        <v>3817</v>
      </c>
      <c r="W555">
        <v>22</v>
      </c>
      <c r="X555" t="s">
        <v>53</v>
      </c>
      <c r="Y555">
        <v>0</v>
      </c>
    </row>
    <row r="556" spans="1:25" x14ac:dyDescent="0.35">
      <c r="A556" t="s">
        <v>3818</v>
      </c>
      <c r="B556" s="1">
        <v>45355</v>
      </c>
      <c r="C556" s="1">
        <v>45360</v>
      </c>
      <c r="D556" t="s">
        <v>1502</v>
      </c>
      <c r="E556" t="s">
        <v>3819</v>
      </c>
      <c r="F556" t="s">
        <v>28</v>
      </c>
      <c r="G556" t="s">
        <v>3820</v>
      </c>
      <c r="H556" t="s">
        <v>154</v>
      </c>
      <c r="I556" t="s">
        <v>137</v>
      </c>
      <c r="J556" t="s">
        <v>118</v>
      </c>
      <c r="K556" t="s">
        <v>33</v>
      </c>
      <c r="L556" t="s">
        <v>3821</v>
      </c>
      <c r="M556">
        <v>6</v>
      </c>
      <c r="N556">
        <v>1549</v>
      </c>
      <c r="O556">
        <v>0</v>
      </c>
      <c r="P556">
        <v>10071</v>
      </c>
      <c r="Q556">
        <v>9294.7000000000007</v>
      </c>
      <c r="R556">
        <v>776.3</v>
      </c>
      <c r="S556" t="s">
        <v>80</v>
      </c>
      <c r="T556" t="s">
        <v>50</v>
      </c>
      <c r="U556" t="s">
        <v>3822</v>
      </c>
      <c r="V556" t="s">
        <v>3823</v>
      </c>
      <c r="W556">
        <v>36</v>
      </c>
      <c r="X556" t="s">
        <v>53</v>
      </c>
      <c r="Y556">
        <v>0</v>
      </c>
    </row>
    <row r="557" spans="1:25" x14ac:dyDescent="0.35">
      <c r="A557" t="s">
        <v>3824</v>
      </c>
      <c r="B557" s="1">
        <v>45617</v>
      </c>
      <c r="C557" s="1">
        <v>45623</v>
      </c>
      <c r="D557" t="s">
        <v>638</v>
      </c>
      <c r="E557" t="s">
        <v>3825</v>
      </c>
      <c r="F557" t="s">
        <v>95</v>
      </c>
      <c r="G557" t="s">
        <v>3826</v>
      </c>
      <c r="H557" t="s">
        <v>154</v>
      </c>
      <c r="I557" t="s">
        <v>137</v>
      </c>
      <c r="J557" t="s">
        <v>46</v>
      </c>
      <c r="K557" t="s">
        <v>247</v>
      </c>
      <c r="L557" t="s">
        <v>3827</v>
      </c>
      <c r="M557">
        <v>9</v>
      </c>
      <c r="N557">
        <v>926</v>
      </c>
      <c r="O557">
        <v>5</v>
      </c>
      <c r="P557">
        <v>8694.2999999999993</v>
      </c>
      <c r="Q557">
        <v>7918.14</v>
      </c>
      <c r="R557">
        <v>776.16</v>
      </c>
      <c r="S557" t="s">
        <v>35</v>
      </c>
      <c r="T557" t="s">
        <v>36</v>
      </c>
      <c r="U557" t="s">
        <v>3828</v>
      </c>
      <c r="V557" t="s">
        <v>3829</v>
      </c>
      <c r="W557">
        <v>44</v>
      </c>
      <c r="X557" t="s">
        <v>53</v>
      </c>
      <c r="Y557">
        <v>0</v>
      </c>
    </row>
    <row r="558" spans="1:25" x14ac:dyDescent="0.35">
      <c r="A558" t="s">
        <v>3830</v>
      </c>
      <c r="B558" s="1">
        <v>45497</v>
      </c>
      <c r="C558" s="1">
        <v>45500</v>
      </c>
      <c r="D558" t="s">
        <v>3831</v>
      </c>
      <c r="E558" t="s">
        <v>3832</v>
      </c>
      <c r="F558" t="s">
        <v>28</v>
      </c>
      <c r="G558" t="s">
        <v>3833</v>
      </c>
      <c r="H558" t="s">
        <v>77</v>
      </c>
      <c r="I558" t="s">
        <v>45</v>
      </c>
      <c r="J558" t="s">
        <v>97</v>
      </c>
      <c r="K558" t="s">
        <v>109</v>
      </c>
      <c r="L558" t="s">
        <v>3834</v>
      </c>
      <c r="M558">
        <v>6</v>
      </c>
      <c r="N558">
        <v>1217</v>
      </c>
      <c r="O558">
        <v>5</v>
      </c>
      <c r="P558">
        <v>7713.9</v>
      </c>
      <c r="Q558">
        <v>6937.61</v>
      </c>
      <c r="R558">
        <v>776.29</v>
      </c>
      <c r="S558" t="s">
        <v>35</v>
      </c>
      <c r="T558" t="s">
        <v>50</v>
      </c>
      <c r="U558" t="s">
        <v>3835</v>
      </c>
      <c r="V558" t="s">
        <v>3836</v>
      </c>
      <c r="W558">
        <v>33</v>
      </c>
      <c r="X558" t="s">
        <v>53</v>
      </c>
      <c r="Y558">
        <v>0</v>
      </c>
    </row>
    <row r="559" spans="1:25" x14ac:dyDescent="0.35">
      <c r="A559" t="s">
        <v>3837</v>
      </c>
      <c r="B559" s="1">
        <v>45489</v>
      </c>
      <c r="C559" s="1">
        <v>45490</v>
      </c>
      <c r="D559" t="s">
        <v>1943</v>
      </c>
      <c r="E559" t="s">
        <v>3838</v>
      </c>
      <c r="F559" t="s">
        <v>57</v>
      </c>
      <c r="G559" t="s">
        <v>3839</v>
      </c>
      <c r="H559" t="s">
        <v>163</v>
      </c>
      <c r="I559" t="s">
        <v>108</v>
      </c>
      <c r="J559" t="s">
        <v>118</v>
      </c>
      <c r="K559" t="s">
        <v>207</v>
      </c>
      <c r="L559" t="s">
        <v>3840</v>
      </c>
      <c r="M559">
        <v>10</v>
      </c>
      <c r="N559">
        <v>1352</v>
      </c>
      <c r="O559">
        <v>10</v>
      </c>
      <c r="P559">
        <v>12945</v>
      </c>
      <c r="Q559">
        <v>12168.73</v>
      </c>
      <c r="R559">
        <v>776.27</v>
      </c>
      <c r="S559" t="s">
        <v>100</v>
      </c>
      <c r="T559" t="s">
        <v>36</v>
      </c>
      <c r="U559" t="s">
        <v>3841</v>
      </c>
      <c r="V559" t="s">
        <v>3842</v>
      </c>
      <c r="W559">
        <v>4</v>
      </c>
      <c r="X559" t="s">
        <v>39</v>
      </c>
      <c r="Y559">
        <v>29</v>
      </c>
    </row>
    <row r="560" spans="1:25" x14ac:dyDescent="0.35">
      <c r="A560" t="s">
        <v>3843</v>
      </c>
      <c r="B560" s="1">
        <v>45404</v>
      </c>
      <c r="C560" s="1">
        <v>45405</v>
      </c>
      <c r="D560" t="s">
        <v>3844</v>
      </c>
      <c r="E560" t="s">
        <v>3845</v>
      </c>
      <c r="F560" t="s">
        <v>95</v>
      </c>
      <c r="G560" t="s">
        <v>3846</v>
      </c>
      <c r="H560" t="s">
        <v>198</v>
      </c>
      <c r="I560" t="s">
        <v>31</v>
      </c>
      <c r="J560" t="s">
        <v>32</v>
      </c>
      <c r="K560" t="s">
        <v>207</v>
      </c>
      <c r="L560" t="s">
        <v>3847</v>
      </c>
      <c r="M560">
        <v>6</v>
      </c>
      <c r="N560">
        <v>3799</v>
      </c>
      <c r="O560">
        <v>15</v>
      </c>
      <c r="P560">
        <v>20151.900000000001</v>
      </c>
      <c r="Q560">
        <v>19375.54</v>
      </c>
      <c r="R560">
        <v>776.36</v>
      </c>
      <c r="S560" t="s">
        <v>80</v>
      </c>
      <c r="T560" t="s">
        <v>50</v>
      </c>
      <c r="U560" t="s">
        <v>3848</v>
      </c>
      <c r="V560" t="s">
        <v>3849</v>
      </c>
      <c r="W560">
        <v>4</v>
      </c>
      <c r="X560" t="s">
        <v>39</v>
      </c>
      <c r="Y560">
        <v>40</v>
      </c>
    </row>
    <row r="561" spans="1:25" x14ac:dyDescent="0.35">
      <c r="A561" t="s">
        <v>3850</v>
      </c>
      <c r="B561" s="1">
        <v>45365</v>
      </c>
      <c r="C561" s="1">
        <v>45371</v>
      </c>
      <c r="D561" t="s">
        <v>1645</v>
      </c>
      <c r="E561" t="s">
        <v>3851</v>
      </c>
      <c r="F561" t="s">
        <v>28</v>
      </c>
      <c r="G561" t="s">
        <v>3852</v>
      </c>
      <c r="H561" t="s">
        <v>107</v>
      </c>
      <c r="I561" t="s">
        <v>108</v>
      </c>
      <c r="J561" t="s">
        <v>46</v>
      </c>
      <c r="K561" t="s">
        <v>927</v>
      </c>
      <c r="L561" t="s">
        <v>3853</v>
      </c>
      <c r="M561">
        <v>1</v>
      </c>
      <c r="N561">
        <v>4210</v>
      </c>
      <c r="O561">
        <v>5</v>
      </c>
      <c r="P561">
        <v>4776.5</v>
      </c>
      <c r="Q561">
        <v>4000.36</v>
      </c>
      <c r="R561">
        <v>776.14</v>
      </c>
      <c r="S561" t="s">
        <v>100</v>
      </c>
      <c r="T561" t="s">
        <v>50</v>
      </c>
      <c r="U561" t="s">
        <v>3854</v>
      </c>
      <c r="V561" t="s">
        <v>3855</v>
      </c>
      <c r="W561">
        <v>42</v>
      </c>
      <c r="X561" t="s">
        <v>53</v>
      </c>
      <c r="Y561">
        <v>0</v>
      </c>
    </row>
    <row r="562" spans="1:25" x14ac:dyDescent="0.35">
      <c r="A562" t="s">
        <v>3856</v>
      </c>
      <c r="B562" s="1">
        <v>45589</v>
      </c>
      <c r="C562" s="1">
        <v>45595</v>
      </c>
      <c r="D562" t="s">
        <v>331</v>
      </c>
      <c r="E562" t="s">
        <v>3857</v>
      </c>
      <c r="F562" t="s">
        <v>95</v>
      </c>
      <c r="G562" t="s">
        <v>842</v>
      </c>
      <c r="H562" t="s">
        <v>364</v>
      </c>
      <c r="I562" t="s">
        <v>137</v>
      </c>
      <c r="J562" t="s">
        <v>97</v>
      </c>
      <c r="K562" t="s">
        <v>430</v>
      </c>
      <c r="L562" t="s">
        <v>3858</v>
      </c>
      <c r="M562">
        <v>4</v>
      </c>
      <c r="N562">
        <v>777</v>
      </c>
      <c r="O562">
        <v>0</v>
      </c>
      <c r="P562">
        <v>3885</v>
      </c>
      <c r="Q562">
        <v>3108.73</v>
      </c>
      <c r="R562">
        <v>776.27</v>
      </c>
      <c r="S562" t="s">
        <v>100</v>
      </c>
      <c r="T562" t="s">
        <v>89</v>
      </c>
      <c r="U562" t="s">
        <v>3859</v>
      </c>
      <c r="V562" t="s">
        <v>3860</v>
      </c>
      <c r="W562">
        <v>24</v>
      </c>
      <c r="X562" t="s">
        <v>53</v>
      </c>
      <c r="Y562">
        <v>0</v>
      </c>
    </row>
    <row r="563" spans="1:25" x14ac:dyDescent="0.35">
      <c r="A563" t="s">
        <v>3861</v>
      </c>
      <c r="B563" s="1">
        <v>45571</v>
      </c>
      <c r="C563" s="1">
        <v>45576</v>
      </c>
      <c r="D563" t="s">
        <v>3862</v>
      </c>
      <c r="E563" t="s">
        <v>3863</v>
      </c>
      <c r="F563" t="s">
        <v>28</v>
      </c>
      <c r="G563" t="s">
        <v>2307</v>
      </c>
      <c r="H563" t="s">
        <v>283</v>
      </c>
      <c r="I563" t="s">
        <v>45</v>
      </c>
      <c r="J563" t="s">
        <v>32</v>
      </c>
      <c r="K563" t="s">
        <v>927</v>
      </c>
      <c r="L563" t="s">
        <v>3864</v>
      </c>
      <c r="M563">
        <v>8</v>
      </c>
      <c r="N563">
        <v>3466</v>
      </c>
      <c r="O563">
        <v>20</v>
      </c>
      <c r="P563">
        <v>22959.4</v>
      </c>
      <c r="Q563">
        <v>22183.119999999999</v>
      </c>
      <c r="R563">
        <v>776.28</v>
      </c>
      <c r="S563" t="s">
        <v>49</v>
      </c>
      <c r="T563" t="s">
        <v>89</v>
      </c>
      <c r="U563" t="s">
        <v>3865</v>
      </c>
      <c r="V563" t="s">
        <v>3866</v>
      </c>
      <c r="W563">
        <v>28</v>
      </c>
      <c r="X563" t="s">
        <v>53</v>
      </c>
      <c r="Y563">
        <v>0</v>
      </c>
    </row>
    <row r="564" spans="1:25" x14ac:dyDescent="0.35">
      <c r="A564" t="s">
        <v>3867</v>
      </c>
      <c r="B564" s="1">
        <v>45611</v>
      </c>
      <c r="C564" s="1">
        <v>45618</v>
      </c>
      <c r="D564" t="s">
        <v>826</v>
      </c>
      <c r="E564" t="s">
        <v>3868</v>
      </c>
      <c r="F564" t="s">
        <v>57</v>
      </c>
      <c r="G564" t="s">
        <v>3869</v>
      </c>
      <c r="H564" t="s">
        <v>364</v>
      </c>
      <c r="I564" t="s">
        <v>137</v>
      </c>
      <c r="J564" t="s">
        <v>46</v>
      </c>
      <c r="K564" t="s">
        <v>87</v>
      </c>
      <c r="L564" t="s">
        <v>3870</v>
      </c>
      <c r="M564">
        <v>1</v>
      </c>
      <c r="N564">
        <v>1472</v>
      </c>
      <c r="O564">
        <v>15</v>
      </c>
      <c r="P564">
        <v>2028.2</v>
      </c>
      <c r="Q564">
        <v>1251.8699999999999</v>
      </c>
      <c r="R564">
        <v>776.33</v>
      </c>
      <c r="S564" t="s">
        <v>100</v>
      </c>
      <c r="T564" t="s">
        <v>140</v>
      </c>
      <c r="U564" t="s">
        <v>3871</v>
      </c>
      <c r="V564" t="s">
        <v>3872</v>
      </c>
      <c r="W564">
        <v>48</v>
      </c>
      <c r="X564" t="s">
        <v>53</v>
      </c>
      <c r="Y564">
        <v>0</v>
      </c>
    </row>
    <row r="565" spans="1:25" x14ac:dyDescent="0.35">
      <c r="A565" t="s">
        <v>3873</v>
      </c>
      <c r="B565" s="1">
        <v>45694</v>
      </c>
      <c r="C565" s="1">
        <v>45697</v>
      </c>
      <c r="D565" t="s">
        <v>3696</v>
      </c>
      <c r="E565" t="s">
        <v>3874</v>
      </c>
      <c r="F565" t="s">
        <v>57</v>
      </c>
      <c r="G565" t="s">
        <v>3875</v>
      </c>
      <c r="H565" t="s">
        <v>364</v>
      </c>
      <c r="I565" t="s">
        <v>137</v>
      </c>
      <c r="J565" t="s">
        <v>97</v>
      </c>
      <c r="K565" t="s">
        <v>199</v>
      </c>
      <c r="L565" t="s">
        <v>3876</v>
      </c>
      <c r="M565">
        <v>7</v>
      </c>
      <c r="N565">
        <v>4240</v>
      </c>
      <c r="O565">
        <v>0</v>
      </c>
      <c r="P565">
        <v>30457</v>
      </c>
      <c r="Q565">
        <v>29680.61</v>
      </c>
      <c r="R565">
        <v>776.39</v>
      </c>
      <c r="S565" t="s">
        <v>49</v>
      </c>
      <c r="T565" t="s">
        <v>36</v>
      </c>
      <c r="U565" t="s">
        <v>3877</v>
      </c>
      <c r="V565" t="s">
        <v>3878</v>
      </c>
      <c r="W565">
        <v>45</v>
      </c>
      <c r="X565" t="s">
        <v>53</v>
      </c>
      <c r="Y565">
        <v>0</v>
      </c>
    </row>
    <row r="566" spans="1:25" x14ac:dyDescent="0.35">
      <c r="A566" t="s">
        <v>3879</v>
      </c>
      <c r="B566" s="1">
        <v>45729</v>
      </c>
      <c r="C566" s="1">
        <v>45733</v>
      </c>
      <c r="D566" t="s">
        <v>3880</v>
      </c>
      <c r="E566" t="s">
        <v>3881</v>
      </c>
      <c r="F566" t="s">
        <v>57</v>
      </c>
      <c r="G566" t="s">
        <v>3882</v>
      </c>
      <c r="H566" t="s">
        <v>163</v>
      </c>
      <c r="I566" t="s">
        <v>108</v>
      </c>
      <c r="J566" t="s">
        <v>32</v>
      </c>
      <c r="K566" t="s">
        <v>415</v>
      </c>
      <c r="L566" t="s">
        <v>3883</v>
      </c>
      <c r="M566">
        <v>5</v>
      </c>
      <c r="N566">
        <v>3347</v>
      </c>
      <c r="O566">
        <v>10</v>
      </c>
      <c r="P566">
        <v>15838.5</v>
      </c>
      <c r="Q566">
        <v>15062.15</v>
      </c>
      <c r="R566">
        <v>776.35</v>
      </c>
      <c r="S566" t="s">
        <v>49</v>
      </c>
      <c r="T566" t="s">
        <v>36</v>
      </c>
      <c r="U566" t="s">
        <v>3884</v>
      </c>
      <c r="V566" t="s">
        <v>3885</v>
      </c>
      <c r="W566">
        <v>40</v>
      </c>
      <c r="X566" t="s">
        <v>53</v>
      </c>
      <c r="Y566">
        <v>0</v>
      </c>
    </row>
    <row r="567" spans="1:25" x14ac:dyDescent="0.35">
      <c r="A567" t="s">
        <v>3886</v>
      </c>
      <c r="B567" s="1">
        <v>45749</v>
      </c>
      <c r="C567" s="1">
        <v>45754</v>
      </c>
      <c r="D567" t="s">
        <v>3887</v>
      </c>
      <c r="E567" t="s">
        <v>3888</v>
      </c>
      <c r="F567" t="s">
        <v>28</v>
      </c>
      <c r="G567" t="s">
        <v>3889</v>
      </c>
      <c r="H567" t="s">
        <v>364</v>
      </c>
      <c r="I567" t="s">
        <v>137</v>
      </c>
      <c r="J567" t="s">
        <v>97</v>
      </c>
      <c r="K567" t="s">
        <v>786</v>
      </c>
      <c r="L567" t="s">
        <v>3890</v>
      </c>
      <c r="M567">
        <v>5</v>
      </c>
      <c r="N567">
        <v>1044</v>
      </c>
      <c r="O567">
        <v>0</v>
      </c>
      <c r="P567">
        <v>5997</v>
      </c>
      <c r="Q567">
        <v>5220.83</v>
      </c>
      <c r="R567">
        <v>776.17</v>
      </c>
      <c r="S567" t="s">
        <v>49</v>
      </c>
      <c r="T567" t="s">
        <v>36</v>
      </c>
      <c r="U567" t="s">
        <v>3891</v>
      </c>
      <c r="V567" t="s">
        <v>3892</v>
      </c>
      <c r="W567">
        <v>45</v>
      </c>
      <c r="X567" t="s">
        <v>53</v>
      </c>
      <c r="Y567">
        <v>0</v>
      </c>
    </row>
    <row r="568" spans="1:25" x14ac:dyDescent="0.35">
      <c r="A568" t="s">
        <v>3893</v>
      </c>
      <c r="B568" s="1">
        <v>45946</v>
      </c>
      <c r="C568" s="1">
        <v>45953</v>
      </c>
      <c r="D568" t="s">
        <v>783</v>
      </c>
      <c r="E568" t="s">
        <v>3894</v>
      </c>
      <c r="F568" t="s">
        <v>57</v>
      </c>
      <c r="G568" t="s">
        <v>3895</v>
      </c>
      <c r="H568" t="s">
        <v>320</v>
      </c>
      <c r="I568" t="s">
        <v>137</v>
      </c>
      <c r="J568" t="s">
        <v>97</v>
      </c>
      <c r="K568" t="s">
        <v>430</v>
      </c>
      <c r="L568" t="s">
        <v>3896</v>
      </c>
      <c r="M568">
        <v>7</v>
      </c>
      <c r="N568">
        <v>4884</v>
      </c>
      <c r="O568">
        <v>5</v>
      </c>
      <c r="P568">
        <v>33255.599999999999</v>
      </c>
      <c r="Q568">
        <v>32479.48</v>
      </c>
      <c r="R568">
        <v>776.12</v>
      </c>
      <c r="S568" t="s">
        <v>35</v>
      </c>
      <c r="T568" t="s">
        <v>89</v>
      </c>
      <c r="U568" t="s">
        <v>3897</v>
      </c>
      <c r="V568" t="s">
        <v>3898</v>
      </c>
      <c r="W568">
        <v>25</v>
      </c>
      <c r="X568" t="s">
        <v>53</v>
      </c>
      <c r="Y568">
        <v>0</v>
      </c>
    </row>
    <row r="569" spans="1:25" x14ac:dyDescent="0.35">
      <c r="A569" t="s">
        <v>3899</v>
      </c>
      <c r="B569" s="1">
        <v>45516</v>
      </c>
      <c r="C569" s="1">
        <v>45517</v>
      </c>
      <c r="D569" t="s">
        <v>1315</v>
      </c>
      <c r="E569" t="s">
        <v>3900</v>
      </c>
      <c r="F569" t="s">
        <v>28</v>
      </c>
      <c r="G569" t="s">
        <v>3901</v>
      </c>
      <c r="H569" t="s">
        <v>230</v>
      </c>
      <c r="I569" t="s">
        <v>137</v>
      </c>
      <c r="J569" t="s">
        <v>118</v>
      </c>
      <c r="K569" t="s">
        <v>190</v>
      </c>
      <c r="L569" t="s">
        <v>3902</v>
      </c>
      <c r="M569">
        <v>8</v>
      </c>
      <c r="N569">
        <v>3187</v>
      </c>
      <c r="O569">
        <v>15</v>
      </c>
      <c r="P569">
        <v>22448.6</v>
      </c>
      <c r="Q569">
        <v>21672.2</v>
      </c>
      <c r="R569">
        <v>776.4</v>
      </c>
      <c r="S569" t="s">
        <v>80</v>
      </c>
      <c r="T569" t="s">
        <v>140</v>
      </c>
      <c r="U569" t="s">
        <v>3903</v>
      </c>
      <c r="V569" t="s">
        <v>3904</v>
      </c>
      <c r="W569">
        <v>44</v>
      </c>
      <c r="X569" t="s">
        <v>53</v>
      </c>
      <c r="Y569">
        <v>0</v>
      </c>
    </row>
    <row r="570" spans="1:25" x14ac:dyDescent="0.35">
      <c r="A570" t="s">
        <v>3905</v>
      </c>
      <c r="B570" s="1">
        <v>45392</v>
      </c>
      <c r="C570" s="1">
        <v>45399</v>
      </c>
      <c r="D570" t="s">
        <v>3906</v>
      </c>
      <c r="E570" t="s">
        <v>3907</v>
      </c>
      <c r="F570" t="s">
        <v>95</v>
      </c>
      <c r="G570" t="s">
        <v>3908</v>
      </c>
      <c r="H570" t="s">
        <v>117</v>
      </c>
      <c r="I570" t="s">
        <v>108</v>
      </c>
      <c r="J570" t="s">
        <v>46</v>
      </c>
      <c r="K570" t="s">
        <v>349</v>
      </c>
      <c r="L570" t="s">
        <v>3909</v>
      </c>
      <c r="M570">
        <v>6</v>
      </c>
      <c r="N570">
        <v>2865</v>
      </c>
      <c r="O570">
        <v>20</v>
      </c>
      <c r="P570">
        <v>14529</v>
      </c>
      <c r="Q570">
        <v>13752.84</v>
      </c>
      <c r="R570">
        <v>776.16</v>
      </c>
      <c r="S570" t="s">
        <v>100</v>
      </c>
      <c r="T570" t="s">
        <v>36</v>
      </c>
      <c r="U570" t="s">
        <v>3910</v>
      </c>
      <c r="V570" t="s">
        <v>3911</v>
      </c>
      <c r="W570">
        <v>2</v>
      </c>
      <c r="X570" t="s">
        <v>39</v>
      </c>
      <c r="Y570">
        <v>30</v>
      </c>
    </row>
    <row r="571" spans="1:25" x14ac:dyDescent="0.35">
      <c r="A571" t="s">
        <v>3912</v>
      </c>
      <c r="B571" s="1">
        <v>45777</v>
      </c>
      <c r="C571" s="1">
        <v>45781</v>
      </c>
      <c r="D571" t="s">
        <v>3913</v>
      </c>
      <c r="E571" t="s">
        <v>3914</v>
      </c>
      <c r="F571" t="s">
        <v>28</v>
      </c>
      <c r="G571" t="s">
        <v>3915</v>
      </c>
      <c r="H571" t="s">
        <v>59</v>
      </c>
      <c r="I571" t="s">
        <v>31</v>
      </c>
      <c r="J571" t="s">
        <v>46</v>
      </c>
      <c r="K571" t="s">
        <v>87</v>
      </c>
      <c r="L571" t="s">
        <v>3916</v>
      </c>
      <c r="M571">
        <v>9</v>
      </c>
      <c r="N571">
        <v>2714</v>
      </c>
      <c r="O571">
        <v>10</v>
      </c>
      <c r="P571">
        <v>22760.400000000001</v>
      </c>
      <c r="Q571">
        <v>21984.2</v>
      </c>
      <c r="R571">
        <v>776.2</v>
      </c>
      <c r="S571" t="s">
        <v>80</v>
      </c>
      <c r="T571" t="s">
        <v>89</v>
      </c>
      <c r="U571" t="s">
        <v>3917</v>
      </c>
      <c r="V571" t="s">
        <v>3918</v>
      </c>
      <c r="W571">
        <v>13</v>
      </c>
      <c r="X571" t="s">
        <v>53</v>
      </c>
      <c r="Y571">
        <v>0</v>
      </c>
    </row>
    <row r="572" spans="1:25" x14ac:dyDescent="0.35">
      <c r="A572" t="s">
        <v>3919</v>
      </c>
      <c r="B572" s="1">
        <v>45431</v>
      </c>
      <c r="C572" s="1">
        <v>45433</v>
      </c>
      <c r="D572" t="s">
        <v>1555</v>
      </c>
      <c r="E572" t="s">
        <v>3920</v>
      </c>
      <c r="F572" t="s">
        <v>95</v>
      </c>
      <c r="G572" t="s">
        <v>3921</v>
      </c>
      <c r="H572" t="s">
        <v>59</v>
      </c>
      <c r="I572" t="s">
        <v>31</v>
      </c>
      <c r="J572" t="s">
        <v>97</v>
      </c>
      <c r="K572" t="s">
        <v>786</v>
      </c>
      <c r="L572" t="s">
        <v>1721</v>
      </c>
      <c r="M572">
        <v>6</v>
      </c>
      <c r="N572">
        <v>2714</v>
      </c>
      <c r="O572">
        <v>15</v>
      </c>
      <c r="P572">
        <v>14618.4</v>
      </c>
      <c r="Q572">
        <v>13842.08</v>
      </c>
      <c r="R572">
        <v>776.32</v>
      </c>
      <c r="S572" t="s">
        <v>35</v>
      </c>
      <c r="T572" t="s">
        <v>36</v>
      </c>
      <c r="U572" t="s">
        <v>3922</v>
      </c>
      <c r="V572" t="s">
        <v>3923</v>
      </c>
      <c r="W572">
        <v>50</v>
      </c>
      <c r="X572" t="s">
        <v>53</v>
      </c>
      <c r="Y572">
        <v>0</v>
      </c>
    </row>
    <row r="573" spans="1:25" x14ac:dyDescent="0.35">
      <c r="A573" t="s">
        <v>3924</v>
      </c>
      <c r="B573" s="1">
        <v>45676</v>
      </c>
      <c r="C573" s="1">
        <v>45683</v>
      </c>
      <c r="D573" t="s">
        <v>3925</v>
      </c>
      <c r="E573" t="s">
        <v>3926</v>
      </c>
      <c r="F573" t="s">
        <v>95</v>
      </c>
      <c r="G573" t="s">
        <v>3927</v>
      </c>
      <c r="H573" t="s">
        <v>30</v>
      </c>
      <c r="I573" t="s">
        <v>31</v>
      </c>
      <c r="J573" t="s">
        <v>32</v>
      </c>
      <c r="K573" t="s">
        <v>33</v>
      </c>
      <c r="L573" t="s">
        <v>3928</v>
      </c>
      <c r="M573">
        <v>6</v>
      </c>
      <c r="N573">
        <v>315</v>
      </c>
      <c r="O573">
        <v>5</v>
      </c>
      <c r="P573">
        <v>2572.5</v>
      </c>
      <c r="Q573">
        <v>1796.27</v>
      </c>
      <c r="R573">
        <v>776.23</v>
      </c>
      <c r="S573" t="s">
        <v>100</v>
      </c>
      <c r="T573" t="s">
        <v>36</v>
      </c>
      <c r="U573" t="s">
        <v>3929</v>
      </c>
      <c r="V573" t="s">
        <v>3930</v>
      </c>
      <c r="W573">
        <v>48</v>
      </c>
      <c r="X573" t="s">
        <v>53</v>
      </c>
      <c r="Y573">
        <v>0</v>
      </c>
    </row>
    <row r="574" spans="1:25" x14ac:dyDescent="0.35">
      <c r="A574" t="s">
        <v>3931</v>
      </c>
      <c r="B574" s="1">
        <v>45743</v>
      </c>
      <c r="C574" s="1">
        <v>45749</v>
      </c>
      <c r="D574" t="s">
        <v>3812</v>
      </c>
      <c r="E574" t="s">
        <v>3932</v>
      </c>
      <c r="F574" t="s">
        <v>57</v>
      </c>
      <c r="G574" t="s">
        <v>3933</v>
      </c>
      <c r="H574" t="s">
        <v>172</v>
      </c>
      <c r="I574" t="s">
        <v>45</v>
      </c>
      <c r="J574" t="s">
        <v>97</v>
      </c>
      <c r="K574" t="s">
        <v>78</v>
      </c>
      <c r="L574" t="s">
        <v>3934</v>
      </c>
      <c r="M574">
        <v>5</v>
      </c>
      <c r="N574">
        <v>4823</v>
      </c>
      <c r="O574">
        <v>10</v>
      </c>
      <c r="P574">
        <v>22480.5</v>
      </c>
      <c r="Q574">
        <v>21704.15</v>
      </c>
      <c r="R574">
        <v>776.35</v>
      </c>
      <c r="S574" t="s">
        <v>49</v>
      </c>
      <c r="T574" t="s">
        <v>50</v>
      </c>
      <c r="U574" t="s">
        <v>3935</v>
      </c>
      <c r="V574" t="s">
        <v>3936</v>
      </c>
      <c r="W574">
        <v>37</v>
      </c>
      <c r="X574" t="s">
        <v>53</v>
      </c>
      <c r="Y574">
        <v>0</v>
      </c>
    </row>
    <row r="575" spans="1:25" x14ac:dyDescent="0.35">
      <c r="A575" t="s">
        <v>3937</v>
      </c>
      <c r="B575" s="1">
        <v>45595</v>
      </c>
      <c r="C575" s="1">
        <v>45597</v>
      </c>
      <c r="D575" t="s">
        <v>1758</v>
      </c>
      <c r="E575" t="s">
        <v>3938</v>
      </c>
      <c r="F575" t="s">
        <v>95</v>
      </c>
      <c r="G575" t="s">
        <v>3939</v>
      </c>
      <c r="H575" t="s">
        <v>206</v>
      </c>
      <c r="I575" t="s">
        <v>31</v>
      </c>
      <c r="J575" t="s">
        <v>97</v>
      </c>
      <c r="K575" t="s">
        <v>927</v>
      </c>
      <c r="L575" t="s">
        <v>3940</v>
      </c>
      <c r="M575">
        <v>8</v>
      </c>
      <c r="N575">
        <v>4412</v>
      </c>
      <c r="O575">
        <v>10</v>
      </c>
      <c r="P575">
        <v>32543.4</v>
      </c>
      <c r="Q575">
        <v>31767.29</v>
      </c>
      <c r="R575">
        <v>776.11</v>
      </c>
      <c r="S575" t="s">
        <v>35</v>
      </c>
      <c r="T575" t="s">
        <v>50</v>
      </c>
      <c r="U575" t="s">
        <v>3941</v>
      </c>
      <c r="V575" t="s">
        <v>3942</v>
      </c>
      <c r="W575">
        <v>38</v>
      </c>
      <c r="X575" t="s">
        <v>53</v>
      </c>
      <c r="Y575">
        <v>0</v>
      </c>
    </row>
    <row r="576" spans="1:25" x14ac:dyDescent="0.35">
      <c r="A576" t="s">
        <v>3943</v>
      </c>
      <c r="B576" s="1">
        <v>45378</v>
      </c>
      <c r="C576" s="1">
        <v>45381</v>
      </c>
      <c r="D576" t="s">
        <v>1244</v>
      </c>
      <c r="E576" t="s">
        <v>3944</v>
      </c>
      <c r="F576" t="s">
        <v>57</v>
      </c>
      <c r="G576" t="s">
        <v>3945</v>
      </c>
      <c r="H576" t="s">
        <v>206</v>
      </c>
      <c r="I576" t="s">
        <v>31</v>
      </c>
      <c r="J576" t="s">
        <v>97</v>
      </c>
      <c r="K576" t="s">
        <v>239</v>
      </c>
      <c r="L576" t="s">
        <v>3946</v>
      </c>
      <c r="M576">
        <v>9</v>
      </c>
      <c r="N576">
        <v>3293</v>
      </c>
      <c r="O576">
        <v>20</v>
      </c>
      <c r="P576">
        <v>24486.6</v>
      </c>
      <c r="Q576">
        <v>23710.31</v>
      </c>
      <c r="R576">
        <v>776.29</v>
      </c>
      <c r="S576" t="s">
        <v>49</v>
      </c>
      <c r="T576" t="s">
        <v>36</v>
      </c>
      <c r="U576" t="s">
        <v>3947</v>
      </c>
      <c r="V576" t="s">
        <v>3948</v>
      </c>
      <c r="W576">
        <v>3</v>
      </c>
      <c r="X576" t="s">
        <v>39</v>
      </c>
      <c r="Y576">
        <v>28</v>
      </c>
    </row>
    <row r="577" spans="1:25" x14ac:dyDescent="0.35">
      <c r="A577" t="s">
        <v>3949</v>
      </c>
      <c r="B577" s="1">
        <v>45790</v>
      </c>
      <c r="C577" s="1">
        <v>45795</v>
      </c>
      <c r="D577" t="s">
        <v>2621</v>
      </c>
      <c r="E577" t="s">
        <v>3950</v>
      </c>
      <c r="F577" t="s">
        <v>28</v>
      </c>
      <c r="G577" t="s">
        <v>3951</v>
      </c>
      <c r="H577" t="s">
        <v>206</v>
      </c>
      <c r="I577" t="s">
        <v>31</v>
      </c>
      <c r="J577" t="s">
        <v>46</v>
      </c>
      <c r="K577" t="s">
        <v>239</v>
      </c>
      <c r="L577" t="s">
        <v>3952</v>
      </c>
      <c r="M577">
        <v>6</v>
      </c>
      <c r="N577">
        <v>4702</v>
      </c>
      <c r="O577">
        <v>10</v>
      </c>
      <c r="P577">
        <v>26167.8</v>
      </c>
      <c r="Q577">
        <v>25391.65</v>
      </c>
      <c r="R577">
        <v>776.15</v>
      </c>
      <c r="S577" t="s">
        <v>35</v>
      </c>
      <c r="T577" t="s">
        <v>89</v>
      </c>
      <c r="U577" t="s">
        <v>3953</v>
      </c>
      <c r="V577" t="s">
        <v>3954</v>
      </c>
      <c r="W577">
        <v>23</v>
      </c>
      <c r="X577" t="s">
        <v>53</v>
      </c>
      <c r="Y577">
        <v>0</v>
      </c>
    </row>
    <row r="578" spans="1:25" x14ac:dyDescent="0.35">
      <c r="A578" t="s">
        <v>3955</v>
      </c>
      <c r="B578" s="1">
        <v>45277</v>
      </c>
      <c r="C578" s="1">
        <v>45281</v>
      </c>
      <c r="D578" t="s">
        <v>449</v>
      </c>
      <c r="E578" t="s">
        <v>3956</v>
      </c>
      <c r="F578" t="s">
        <v>28</v>
      </c>
      <c r="G578" t="s">
        <v>3957</v>
      </c>
      <c r="H578" t="s">
        <v>136</v>
      </c>
      <c r="I578" t="s">
        <v>137</v>
      </c>
      <c r="J578" t="s">
        <v>32</v>
      </c>
      <c r="K578" t="s">
        <v>714</v>
      </c>
      <c r="L578" t="s">
        <v>3958</v>
      </c>
      <c r="M578">
        <v>3</v>
      </c>
      <c r="N578">
        <v>4320</v>
      </c>
      <c r="O578">
        <v>20</v>
      </c>
      <c r="P578">
        <v>11145</v>
      </c>
      <c r="Q578">
        <v>10368.629999999999</v>
      </c>
      <c r="R578">
        <v>776.37</v>
      </c>
      <c r="S578" t="s">
        <v>80</v>
      </c>
      <c r="T578" t="s">
        <v>50</v>
      </c>
      <c r="U578" t="s">
        <v>3959</v>
      </c>
      <c r="V578" t="s">
        <v>3960</v>
      </c>
      <c r="W578">
        <v>1</v>
      </c>
      <c r="X578" t="s">
        <v>39</v>
      </c>
      <c r="Y578">
        <v>37</v>
      </c>
    </row>
    <row r="579" spans="1:25" x14ac:dyDescent="0.35">
      <c r="A579" t="s">
        <v>3961</v>
      </c>
      <c r="B579" s="1">
        <v>45772</v>
      </c>
      <c r="C579" s="1">
        <v>45776</v>
      </c>
      <c r="D579" t="s">
        <v>3962</v>
      </c>
      <c r="E579" t="s">
        <v>3963</v>
      </c>
      <c r="F579" t="s">
        <v>95</v>
      </c>
      <c r="G579" t="s">
        <v>3964</v>
      </c>
      <c r="H579" t="s">
        <v>320</v>
      </c>
      <c r="I579" t="s">
        <v>137</v>
      </c>
      <c r="J579" t="s">
        <v>97</v>
      </c>
      <c r="K579" t="s">
        <v>98</v>
      </c>
      <c r="L579" t="s">
        <v>3965</v>
      </c>
      <c r="M579">
        <v>1</v>
      </c>
      <c r="N579">
        <v>1667</v>
      </c>
      <c r="O579">
        <v>10</v>
      </c>
      <c r="P579">
        <v>2277.3000000000002</v>
      </c>
      <c r="Q579">
        <v>1500.93</v>
      </c>
      <c r="R579">
        <v>776.37</v>
      </c>
      <c r="S579" t="s">
        <v>80</v>
      </c>
      <c r="T579" t="s">
        <v>89</v>
      </c>
      <c r="U579" t="s">
        <v>3966</v>
      </c>
      <c r="V579" t="s">
        <v>3967</v>
      </c>
      <c r="W579">
        <v>2</v>
      </c>
      <c r="X579" t="s">
        <v>39</v>
      </c>
      <c r="Y579">
        <v>47</v>
      </c>
    </row>
    <row r="580" spans="1:25" x14ac:dyDescent="0.35">
      <c r="A580" t="s">
        <v>3968</v>
      </c>
      <c r="B580" s="1">
        <v>45368</v>
      </c>
      <c r="C580" s="1">
        <v>45369</v>
      </c>
      <c r="D580" t="s">
        <v>2831</v>
      </c>
      <c r="E580" t="s">
        <v>3969</v>
      </c>
      <c r="F580" t="s">
        <v>28</v>
      </c>
      <c r="G580" t="s">
        <v>3970</v>
      </c>
      <c r="H580" t="s">
        <v>283</v>
      </c>
      <c r="I580" t="s">
        <v>45</v>
      </c>
      <c r="J580" t="s">
        <v>118</v>
      </c>
      <c r="K580" t="s">
        <v>400</v>
      </c>
      <c r="L580" t="s">
        <v>3971</v>
      </c>
      <c r="M580">
        <v>8</v>
      </c>
      <c r="N580">
        <v>2094</v>
      </c>
      <c r="O580">
        <v>0</v>
      </c>
      <c r="P580">
        <v>17529</v>
      </c>
      <c r="Q580">
        <v>16752.73</v>
      </c>
      <c r="R580">
        <v>776.27</v>
      </c>
      <c r="S580" t="s">
        <v>35</v>
      </c>
      <c r="T580" t="s">
        <v>140</v>
      </c>
      <c r="U580" t="s">
        <v>3972</v>
      </c>
      <c r="V580" t="s">
        <v>3973</v>
      </c>
      <c r="W580">
        <v>4</v>
      </c>
      <c r="X580" t="s">
        <v>39</v>
      </c>
      <c r="Y580">
        <v>30</v>
      </c>
    </row>
    <row r="581" spans="1:25" x14ac:dyDescent="0.35">
      <c r="A581" t="s">
        <v>3974</v>
      </c>
      <c r="B581" s="1">
        <v>45619</v>
      </c>
      <c r="C581" s="1">
        <v>45621</v>
      </c>
      <c r="D581" t="s">
        <v>3975</v>
      </c>
      <c r="E581" t="s">
        <v>3976</v>
      </c>
      <c r="F581" t="s">
        <v>57</v>
      </c>
      <c r="G581" t="s">
        <v>3977</v>
      </c>
      <c r="H581" t="s">
        <v>117</v>
      </c>
      <c r="I581" t="s">
        <v>108</v>
      </c>
      <c r="J581" t="s">
        <v>118</v>
      </c>
      <c r="K581" t="s">
        <v>87</v>
      </c>
      <c r="L581" t="s">
        <v>3978</v>
      </c>
      <c r="M581">
        <v>10</v>
      </c>
      <c r="N581">
        <v>256</v>
      </c>
      <c r="O581">
        <v>0</v>
      </c>
      <c r="P581">
        <v>3337</v>
      </c>
      <c r="Q581">
        <v>2560.75</v>
      </c>
      <c r="R581">
        <v>776.25</v>
      </c>
      <c r="S581" t="s">
        <v>100</v>
      </c>
      <c r="T581" t="s">
        <v>140</v>
      </c>
      <c r="U581" t="s">
        <v>3979</v>
      </c>
      <c r="V581" t="s">
        <v>3980</v>
      </c>
      <c r="W581">
        <v>48</v>
      </c>
      <c r="X581" t="s">
        <v>53</v>
      </c>
      <c r="Y581">
        <v>0</v>
      </c>
    </row>
    <row r="582" spans="1:25" x14ac:dyDescent="0.35">
      <c r="A582" t="s">
        <v>3981</v>
      </c>
      <c r="B582" s="1">
        <v>45941</v>
      </c>
      <c r="C582" s="1">
        <v>45944</v>
      </c>
      <c r="D582" t="s">
        <v>3982</v>
      </c>
      <c r="E582" t="s">
        <v>3983</v>
      </c>
      <c r="F582" t="s">
        <v>95</v>
      </c>
      <c r="G582" t="s">
        <v>3984</v>
      </c>
      <c r="H582" t="s">
        <v>206</v>
      </c>
      <c r="I582" t="s">
        <v>31</v>
      </c>
      <c r="J582" t="s">
        <v>46</v>
      </c>
      <c r="K582" t="s">
        <v>691</v>
      </c>
      <c r="L582" t="s">
        <v>3985</v>
      </c>
      <c r="M582">
        <v>1</v>
      </c>
      <c r="N582">
        <v>1486</v>
      </c>
      <c r="O582">
        <v>0</v>
      </c>
      <c r="P582">
        <v>2263</v>
      </c>
      <c r="Q582">
        <v>1486.89</v>
      </c>
      <c r="R582">
        <v>776.11</v>
      </c>
      <c r="S582" t="s">
        <v>35</v>
      </c>
      <c r="T582" t="s">
        <v>140</v>
      </c>
      <c r="U582" t="s">
        <v>3986</v>
      </c>
      <c r="V582" t="s">
        <v>3987</v>
      </c>
      <c r="W582">
        <v>33</v>
      </c>
      <c r="X582" t="s">
        <v>53</v>
      </c>
      <c r="Y582">
        <v>0</v>
      </c>
    </row>
    <row r="583" spans="1:25" x14ac:dyDescent="0.35">
      <c r="A583" t="s">
        <v>3988</v>
      </c>
      <c r="B583" s="1">
        <v>45252</v>
      </c>
      <c r="C583" s="1">
        <v>45257</v>
      </c>
      <c r="D583" t="s">
        <v>552</v>
      </c>
      <c r="E583" t="s">
        <v>3989</v>
      </c>
      <c r="F583" t="s">
        <v>57</v>
      </c>
      <c r="G583" t="s">
        <v>3990</v>
      </c>
      <c r="H583" t="s">
        <v>77</v>
      </c>
      <c r="I583" t="s">
        <v>45</v>
      </c>
      <c r="J583" t="s">
        <v>32</v>
      </c>
      <c r="K583" t="s">
        <v>786</v>
      </c>
      <c r="L583" t="s">
        <v>3991</v>
      </c>
      <c r="M583">
        <v>10</v>
      </c>
      <c r="N583">
        <v>4162</v>
      </c>
      <c r="O583">
        <v>5</v>
      </c>
      <c r="P583">
        <v>40316</v>
      </c>
      <c r="Q583">
        <v>39539.64</v>
      </c>
      <c r="R583">
        <v>776.36</v>
      </c>
      <c r="S583" t="s">
        <v>100</v>
      </c>
      <c r="T583" t="s">
        <v>50</v>
      </c>
      <c r="U583" t="s">
        <v>3992</v>
      </c>
      <c r="V583" t="s">
        <v>3993</v>
      </c>
      <c r="W583">
        <v>12</v>
      </c>
      <c r="X583" t="s">
        <v>53</v>
      </c>
      <c r="Y583">
        <v>0</v>
      </c>
    </row>
    <row r="584" spans="1:25" x14ac:dyDescent="0.35">
      <c r="A584" t="s">
        <v>3994</v>
      </c>
      <c r="B584" s="1">
        <v>45531</v>
      </c>
      <c r="C584" s="1">
        <v>45537</v>
      </c>
      <c r="D584" t="s">
        <v>1751</v>
      </c>
      <c r="E584" t="s">
        <v>3995</v>
      </c>
      <c r="F584" t="s">
        <v>95</v>
      </c>
      <c r="G584" t="s">
        <v>3996</v>
      </c>
      <c r="H584" t="s">
        <v>206</v>
      </c>
      <c r="I584" t="s">
        <v>31</v>
      </c>
      <c r="J584" t="s">
        <v>46</v>
      </c>
      <c r="K584" t="s">
        <v>155</v>
      </c>
      <c r="L584" t="s">
        <v>3997</v>
      </c>
      <c r="M584">
        <v>5</v>
      </c>
      <c r="N584">
        <v>1268</v>
      </c>
      <c r="O584">
        <v>15</v>
      </c>
      <c r="P584">
        <v>6166</v>
      </c>
      <c r="Q584">
        <v>5389.77</v>
      </c>
      <c r="R584">
        <v>776.23</v>
      </c>
      <c r="S584" t="s">
        <v>49</v>
      </c>
      <c r="T584" t="s">
        <v>89</v>
      </c>
      <c r="U584" t="s">
        <v>3998</v>
      </c>
      <c r="V584" t="s">
        <v>3999</v>
      </c>
      <c r="W584">
        <v>49</v>
      </c>
      <c r="X584" t="s">
        <v>53</v>
      </c>
      <c r="Y584">
        <v>0</v>
      </c>
    </row>
    <row r="585" spans="1:25" x14ac:dyDescent="0.35">
      <c r="A585" t="s">
        <v>4000</v>
      </c>
      <c r="B585" s="1">
        <v>45266</v>
      </c>
      <c r="C585" s="1">
        <v>45272</v>
      </c>
      <c r="D585" t="s">
        <v>236</v>
      </c>
      <c r="E585" t="s">
        <v>4001</v>
      </c>
      <c r="F585" t="s">
        <v>57</v>
      </c>
      <c r="G585" t="s">
        <v>4002</v>
      </c>
      <c r="H585" t="s">
        <v>59</v>
      </c>
      <c r="I585" t="s">
        <v>31</v>
      </c>
      <c r="J585" t="s">
        <v>46</v>
      </c>
      <c r="K585" t="s">
        <v>706</v>
      </c>
      <c r="L585" t="s">
        <v>4003</v>
      </c>
      <c r="M585">
        <v>5</v>
      </c>
      <c r="N585">
        <v>3626</v>
      </c>
      <c r="O585">
        <v>5</v>
      </c>
      <c r="P585">
        <v>18000.5</v>
      </c>
      <c r="Q585">
        <v>17224.330000000002</v>
      </c>
      <c r="R585">
        <v>776.17</v>
      </c>
      <c r="S585" t="s">
        <v>49</v>
      </c>
      <c r="T585" t="s">
        <v>89</v>
      </c>
      <c r="U585" t="s">
        <v>4004</v>
      </c>
      <c r="V585" t="s">
        <v>4005</v>
      </c>
      <c r="W585">
        <v>29</v>
      </c>
      <c r="X585" t="s">
        <v>53</v>
      </c>
      <c r="Y585">
        <v>0</v>
      </c>
    </row>
    <row r="586" spans="1:25" x14ac:dyDescent="0.35">
      <c r="A586" t="s">
        <v>4006</v>
      </c>
      <c r="B586" s="1">
        <v>45829</v>
      </c>
      <c r="C586" s="1">
        <v>45834</v>
      </c>
      <c r="D586" t="s">
        <v>2200</v>
      </c>
      <c r="E586" t="s">
        <v>4007</v>
      </c>
      <c r="F586" t="s">
        <v>57</v>
      </c>
      <c r="G586" t="s">
        <v>4008</v>
      </c>
      <c r="H586" t="s">
        <v>117</v>
      </c>
      <c r="I586" t="s">
        <v>108</v>
      </c>
      <c r="J586" t="s">
        <v>46</v>
      </c>
      <c r="K586" t="s">
        <v>691</v>
      </c>
      <c r="L586" t="s">
        <v>4009</v>
      </c>
      <c r="M586">
        <v>1</v>
      </c>
      <c r="N586">
        <v>2715</v>
      </c>
      <c r="O586">
        <v>5</v>
      </c>
      <c r="P586">
        <v>3356.25</v>
      </c>
      <c r="Q586">
        <v>2580.0700000000002</v>
      </c>
      <c r="R586">
        <v>776.18</v>
      </c>
      <c r="S586" t="s">
        <v>35</v>
      </c>
      <c r="T586" t="s">
        <v>89</v>
      </c>
      <c r="U586" t="s">
        <v>4010</v>
      </c>
      <c r="V586" t="s">
        <v>4011</v>
      </c>
      <c r="W586">
        <v>41</v>
      </c>
      <c r="X586" t="s">
        <v>53</v>
      </c>
      <c r="Y586">
        <v>0</v>
      </c>
    </row>
    <row r="587" spans="1:25" x14ac:dyDescent="0.35">
      <c r="A587" t="s">
        <v>4012</v>
      </c>
      <c r="B587" s="1">
        <v>45379</v>
      </c>
      <c r="C587" s="1">
        <v>45380</v>
      </c>
      <c r="D587" t="s">
        <v>236</v>
      </c>
      <c r="E587" t="s">
        <v>4013</v>
      </c>
      <c r="F587" t="s">
        <v>57</v>
      </c>
      <c r="G587" t="s">
        <v>3496</v>
      </c>
      <c r="H587" t="s">
        <v>364</v>
      </c>
      <c r="I587" t="s">
        <v>137</v>
      </c>
      <c r="J587" t="s">
        <v>46</v>
      </c>
      <c r="K587" t="s">
        <v>164</v>
      </c>
      <c r="L587" t="s">
        <v>4014</v>
      </c>
      <c r="M587">
        <v>4</v>
      </c>
      <c r="N587">
        <v>717</v>
      </c>
      <c r="O587">
        <v>20</v>
      </c>
      <c r="P587">
        <v>3071.4</v>
      </c>
      <c r="Q587">
        <v>2295.09</v>
      </c>
      <c r="R587">
        <v>776.31</v>
      </c>
      <c r="S587" t="s">
        <v>49</v>
      </c>
      <c r="T587" t="s">
        <v>140</v>
      </c>
      <c r="U587" t="s">
        <v>4015</v>
      </c>
      <c r="V587" t="s">
        <v>4016</v>
      </c>
      <c r="W587">
        <v>1</v>
      </c>
      <c r="X587" t="s">
        <v>39</v>
      </c>
      <c r="Y587">
        <v>40</v>
      </c>
    </row>
    <row r="588" spans="1:25" x14ac:dyDescent="0.35">
      <c r="A588" t="s">
        <v>4017</v>
      </c>
      <c r="B588" s="1">
        <v>45775</v>
      </c>
      <c r="C588" s="1">
        <v>45779</v>
      </c>
      <c r="D588" t="s">
        <v>4018</v>
      </c>
      <c r="E588" t="s">
        <v>4019</v>
      </c>
      <c r="F588" t="s">
        <v>57</v>
      </c>
      <c r="G588" t="s">
        <v>4020</v>
      </c>
      <c r="H588" t="s">
        <v>30</v>
      </c>
      <c r="I588" t="s">
        <v>31</v>
      </c>
      <c r="J588" t="s">
        <v>118</v>
      </c>
      <c r="K588" t="s">
        <v>714</v>
      </c>
      <c r="L588" t="s">
        <v>4021</v>
      </c>
      <c r="M588">
        <v>9</v>
      </c>
      <c r="N588">
        <v>2537</v>
      </c>
      <c r="O588">
        <v>5</v>
      </c>
      <c r="P588">
        <v>22468.35</v>
      </c>
      <c r="Q588">
        <v>21692.19</v>
      </c>
      <c r="R588">
        <v>776.16</v>
      </c>
      <c r="S588" t="s">
        <v>35</v>
      </c>
      <c r="T588" t="s">
        <v>89</v>
      </c>
      <c r="U588" t="s">
        <v>4022</v>
      </c>
      <c r="V588" t="s">
        <v>4023</v>
      </c>
      <c r="W588">
        <v>45</v>
      </c>
      <c r="X588" t="s">
        <v>53</v>
      </c>
      <c r="Y588">
        <v>0</v>
      </c>
    </row>
    <row r="589" spans="1:25" x14ac:dyDescent="0.35">
      <c r="A589" t="s">
        <v>4024</v>
      </c>
      <c r="B589" s="1">
        <v>45651</v>
      </c>
      <c r="C589" s="1">
        <v>45654</v>
      </c>
      <c r="D589" t="s">
        <v>3715</v>
      </c>
      <c r="E589" t="s">
        <v>4025</v>
      </c>
      <c r="F589" t="s">
        <v>28</v>
      </c>
      <c r="G589" t="s">
        <v>4026</v>
      </c>
      <c r="H589" t="s">
        <v>198</v>
      </c>
      <c r="I589" t="s">
        <v>31</v>
      </c>
      <c r="J589" t="s">
        <v>97</v>
      </c>
      <c r="K589" t="s">
        <v>47</v>
      </c>
      <c r="L589" t="s">
        <v>4027</v>
      </c>
      <c r="M589">
        <v>5</v>
      </c>
      <c r="N589">
        <v>999</v>
      </c>
      <c r="O589">
        <v>0</v>
      </c>
      <c r="P589">
        <v>5772</v>
      </c>
      <c r="Q589">
        <v>4995.6400000000003</v>
      </c>
      <c r="R589">
        <v>776.36</v>
      </c>
      <c r="S589" t="s">
        <v>35</v>
      </c>
      <c r="T589" t="s">
        <v>140</v>
      </c>
      <c r="U589" t="s">
        <v>4028</v>
      </c>
      <c r="V589" t="s">
        <v>4029</v>
      </c>
      <c r="W589">
        <v>39</v>
      </c>
      <c r="X589" t="s">
        <v>53</v>
      </c>
      <c r="Y589">
        <v>0</v>
      </c>
    </row>
    <row r="590" spans="1:25" x14ac:dyDescent="0.35">
      <c r="A590" t="s">
        <v>4030</v>
      </c>
      <c r="B590" s="1">
        <v>45783</v>
      </c>
      <c r="C590" s="1">
        <v>45787</v>
      </c>
      <c r="D590" t="s">
        <v>4031</v>
      </c>
      <c r="E590" t="s">
        <v>4032</v>
      </c>
      <c r="F590" t="s">
        <v>57</v>
      </c>
      <c r="G590" t="s">
        <v>4033</v>
      </c>
      <c r="H590" t="s">
        <v>163</v>
      </c>
      <c r="I590" t="s">
        <v>108</v>
      </c>
      <c r="J590" t="s">
        <v>32</v>
      </c>
      <c r="K590" t="s">
        <v>1898</v>
      </c>
      <c r="L590" t="s">
        <v>4034</v>
      </c>
      <c r="M590">
        <v>6</v>
      </c>
      <c r="N590">
        <v>4530</v>
      </c>
      <c r="O590">
        <v>0</v>
      </c>
      <c r="P590">
        <v>27957</v>
      </c>
      <c r="Q590">
        <v>27180.86</v>
      </c>
      <c r="R590">
        <v>776.14</v>
      </c>
      <c r="S590" t="s">
        <v>80</v>
      </c>
      <c r="T590" t="s">
        <v>50</v>
      </c>
      <c r="U590" t="s">
        <v>4035</v>
      </c>
      <c r="V590" t="s">
        <v>4036</v>
      </c>
      <c r="W590">
        <v>10</v>
      </c>
      <c r="X590" t="s">
        <v>53</v>
      </c>
      <c r="Y590">
        <v>0</v>
      </c>
    </row>
    <row r="591" spans="1:25" x14ac:dyDescent="0.35">
      <c r="A591" t="s">
        <v>4037</v>
      </c>
      <c r="B591" s="1">
        <v>45735</v>
      </c>
      <c r="C591" s="1">
        <v>45738</v>
      </c>
      <c r="D591" t="s">
        <v>4038</v>
      </c>
      <c r="E591" t="s">
        <v>4039</v>
      </c>
      <c r="F591" t="s">
        <v>28</v>
      </c>
      <c r="G591" t="s">
        <v>4040</v>
      </c>
      <c r="H591" t="s">
        <v>117</v>
      </c>
      <c r="I591" t="s">
        <v>108</v>
      </c>
      <c r="J591" t="s">
        <v>97</v>
      </c>
      <c r="K591" t="s">
        <v>199</v>
      </c>
      <c r="L591" t="s">
        <v>4041</v>
      </c>
      <c r="M591">
        <v>1</v>
      </c>
      <c r="N591">
        <v>3035</v>
      </c>
      <c r="O591">
        <v>5</v>
      </c>
      <c r="P591">
        <v>3660.25</v>
      </c>
      <c r="Q591">
        <v>2884.04</v>
      </c>
      <c r="R591">
        <v>776.21</v>
      </c>
      <c r="S591" t="s">
        <v>80</v>
      </c>
      <c r="T591" t="s">
        <v>36</v>
      </c>
      <c r="U591" t="s">
        <v>4042</v>
      </c>
      <c r="V591" t="s">
        <v>4043</v>
      </c>
      <c r="W591">
        <v>18</v>
      </c>
      <c r="X591" t="s">
        <v>53</v>
      </c>
      <c r="Y591">
        <v>0</v>
      </c>
    </row>
    <row r="592" spans="1:25" x14ac:dyDescent="0.35">
      <c r="A592" t="s">
        <v>4044</v>
      </c>
      <c r="B592" s="1">
        <v>45319</v>
      </c>
      <c r="C592" s="1">
        <v>45320</v>
      </c>
      <c r="D592" t="s">
        <v>3645</v>
      </c>
      <c r="E592" t="s">
        <v>4045</v>
      </c>
      <c r="F592" t="s">
        <v>95</v>
      </c>
      <c r="G592" t="s">
        <v>4046</v>
      </c>
      <c r="H592" t="s">
        <v>334</v>
      </c>
      <c r="I592" t="s">
        <v>108</v>
      </c>
      <c r="J592" t="s">
        <v>32</v>
      </c>
      <c r="K592" t="s">
        <v>239</v>
      </c>
      <c r="L592" t="s">
        <v>4047</v>
      </c>
      <c r="M592">
        <v>9</v>
      </c>
      <c r="N592">
        <v>907</v>
      </c>
      <c r="O592">
        <v>5</v>
      </c>
      <c r="P592">
        <v>8531.85</v>
      </c>
      <c r="Q592">
        <v>7755.71</v>
      </c>
      <c r="R592">
        <v>776.14</v>
      </c>
      <c r="S592" t="s">
        <v>49</v>
      </c>
      <c r="T592" t="s">
        <v>50</v>
      </c>
      <c r="U592" t="s">
        <v>4048</v>
      </c>
      <c r="V592" t="s">
        <v>4049</v>
      </c>
      <c r="W592">
        <v>5</v>
      </c>
      <c r="X592" t="s">
        <v>39</v>
      </c>
      <c r="Y592">
        <v>38</v>
      </c>
    </row>
    <row r="593" spans="1:25" x14ac:dyDescent="0.35">
      <c r="A593" t="s">
        <v>4050</v>
      </c>
      <c r="B593" s="1">
        <v>45435</v>
      </c>
      <c r="C593" s="1">
        <v>45438</v>
      </c>
      <c r="D593" t="s">
        <v>4051</v>
      </c>
      <c r="E593" t="s">
        <v>4052</v>
      </c>
      <c r="F593" t="s">
        <v>57</v>
      </c>
      <c r="G593" t="s">
        <v>4053</v>
      </c>
      <c r="H593" t="s">
        <v>334</v>
      </c>
      <c r="I593" t="s">
        <v>108</v>
      </c>
      <c r="J593" t="s">
        <v>118</v>
      </c>
      <c r="K593" t="s">
        <v>466</v>
      </c>
      <c r="L593" t="s">
        <v>570</v>
      </c>
      <c r="M593">
        <v>7</v>
      </c>
      <c r="N593">
        <v>2821</v>
      </c>
      <c r="O593">
        <v>10</v>
      </c>
      <c r="P593">
        <v>18549.3</v>
      </c>
      <c r="Q593">
        <v>17773.13</v>
      </c>
      <c r="R593">
        <v>776.17</v>
      </c>
      <c r="S593" t="s">
        <v>100</v>
      </c>
      <c r="T593" t="s">
        <v>50</v>
      </c>
      <c r="U593" t="s">
        <v>4054</v>
      </c>
      <c r="V593" t="s">
        <v>4055</v>
      </c>
      <c r="W593">
        <v>8</v>
      </c>
      <c r="X593" t="s">
        <v>39</v>
      </c>
      <c r="Y593">
        <v>41</v>
      </c>
    </row>
    <row r="594" spans="1:25" x14ac:dyDescent="0.35">
      <c r="A594" t="s">
        <v>4056</v>
      </c>
      <c r="B594" s="1">
        <v>45831</v>
      </c>
      <c r="C594" s="1">
        <v>45835</v>
      </c>
      <c r="D594" t="s">
        <v>2383</v>
      </c>
      <c r="E594" t="s">
        <v>4057</v>
      </c>
      <c r="F594" t="s">
        <v>28</v>
      </c>
      <c r="G594" t="s">
        <v>4058</v>
      </c>
      <c r="H594" t="s">
        <v>44</v>
      </c>
      <c r="I594" t="s">
        <v>45</v>
      </c>
      <c r="J594" t="s">
        <v>32</v>
      </c>
      <c r="K594" t="s">
        <v>482</v>
      </c>
      <c r="L594" t="s">
        <v>4059</v>
      </c>
      <c r="M594">
        <v>2</v>
      </c>
      <c r="N594">
        <v>1479</v>
      </c>
      <c r="O594">
        <v>5</v>
      </c>
      <c r="P594">
        <v>3587.1</v>
      </c>
      <c r="Q594">
        <v>2810.98</v>
      </c>
      <c r="R594">
        <v>776.12</v>
      </c>
      <c r="S594" t="s">
        <v>49</v>
      </c>
      <c r="T594" t="s">
        <v>36</v>
      </c>
      <c r="U594" t="s">
        <v>4060</v>
      </c>
      <c r="V594" t="s">
        <v>4061</v>
      </c>
      <c r="W594">
        <v>41</v>
      </c>
      <c r="X594" t="s">
        <v>53</v>
      </c>
      <c r="Y594">
        <v>0</v>
      </c>
    </row>
    <row r="595" spans="1:25" x14ac:dyDescent="0.35">
      <c r="A595" t="s">
        <v>4062</v>
      </c>
      <c r="B595" s="1">
        <v>45688</v>
      </c>
      <c r="C595" s="1">
        <v>45695</v>
      </c>
      <c r="D595" t="s">
        <v>4063</v>
      </c>
      <c r="E595" t="s">
        <v>4064</v>
      </c>
      <c r="F595" t="s">
        <v>95</v>
      </c>
      <c r="G595" t="s">
        <v>4065</v>
      </c>
      <c r="H595" t="s">
        <v>154</v>
      </c>
      <c r="I595" t="s">
        <v>137</v>
      </c>
      <c r="J595" t="s">
        <v>46</v>
      </c>
      <c r="K595" t="s">
        <v>927</v>
      </c>
      <c r="L595" t="s">
        <v>423</v>
      </c>
      <c r="M595">
        <v>2</v>
      </c>
      <c r="N595">
        <v>3489</v>
      </c>
      <c r="O595">
        <v>20</v>
      </c>
      <c r="P595">
        <v>6359.4</v>
      </c>
      <c r="Q595">
        <v>5583.25</v>
      </c>
      <c r="R595">
        <v>776.15</v>
      </c>
      <c r="S595" t="s">
        <v>49</v>
      </c>
      <c r="T595" t="s">
        <v>140</v>
      </c>
      <c r="U595" t="s">
        <v>4066</v>
      </c>
      <c r="V595" t="s">
        <v>4067</v>
      </c>
      <c r="W595">
        <v>21</v>
      </c>
      <c r="X595" t="s">
        <v>53</v>
      </c>
      <c r="Y595">
        <v>0</v>
      </c>
    </row>
    <row r="596" spans="1:25" x14ac:dyDescent="0.35">
      <c r="A596" t="s">
        <v>4068</v>
      </c>
      <c r="B596" s="1">
        <v>45953</v>
      </c>
      <c r="C596" s="1">
        <v>45954</v>
      </c>
      <c r="D596" t="s">
        <v>776</v>
      </c>
      <c r="E596" t="s">
        <v>4069</v>
      </c>
      <c r="F596" t="s">
        <v>95</v>
      </c>
      <c r="G596" t="s">
        <v>4070</v>
      </c>
      <c r="H596" t="s">
        <v>136</v>
      </c>
      <c r="I596" t="s">
        <v>137</v>
      </c>
      <c r="J596" t="s">
        <v>46</v>
      </c>
      <c r="K596" t="s">
        <v>199</v>
      </c>
      <c r="L596" t="s">
        <v>4071</v>
      </c>
      <c r="M596">
        <v>7</v>
      </c>
      <c r="N596">
        <v>1509</v>
      </c>
      <c r="O596">
        <v>5</v>
      </c>
      <c r="P596">
        <v>10811.85</v>
      </c>
      <c r="Q596">
        <v>10035.469999999999</v>
      </c>
      <c r="R596">
        <v>776.38</v>
      </c>
      <c r="S596" t="s">
        <v>100</v>
      </c>
      <c r="T596" t="s">
        <v>50</v>
      </c>
      <c r="U596" t="s">
        <v>4072</v>
      </c>
      <c r="V596" t="s">
        <v>4073</v>
      </c>
      <c r="W596">
        <v>35</v>
      </c>
      <c r="X596" t="s">
        <v>53</v>
      </c>
      <c r="Y596">
        <v>0</v>
      </c>
    </row>
    <row r="597" spans="1:25" x14ac:dyDescent="0.35">
      <c r="A597" t="s">
        <v>4074</v>
      </c>
      <c r="B597" s="1">
        <v>45773</v>
      </c>
      <c r="C597" s="1">
        <v>45778</v>
      </c>
      <c r="D597" t="s">
        <v>4075</v>
      </c>
      <c r="E597" t="s">
        <v>4076</v>
      </c>
      <c r="F597" t="s">
        <v>95</v>
      </c>
      <c r="G597" t="s">
        <v>4077</v>
      </c>
      <c r="H597" t="s">
        <v>117</v>
      </c>
      <c r="I597" t="s">
        <v>108</v>
      </c>
      <c r="J597" t="s">
        <v>97</v>
      </c>
      <c r="K597" t="s">
        <v>598</v>
      </c>
      <c r="L597" t="s">
        <v>4078</v>
      </c>
      <c r="M597">
        <v>9</v>
      </c>
      <c r="N597">
        <v>3267</v>
      </c>
      <c r="O597">
        <v>10</v>
      </c>
      <c r="P597">
        <v>27239.7</v>
      </c>
      <c r="Q597">
        <v>26463.39</v>
      </c>
      <c r="R597">
        <v>776.31</v>
      </c>
      <c r="S597" t="s">
        <v>80</v>
      </c>
      <c r="T597" t="s">
        <v>50</v>
      </c>
      <c r="U597" t="s">
        <v>4079</v>
      </c>
      <c r="V597" t="s">
        <v>4080</v>
      </c>
      <c r="W597">
        <v>5</v>
      </c>
      <c r="X597" t="s">
        <v>39</v>
      </c>
      <c r="Y597">
        <v>21</v>
      </c>
    </row>
    <row r="598" spans="1:25" x14ac:dyDescent="0.35">
      <c r="A598" t="s">
        <v>4081</v>
      </c>
      <c r="B598" s="1">
        <v>45373</v>
      </c>
      <c r="C598" s="1">
        <v>45375</v>
      </c>
      <c r="D598" t="s">
        <v>1964</v>
      </c>
      <c r="E598" t="s">
        <v>4082</v>
      </c>
      <c r="F598" t="s">
        <v>95</v>
      </c>
      <c r="G598" t="s">
        <v>4083</v>
      </c>
      <c r="H598" t="s">
        <v>107</v>
      </c>
      <c r="I598" t="s">
        <v>108</v>
      </c>
      <c r="J598" t="s">
        <v>97</v>
      </c>
      <c r="K598" t="s">
        <v>155</v>
      </c>
      <c r="L598" t="s">
        <v>4084</v>
      </c>
      <c r="M598">
        <v>2</v>
      </c>
      <c r="N598">
        <v>100</v>
      </c>
      <c r="O598">
        <v>0</v>
      </c>
      <c r="P598">
        <v>977</v>
      </c>
      <c r="Q598">
        <v>200.84</v>
      </c>
      <c r="R598">
        <v>776.16</v>
      </c>
      <c r="S598" t="s">
        <v>100</v>
      </c>
      <c r="T598" t="s">
        <v>50</v>
      </c>
      <c r="U598" t="s">
        <v>4010</v>
      </c>
      <c r="V598" t="s">
        <v>4085</v>
      </c>
      <c r="W598">
        <v>23</v>
      </c>
      <c r="X598" t="s">
        <v>53</v>
      </c>
      <c r="Y598">
        <v>0</v>
      </c>
    </row>
    <row r="599" spans="1:25" x14ac:dyDescent="0.35">
      <c r="A599" t="s">
        <v>4086</v>
      </c>
      <c r="B599" s="1">
        <v>45612</v>
      </c>
      <c r="C599" s="1">
        <v>45613</v>
      </c>
      <c r="D599" t="s">
        <v>4087</v>
      </c>
      <c r="E599" t="s">
        <v>4088</v>
      </c>
      <c r="F599" t="s">
        <v>28</v>
      </c>
      <c r="G599" t="s">
        <v>4089</v>
      </c>
      <c r="H599" t="s">
        <v>364</v>
      </c>
      <c r="I599" t="s">
        <v>137</v>
      </c>
      <c r="J599" t="s">
        <v>46</v>
      </c>
      <c r="K599" t="s">
        <v>885</v>
      </c>
      <c r="L599" t="s">
        <v>4090</v>
      </c>
      <c r="M599">
        <v>10</v>
      </c>
      <c r="N599">
        <v>715</v>
      </c>
      <c r="O599">
        <v>15</v>
      </c>
      <c r="P599">
        <v>6854.5</v>
      </c>
      <c r="Q599">
        <v>6078.16</v>
      </c>
      <c r="R599">
        <v>776.34</v>
      </c>
      <c r="S599" t="s">
        <v>35</v>
      </c>
      <c r="T599" t="s">
        <v>50</v>
      </c>
      <c r="U599" t="s">
        <v>4091</v>
      </c>
      <c r="V599" t="s">
        <v>4092</v>
      </c>
      <c r="W599">
        <v>11</v>
      </c>
      <c r="X599" t="s">
        <v>53</v>
      </c>
      <c r="Y599">
        <v>0</v>
      </c>
    </row>
    <row r="600" spans="1:25" x14ac:dyDescent="0.35">
      <c r="A600" t="s">
        <v>4093</v>
      </c>
      <c r="B600" s="1">
        <v>45259</v>
      </c>
      <c r="C600" s="1">
        <v>45264</v>
      </c>
      <c r="D600" t="s">
        <v>847</v>
      </c>
      <c r="E600" t="s">
        <v>4094</v>
      </c>
      <c r="F600" t="s">
        <v>57</v>
      </c>
      <c r="G600" t="s">
        <v>4095</v>
      </c>
      <c r="H600" t="s">
        <v>230</v>
      </c>
      <c r="I600" t="s">
        <v>137</v>
      </c>
      <c r="J600" t="s">
        <v>118</v>
      </c>
      <c r="K600" t="s">
        <v>78</v>
      </c>
      <c r="L600" t="s">
        <v>4096</v>
      </c>
      <c r="M600">
        <v>7</v>
      </c>
      <c r="N600">
        <v>2090</v>
      </c>
      <c r="O600">
        <v>5</v>
      </c>
      <c r="P600">
        <v>14675.5</v>
      </c>
      <c r="Q600">
        <v>13899.38</v>
      </c>
      <c r="R600">
        <v>776.12</v>
      </c>
      <c r="S600" t="s">
        <v>80</v>
      </c>
      <c r="T600" t="s">
        <v>50</v>
      </c>
      <c r="U600" t="s">
        <v>4097</v>
      </c>
      <c r="V600" t="s">
        <v>4098</v>
      </c>
      <c r="W600">
        <v>37</v>
      </c>
      <c r="X600" t="s">
        <v>53</v>
      </c>
      <c r="Y600">
        <v>0</v>
      </c>
    </row>
    <row r="601" spans="1:25" x14ac:dyDescent="0.35">
      <c r="A601" t="s">
        <v>4099</v>
      </c>
      <c r="B601" s="1">
        <v>45779</v>
      </c>
      <c r="C601" s="1">
        <v>45785</v>
      </c>
      <c r="D601" t="s">
        <v>1936</v>
      </c>
      <c r="E601" t="s">
        <v>4100</v>
      </c>
      <c r="F601" t="s">
        <v>28</v>
      </c>
      <c r="G601" t="s">
        <v>2677</v>
      </c>
      <c r="H601" t="s">
        <v>68</v>
      </c>
      <c r="I601" t="s">
        <v>31</v>
      </c>
      <c r="J601" t="s">
        <v>32</v>
      </c>
      <c r="K601" t="s">
        <v>207</v>
      </c>
      <c r="L601" t="s">
        <v>4101</v>
      </c>
      <c r="M601">
        <v>4</v>
      </c>
      <c r="N601">
        <v>3120</v>
      </c>
      <c r="O601">
        <v>10</v>
      </c>
      <c r="P601">
        <v>12009</v>
      </c>
      <c r="Q601">
        <v>11232.67</v>
      </c>
      <c r="R601">
        <v>776.33</v>
      </c>
      <c r="S601" t="s">
        <v>100</v>
      </c>
      <c r="T601" t="s">
        <v>50</v>
      </c>
      <c r="U601" t="s">
        <v>4102</v>
      </c>
      <c r="V601" t="s">
        <v>4103</v>
      </c>
      <c r="W601">
        <v>29</v>
      </c>
      <c r="X601" t="s">
        <v>53</v>
      </c>
      <c r="Y601">
        <v>0</v>
      </c>
    </row>
    <row r="602" spans="1:25" x14ac:dyDescent="0.35">
      <c r="A602" t="s">
        <v>4104</v>
      </c>
      <c r="B602" s="1">
        <v>45481</v>
      </c>
      <c r="C602" s="1">
        <v>45486</v>
      </c>
      <c r="D602" t="s">
        <v>2994</v>
      </c>
      <c r="E602" t="s">
        <v>4105</v>
      </c>
      <c r="F602" t="s">
        <v>95</v>
      </c>
      <c r="G602" t="s">
        <v>4106</v>
      </c>
      <c r="H602" t="s">
        <v>127</v>
      </c>
      <c r="I602" t="s">
        <v>45</v>
      </c>
      <c r="J602" t="s">
        <v>118</v>
      </c>
      <c r="K602" t="s">
        <v>927</v>
      </c>
      <c r="L602" t="s">
        <v>4107</v>
      </c>
      <c r="M602">
        <v>2</v>
      </c>
      <c r="N602">
        <v>4028</v>
      </c>
      <c r="O602">
        <v>5</v>
      </c>
      <c r="P602">
        <v>8430.2000000000007</v>
      </c>
      <c r="Q602">
        <v>7654.03</v>
      </c>
      <c r="R602">
        <v>776.17</v>
      </c>
      <c r="S602" t="s">
        <v>100</v>
      </c>
      <c r="T602" t="s">
        <v>89</v>
      </c>
      <c r="U602" t="s">
        <v>4108</v>
      </c>
      <c r="V602" t="s">
        <v>4109</v>
      </c>
      <c r="W602">
        <v>29</v>
      </c>
      <c r="X602" t="s">
        <v>53</v>
      </c>
      <c r="Y602">
        <v>0</v>
      </c>
    </row>
    <row r="603" spans="1:25" x14ac:dyDescent="0.35">
      <c r="A603" t="s">
        <v>4110</v>
      </c>
      <c r="B603" s="1">
        <v>45514</v>
      </c>
      <c r="C603" s="1">
        <v>45517</v>
      </c>
      <c r="D603" t="s">
        <v>875</v>
      </c>
      <c r="E603" t="s">
        <v>4111</v>
      </c>
      <c r="F603" t="s">
        <v>28</v>
      </c>
      <c r="G603" t="s">
        <v>4112</v>
      </c>
      <c r="H603" t="s">
        <v>59</v>
      </c>
      <c r="I603" t="s">
        <v>31</v>
      </c>
      <c r="J603" t="s">
        <v>97</v>
      </c>
      <c r="K603" t="s">
        <v>750</v>
      </c>
      <c r="L603" t="s">
        <v>4113</v>
      </c>
      <c r="M603">
        <v>2</v>
      </c>
      <c r="N603">
        <v>1567</v>
      </c>
      <c r="O603">
        <v>5</v>
      </c>
      <c r="P603">
        <v>3754.3</v>
      </c>
      <c r="Q603">
        <v>2978.05</v>
      </c>
      <c r="R603">
        <v>776.25</v>
      </c>
      <c r="S603" t="s">
        <v>49</v>
      </c>
      <c r="T603" t="s">
        <v>140</v>
      </c>
      <c r="U603" t="s">
        <v>4114</v>
      </c>
      <c r="V603" t="s">
        <v>4115</v>
      </c>
      <c r="W603">
        <v>47</v>
      </c>
      <c r="X603" t="s">
        <v>53</v>
      </c>
      <c r="Y603">
        <v>0</v>
      </c>
    </row>
    <row r="604" spans="1:25" x14ac:dyDescent="0.35">
      <c r="A604" t="s">
        <v>4116</v>
      </c>
      <c r="B604" s="1">
        <v>45269</v>
      </c>
      <c r="C604" s="1">
        <v>45272</v>
      </c>
      <c r="D604" t="s">
        <v>946</v>
      </c>
      <c r="E604" t="s">
        <v>4117</v>
      </c>
      <c r="F604" t="s">
        <v>95</v>
      </c>
      <c r="G604" t="s">
        <v>4118</v>
      </c>
      <c r="H604" t="s">
        <v>320</v>
      </c>
      <c r="I604" t="s">
        <v>137</v>
      </c>
      <c r="J604" t="s">
        <v>97</v>
      </c>
      <c r="K604" t="s">
        <v>128</v>
      </c>
      <c r="L604" t="s">
        <v>4119</v>
      </c>
      <c r="M604">
        <v>9</v>
      </c>
      <c r="N604">
        <v>2852</v>
      </c>
      <c r="O604">
        <v>5</v>
      </c>
      <c r="P604">
        <v>25161.599999999999</v>
      </c>
      <c r="Q604">
        <v>24385.34</v>
      </c>
      <c r="R604">
        <v>776.26</v>
      </c>
      <c r="S604" t="s">
        <v>49</v>
      </c>
      <c r="T604" t="s">
        <v>140</v>
      </c>
      <c r="U604" t="s">
        <v>4120</v>
      </c>
      <c r="V604" t="s">
        <v>4121</v>
      </c>
      <c r="W604">
        <v>11</v>
      </c>
      <c r="X604" t="s">
        <v>53</v>
      </c>
      <c r="Y604">
        <v>0</v>
      </c>
    </row>
    <row r="605" spans="1:25" x14ac:dyDescent="0.35">
      <c r="A605" t="s">
        <v>4122</v>
      </c>
      <c r="B605" s="1">
        <v>45407</v>
      </c>
      <c r="C605" s="1">
        <v>45412</v>
      </c>
      <c r="D605" t="s">
        <v>3791</v>
      </c>
      <c r="E605" t="s">
        <v>4123</v>
      </c>
      <c r="F605" t="s">
        <v>95</v>
      </c>
      <c r="G605" t="s">
        <v>4124</v>
      </c>
      <c r="H605" t="s">
        <v>198</v>
      </c>
      <c r="I605" t="s">
        <v>31</v>
      </c>
      <c r="J605" t="s">
        <v>97</v>
      </c>
      <c r="K605" t="s">
        <v>173</v>
      </c>
      <c r="L605" t="s">
        <v>4125</v>
      </c>
      <c r="M605">
        <v>6</v>
      </c>
      <c r="N605">
        <v>2231</v>
      </c>
      <c r="O605">
        <v>15</v>
      </c>
      <c r="P605">
        <v>12155.1</v>
      </c>
      <c r="Q605">
        <v>11378.73</v>
      </c>
      <c r="R605">
        <v>776.37</v>
      </c>
      <c r="S605" t="s">
        <v>35</v>
      </c>
      <c r="T605" t="s">
        <v>140</v>
      </c>
      <c r="U605" t="s">
        <v>4126</v>
      </c>
      <c r="V605" t="s">
        <v>4127</v>
      </c>
      <c r="W605">
        <v>22</v>
      </c>
      <c r="X605" t="s">
        <v>53</v>
      </c>
      <c r="Y605">
        <v>0</v>
      </c>
    </row>
    <row r="606" spans="1:25" x14ac:dyDescent="0.35">
      <c r="A606" t="s">
        <v>4128</v>
      </c>
      <c r="B606" s="1">
        <v>45468</v>
      </c>
      <c r="C606" s="1">
        <v>45472</v>
      </c>
      <c r="D606" t="s">
        <v>4129</v>
      </c>
      <c r="E606" t="s">
        <v>4130</v>
      </c>
      <c r="F606" t="s">
        <v>95</v>
      </c>
      <c r="G606" t="s">
        <v>4131</v>
      </c>
      <c r="H606" t="s">
        <v>30</v>
      </c>
      <c r="I606" t="s">
        <v>31</v>
      </c>
      <c r="J606" t="s">
        <v>32</v>
      </c>
      <c r="K606" t="s">
        <v>87</v>
      </c>
      <c r="L606" t="s">
        <v>4132</v>
      </c>
      <c r="M606">
        <v>5</v>
      </c>
      <c r="N606">
        <v>4512</v>
      </c>
      <c r="O606">
        <v>15</v>
      </c>
      <c r="P606">
        <v>19953</v>
      </c>
      <c r="Q606">
        <v>19176.63</v>
      </c>
      <c r="R606">
        <v>776.37</v>
      </c>
      <c r="S606" t="s">
        <v>35</v>
      </c>
      <c r="T606" t="s">
        <v>89</v>
      </c>
      <c r="U606" t="s">
        <v>4133</v>
      </c>
      <c r="V606" t="s">
        <v>4134</v>
      </c>
      <c r="W606">
        <v>9</v>
      </c>
      <c r="X606" t="s">
        <v>39</v>
      </c>
      <c r="Y606">
        <v>40</v>
      </c>
    </row>
    <row r="607" spans="1:25" x14ac:dyDescent="0.35">
      <c r="A607" t="s">
        <v>4135</v>
      </c>
      <c r="B607" s="1">
        <v>45955</v>
      </c>
      <c r="C607" s="1">
        <v>45956</v>
      </c>
      <c r="D607" t="s">
        <v>3696</v>
      </c>
      <c r="E607" t="s">
        <v>4136</v>
      </c>
      <c r="F607" t="s">
        <v>28</v>
      </c>
      <c r="G607" t="s">
        <v>4137</v>
      </c>
      <c r="H607" t="s">
        <v>364</v>
      </c>
      <c r="I607" t="s">
        <v>137</v>
      </c>
      <c r="J607" t="s">
        <v>32</v>
      </c>
      <c r="K607" t="s">
        <v>1275</v>
      </c>
      <c r="L607" t="s">
        <v>4138</v>
      </c>
      <c r="M607">
        <v>5</v>
      </c>
      <c r="N607">
        <v>1950</v>
      </c>
      <c r="O607">
        <v>5</v>
      </c>
      <c r="P607">
        <v>10039.5</v>
      </c>
      <c r="Q607">
        <v>9263.2900000000009</v>
      </c>
      <c r="R607">
        <v>776.21</v>
      </c>
      <c r="S607" t="s">
        <v>35</v>
      </c>
      <c r="T607" t="s">
        <v>89</v>
      </c>
      <c r="U607" t="s">
        <v>4139</v>
      </c>
      <c r="V607" t="s">
        <v>4140</v>
      </c>
      <c r="W607">
        <v>7</v>
      </c>
      <c r="X607" t="s">
        <v>39</v>
      </c>
      <c r="Y607">
        <v>24</v>
      </c>
    </row>
    <row r="608" spans="1:25" x14ac:dyDescent="0.35">
      <c r="A608" t="s">
        <v>4141</v>
      </c>
      <c r="B608" s="1">
        <v>45708</v>
      </c>
      <c r="C608" s="1">
        <v>45713</v>
      </c>
      <c r="D608" t="s">
        <v>4142</v>
      </c>
      <c r="E608" t="s">
        <v>4143</v>
      </c>
      <c r="F608" t="s">
        <v>57</v>
      </c>
      <c r="G608" t="s">
        <v>4144</v>
      </c>
      <c r="H608" t="s">
        <v>117</v>
      </c>
      <c r="I608" t="s">
        <v>108</v>
      </c>
      <c r="J608" t="s">
        <v>46</v>
      </c>
      <c r="K608" t="s">
        <v>482</v>
      </c>
      <c r="L608" t="s">
        <v>4145</v>
      </c>
      <c r="M608">
        <v>6</v>
      </c>
      <c r="N608">
        <v>1113</v>
      </c>
      <c r="O608">
        <v>10</v>
      </c>
      <c r="P608">
        <v>6787.2</v>
      </c>
      <c r="Q608">
        <v>6010.94</v>
      </c>
      <c r="R608">
        <v>776.26</v>
      </c>
      <c r="S608" t="s">
        <v>35</v>
      </c>
      <c r="T608" t="s">
        <v>89</v>
      </c>
      <c r="U608" t="s">
        <v>4146</v>
      </c>
      <c r="V608" t="s">
        <v>4147</v>
      </c>
      <c r="W608">
        <v>2</v>
      </c>
      <c r="X608" t="s">
        <v>39</v>
      </c>
      <c r="Y608">
        <v>49</v>
      </c>
    </row>
    <row r="609" spans="1:25" x14ac:dyDescent="0.35">
      <c r="A609" t="s">
        <v>4148</v>
      </c>
      <c r="B609" s="1">
        <v>45826</v>
      </c>
      <c r="C609" s="1">
        <v>45831</v>
      </c>
      <c r="D609" t="s">
        <v>1100</v>
      </c>
      <c r="E609" t="s">
        <v>4149</v>
      </c>
      <c r="F609" t="s">
        <v>28</v>
      </c>
      <c r="G609" t="s">
        <v>4150</v>
      </c>
      <c r="H609" t="s">
        <v>230</v>
      </c>
      <c r="I609" t="s">
        <v>137</v>
      </c>
      <c r="J609" t="s">
        <v>118</v>
      </c>
      <c r="K609" t="s">
        <v>714</v>
      </c>
      <c r="L609" t="s">
        <v>4151</v>
      </c>
      <c r="M609">
        <v>4</v>
      </c>
      <c r="N609">
        <v>268</v>
      </c>
      <c r="O609">
        <v>0</v>
      </c>
      <c r="P609">
        <v>1849</v>
      </c>
      <c r="Q609">
        <v>1072.74</v>
      </c>
      <c r="R609">
        <v>776.26</v>
      </c>
      <c r="S609" t="s">
        <v>35</v>
      </c>
      <c r="T609" t="s">
        <v>36</v>
      </c>
      <c r="U609" t="s">
        <v>4152</v>
      </c>
      <c r="V609" t="s">
        <v>4153</v>
      </c>
      <c r="W609">
        <v>14</v>
      </c>
      <c r="X609" t="s">
        <v>53</v>
      </c>
      <c r="Y609">
        <v>0</v>
      </c>
    </row>
    <row r="610" spans="1:25" x14ac:dyDescent="0.35">
      <c r="A610" t="s">
        <v>4154</v>
      </c>
      <c r="B610" s="1">
        <v>45684</v>
      </c>
      <c r="C610" s="1">
        <v>45688</v>
      </c>
      <c r="D610" t="s">
        <v>2481</v>
      </c>
      <c r="E610" t="s">
        <v>4155</v>
      </c>
      <c r="F610" t="s">
        <v>57</v>
      </c>
      <c r="G610" t="s">
        <v>4156</v>
      </c>
      <c r="H610" t="s">
        <v>59</v>
      </c>
      <c r="I610" t="s">
        <v>31</v>
      </c>
      <c r="J610" t="s">
        <v>32</v>
      </c>
      <c r="K610" t="s">
        <v>482</v>
      </c>
      <c r="L610" t="s">
        <v>4157</v>
      </c>
      <c r="M610">
        <v>8</v>
      </c>
      <c r="N610">
        <v>768</v>
      </c>
      <c r="O610">
        <v>5</v>
      </c>
      <c r="P610">
        <v>6613.8</v>
      </c>
      <c r="Q610">
        <v>5837.54</v>
      </c>
      <c r="R610">
        <v>776.26</v>
      </c>
      <c r="S610" t="s">
        <v>35</v>
      </c>
      <c r="T610" t="s">
        <v>89</v>
      </c>
      <c r="U610" t="s">
        <v>4158</v>
      </c>
      <c r="V610" t="s">
        <v>4159</v>
      </c>
      <c r="W610">
        <v>26</v>
      </c>
      <c r="X610" t="s">
        <v>53</v>
      </c>
      <c r="Y610">
        <v>0</v>
      </c>
    </row>
    <row r="611" spans="1:25" x14ac:dyDescent="0.35">
      <c r="A611" t="s">
        <v>4160</v>
      </c>
      <c r="B611" s="1">
        <v>45474</v>
      </c>
      <c r="C611" s="1">
        <v>45480</v>
      </c>
      <c r="D611" t="s">
        <v>1971</v>
      </c>
      <c r="E611" t="s">
        <v>4161</v>
      </c>
      <c r="F611" t="s">
        <v>28</v>
      </c>
      <c r="G611" t="s">
        <v>4162</v>
      </c>
      <c r="H611" t="s">
        <v>334</v>
      </c>
      <c r="I611" t="s">
        <v>108</v>
      </c>
      <c r="J611" t="s">
        <v>32</v>
      </c>
      <c r="K611" t="s">
        <v>466</v>
      </c>
      <c r="L611" t="s">
        <v>4163</v>
      </c>
      <c r="M611">
        <v>2</v>
      </c>
      <c r="N611">
        <v>1658</v>
      </c>
      <c r="O611">
        <v>20</v>
      </c>
      <c r="P611">
        <v>3429.8</v>
      </c>
      <c r="Q611">
        <v>2653.42</v>
      </c>
      <c r="R611">
        <v>776.38</v>
      </c>
      <c r="S611" t="s">
        <v>80</v>
      </c>
      <c r="T611" t="s">
        <v>50</v>
      </c>
      <c r="U611" t="s">
        <v>4164</v>
      </c>
      <c r="V611" t="s">
        <v>4165</v>
      </c>
      <c r="W611">
        <v>38</v>
      </c>
      <c r="X611" t="s">
        <v>53</v>
      </c>
      <c r="Y611">
        <v>0</v>
      </c>
    </row>
    <row r="612" spans="1:25" x14ac:dyDescent="0.35">
      <c r="A612" t="s">
        <v>4166</v>
      </c>
      <c r="B612" s="1">
        <v>45945</v>
      </c>
      <c r="C612" s="1">
        <v>45948</v>
      </c>
      <c r="D612" t="s">
        <v>2442</v>
      </c>
      <c r="E612" t="s">
        <v>4167</v>
      </c>
      <c r="F612" t="s">
        <v>28</v>
      </c>
      <c r="G612" t="s">
        <v>4168</v>
      </c>
      <c r="H612" t="s">
        <v>334</v>
      </c>
      <c r="I612" t="s">
        <v>108</v>
      </c>
      <c r="J612" t="s">
        <v>97</v>
      </c>
      <c r="K612" t="s">
        <v>239</v>
      </c>
      <c r="L612" t="s">
        <v>4169</v>
      </c>
      <c r="M612">
        <v>9</v>
      </c>
      <c r="N612">
        <v>448</v>
      </c>
      <c r="O612">
        <v>10</v>
      </c>
      <c r="P612">
        <v>4405.8</v>
      </c>
      <c r="Q612">
        <v>3629.69</v>
      </c>
      <c r="R612">
        <v>776.11</v>
      </c>
      <c r="S612" t="s">
        <v>100</v>
      </c>
      <c r="T612" t="s">
        <v>50</v>
      </c>
      <c r="U612" t="s">
        <v>4170</v>
      </c>
      <c r="V612" t="s">
        <v>4171</v>
      </c>
      <c r="W612">
        <v>15</v>
      </c>
      <c r="X612" t="s">
        <v>53</v>
      </c>
      <c r="Y612">
        <v>0</v>
      </c>
    </row>
    <row r="613" spans="1:25" x14ac:dyDescent="0.35">
      <c r="A613" t="s">
        <v>4172</v>
      </c>
      <c r="B613" s="1">
        <v>45643</v>
      </c>
      <c r="C613" s="1">
        <v>45646</v>
      </c>
      <c r="D613" t="s">
        <v>681</v>
      </c>
      <c r="E613" t="s">
        <v>4173</v>
      </c>
      <c r="F613" t="s">
        <v>57</v>
      </c>
      <c r="G613" t="s">
        <v>4174</v>
      </c>
      <c r="H613" t="s">
        <v>59</v>
      </c>
      <c r="I613" t="s">
        <v>31</v>
      </c>
      <c r="J613" t="s">
        <v>118</v>
      </c>
      <c r="K613" t="s">
        <v>474</v>
      </c>
      <c r="L613" t="s">
        <v>4175</v>
      </c>
      <c r="M613">
        <v>4</v>
      </c>
      <c r="N613">
        <v>2586</v>
      </c>
      <c r="O613">
        <v>5</v>
      </c>
      <c r="P613">
        <v>10603.8</v>
      </c>
      <c r="Q613">
        <v>9827.66</v>
      </c>
      <c r="R613">
        <v>776.14</v>
      </c>
      <c r="S613" t="s">
        <v>80</v>
      </c>
      <c r="T613" t="s">
        <v>50</v>
      </c>
      <c r="U613" t="s">
        <v>4176</v>
      </c>
      <c r="V613" t="s">
        <v>4177</v>
      </c>
      <c r="W613">
        <v>18</v>
      </c>
      <c r="X613" t="s">
        <v>53</v>
      </c>
      <c r="Y613">
        <v>0</v>
      </c>
    </row>
    <row r="614" spans="1:25" x14ac:dyDescent="0.35">
      <c r="A614" t="s">
        <v>4178</v>
      </c>
      <c r="B614" s="1">
        <v>45546</v>
      </c>
      <c r="C614" s="1">
        <v>45551</v>
      </c>
      <c r="D614" t="s">
        <v>1725</v>
      </c>
      <c r="E614" t="s">
        <v>4179</v>
      </c>
      <c r="F614" t="s">
        <v>57</v>
      </c>
      <c r="G614" t="s">
        <v>4180</v>
      </c>
      <c r="H614" t="s">
        <v>189</v>
      </c>
      <c r="I614" t="s">
        <v>108</v>
      </c>
      <c r="J614" t="s">
        <v>32</v>
      </c>
      <c r="K614" t="s">
        <v>415</v>
      </c>
      <c r="L614" t="s">
        <v>4181</v>
      </c>
      <c r="M614">
        <v>3</v>
      </c>
      <c r="N614">
        <v>3635</v>
      </c>
      <c r="O614">
        <v>15</v>
      </c>
      <c r="P614">
        <v>10046.25</v>
      </c>
      <c r="Q614">
        <v>9270.14</v>
      </c>
      <c r="R614">
        <v>776.11</v>
      </c>
      <c r="S614" t="s">
        <v>35</v>
      </c>
      <c r="T614" t="s">
        <v>50</v>
      </c>
      <c r="U614" t="s">
        <v>4182</v>
      </c>
      <c r="V614" t="s">
        <v>4183</v>
      </c>
      <c r="W614">
        <v>5</v>
      </c>
      <c r="X614" t="s">
        <v>39</v>
      </c>
      <c r="Y614">
        <v>21</v>
      </c>
    </row>
    <row r="615" spans="1:25" x14ac:dyDescent="0.35">
      <c r="A615" t="s">
        <v>4184</v>
      </c>
      <c r="B615" s="1">
        <v>45882</v>
      </c>
      <c r="C615" s="1">
        <v>45884</v>
      </c>
      <c r="D615" t="s">
        <v>3313</v>
      </c>
      <c r="E615" t="s">
        <v>4185</v>
      </c>
      <c r="F615" t="s">
        <v>57</v>
      </c>
      <c r="G615" t="s">
        <v>4186</v>
      </c>
      <c r="H615" t="s">
        <v>206</v>
      </c>
      <c r="I615" t="s">
        <v>31</v>
      </c>
      <c r="J615" t="s">
        <v>118</v>
      </c>
      <c r="K615" t="s">
        <v>662</v>
      </c>
      <c r="L615" t="s">
        <v>4187</v>
      </c>
      <c r="M615">
        <v>5</v>
      </c>
      <c r="N615">
        <v>1230</v>
      </c>
      <c r="O615">
        <v>10</v>
      </c>
      <c r="P615">
        <v>6312</v>
      </c>
      <c r="Q615">
        <v>5535.9</v>
      </c>
      <c r="R615">
        <v>776.1</v>
      </c>
      <c r="S615" t="s">
        <v>80</v>
      </c>
      <c r="T615" t="s">
        <v>89</v>
      </c>
      <c r="U615" t="s">
        <v>4188</v>
      </c>
      <c r="V615" t="s">
        <v>4189</v>
      </c>
      <c r="W615">
        <v>3</v>
      </c>
      <c r="X615" t="s">
        <v>39</v>
      </c>
      <c r="Y615">
        <v>38</v>
      </c>
    </row>
    <row r="616" spans="1:25" x14ac:dyDescent="0.35">
      <c r="A616" t="s">
        <v>4190</v>
      </c>
      <c r="B616" s="1">
        <v>45392</v>
      </c>
      <c r="C616" s="1">
        <v>45397</v>
      </c>
      <c r="D616" t="s">
        <v>144</v>
      </c>
      <c r="E616" t="s">
        <v>4191</v>
      </c>
      <c r="F616" t="s">
        <v>95</v>
      </c>
      <c r="G616" t="s">
        <v>4192</v>
      </c>
      <c r="H616" t="s">
        <v>154</v>
      </c>
      <c r="I616" t="s">
        <v>137</v>
      </c>
      <c r="J616" t="s">
        <v>118</v>
      </c>
      <c r="K616" t="s">
        <v>138</v>
      </c>
      <c r="L616" t="s">
        <v>4193</v>
      </c>
      <c r="M616">
        <v>3</v>
      </c>
      <c r="N616">
        <v>261</v>
      </c>
      <c r="O616">
        <v>0</v>
      </c>
      <c r="P616">
        <v>1560</v>
      </c>
      <c r="Q616">
        <v>783.79</v>
      </c>
      <c r="R616">
        <v>776.21</v>
      </c>
      <c r="S616" t="s">
        <v>49</v>
      </c>
      <c r="T616" t="s">
        <v>140</v>
      </c>
      <c r="U616" t="s">
        <v>4194</v>
      </c>
      <c r="V616" t="s">
        <v>4195</v>
      </c>
      <c r="W616">
        <v>29</v>
      </c>
      <c r="X616" t="s">
        <v>53</v>
      </c>
      <c r="Y616">
        <v>0</v>
      </c>
    </row>
    <row r="617" spans="1:25" x14ac:dyDescent="0.35">
      <c r="A617" t="s">
        <v>4196</v>
      </c>
      <c r="B617" s="1">
        <v>45347</v>
      </c>
      <c r="C617" s="1">
        <v>45350</v>
      </c>
      <c r="D617" t="s">
        <v>4197</v>
      </c>
      <c r="E617" t="s">
        <v>4198</v>
      </c>
      <c r="F617" t="s">
        <v>95</v>
      </c>
      <c r="G617" t="s">
        <v>4199</v>
      </c>
      <c r="H617" t="s">
        <v>30</v>
      </c>
      <c r="I617" t="s">
        <v>31</v>
      </c>
      <c r="J617" t="s">
        <v>118</v>
      </c>
      <c r="K617" t="s">
        <v>78</v>
      </c>
      <c r="L617" t="s">
        <v>4200</v>
      </c>
      <c r="M617">
        <v>6</v>
      </c>
      <c r="N617">
        <v>3982</v>
      </c>
      <c r="O617">
        <v>5</v>
      </c>
      <c r="P617">
        <v>23474.400000000001</v>
      </c>
      <c r="Q617">
        <v>22698.16</v>
      </c>
      <c r="R617">
        <v>776.24</v>
      </c>
      <c r="S617" t="s">
        <v>100</v>
      </c>
      <c r="T617" t="s">
        <v>50</v>
      </c>
      <c r="U617" t="s">
        <v>4201</v>
      </c>
      <c r="V617" t="s">
        <v>4202</v>
      </c>
      <c r="W617">
        <v>9</v>
      </c>
      <c r="X617" t="s">
        <v>39</v>
      </c>
      <c r="Y617">
        <v>38</v>
      </c>
    </row>
    <row r="618" spans="1:25" x14ac:dyDescent="0.35">
      <c r="A618" t="s">
        <v>4203</v>
      </c>
      <c r="B618" s="1">
        <v>45685</v>
      </c>
      <c r="C618" s="1">
        <v>45688</v>
      </c>
      <c r="D618" t="s">
        <v>4204</v>
      </c>
      <c r="E618" t="s">
        <v>4205</v>
      </c>
      <c r="F618" t="s">
        <v>95</v>
      </c>
      <c r="G618" t="s">
        <v>4206</v>
      </c>
      <c r="H618" t="s">
        <v>163</v>
      </c>
      <c r="I618" t="s">
        <v>108</v>
      </c>
      <c r="J618" t="s">
        <v>118</v>
      </c>
      <c r="K618" t="s">
        <v>750</v>
      </c>
      <c r="L618" t="s">
        <v>4207</v>
      </c>
      <c r="M618">
        <v>5</v>
      </c>
      <c r="N618">
        <v>3973</v>
      </c>
      <c r="O618">
        <v>10</v>
      </c>
      <c r="P618">
        <v>18655.5</v>
      </c>
      <c r="Q618">
        <v>17879.39</v>
      </c>
      <c r="R618">
        <v>776.11</v>
      </c>
      <c r="S618" t="s">
        <v>100</v>
      </c>
      <c r="T618" t="s">
        <v>89</v>
      </c>
      <c r="U618" t="s">
        <v>4208</v>
      </c>
      <c r="V618" t="s">
        <v>4209</v>
      </c>
      <c r="W618">
        <v>44</v>
      </c>
      <c r="X618" t="s">
        <v>53</v>
      </c>
      <c r="Y618">
        <v>0</v>
      </c>
    </row>
    <row r="619" spans="1:25" x14ac:dyDescent="0.35">
      <c r="A619" t="s">
        <v>4210</v>
      </c>
      <c r="B619" s="1">
        <v>45492</v>
      </c>
      <c r="C619" s="1">
        <v>45495</v>
      </c>
      <c r="D619" t="s">
        <v>4211</v>
      </c>
      <c r="E619" t="s">
        <v>4212</v>
      </c>
      <c r="F619" t="s">
        <v>28</v>
      </c>
      <c r="G619" t="s">
        <v>4213</v>
      </c>
      <c r="H619" t="s">
        <v>334</v>
      </c>
      <c r="I619" t="s">
        <v>108</v>
      </c>
      <c r="J619" t="s">
        <v>46</v>
      </c>
      <c r="K619" t="s">
        <v>231</v>
      </c>
      <c r="L619" t="s">
        <v>4214</v>
      </c>
      <c r="M619">
        <v>7</v>
      </c>
      <c r="N619">
        <v>1773</v>
      </c>
      <c r="O619">
        <v>20</v>
      </c>
      <c r="P619">
        <v>10705.8</v>
      </c>
      <c r="Q619">
        <v>9929.43</v>
      </c>
      <c r="R619">
        <v>776.37</v>
      </c>
      <c r="S619" t="s">
        <v>35</v>
      </c>
      <c r="T619" t="s">
        <v>50</v>
      </c>
      <c r="U619" t="s">
        <v>4215</v>
      </c>
      <c r="V619" t="s">
        <v>4216</v>
      </c>
      <c r="W619">
        <v>22</v>
      </c>
      <c r="X619" t="s">
        <v>53</v>
      </c>
      <c r="Y619">
        <v>0</v>
      </c>
    </row>
    <row r="620" spans="1:25" x14ac:dyDescent="0.35">
      <c r="A620" t="s">
        <v>4217</v>
      </c>
      <c r="B620" s="1">
        <v>45907</v>
      </c>
      <c r="C620" s="1">
        <v>45913</v>
      </c>
      <c r="D620" t="s">
        <v>3164</v>
      </c>
      <c r="E620" t="s">
        <v>4218</v>
      </c>
      <c r="F620" t="s">
        <v>95</v>
      </c>
      <c r="G620" t="s">
        <v>4219</v>
      </c>
      <c r="H620" t="s">
        <v>127</v>
      </c>
      <c r="I620" t="s">
        <v>45</v>
      </c>
      <c r="J620" t="s">
        <v>118</v>
      </c>
      <c r="K620" t="s">
        <v>598</v>
      </c>
      <c r="L620" t="s">
        <v>4220</v>
      </c>
      <c r="M620">
        <v>9</v>
      </c>
      <c r="N620">
        <v>913</v>
      </c>
      <c r="O620">
        <v>20</v>
      </c>
      <c r="P620">
        <v>7350.6</v>
      </c>
      <c r="Q620">
        <v>6574.37</v>
      </c>
      <c r="R620">
        <v>776.23</v>
      </c>
      <c r="S620" t="s">
        <v>35</v>
      </c>
      <c r="T620" t="s">
        <v>36</v>
      </c>
      <c r="U620" t="s">
        <v>4221</v>
      </c>
      <c r="V620" t="s">
        <v>4222</v>
      </c>
      <c r="W620">
        <v>8</v>
      </c>
      <c r="X620" t="s">
        <v>39</v>
      </c>
      <c r="Y620">
        <v>21</v>
      </c>
    </row>
    <row r="621" spans="1:25" x14ac:dyDescent="0.35">
      <c r="A621" t="s">
        <v>4223</v>
      </c>
      <c r="B621" s="1">
        <v>45887</v>
      </c>
      <c r="C621" s="1">
        <v>45892</v>
      </c>
      <c r="D621" t="s">
        <v>4224</v>
      </c>
      <c r="E621" t="s">
        <v>4225</v>
      </c>
      <c r="F621" t="s">
        <v>28</v>
      </c>
      <c r="G621" t="s">
        <v>4226</v>
      </c>
      <c r="H621" t="s">
        <v>320</v>
      </c>
      <c r="I621" t="s">
        <v>137</v>
      </c>
      <c r="J621" t="s">
        <v>46</v>
      </c>
      <c r="K621" t="s">
        <v>98</v>
      </c>
      <c r="L621" t="s">
        <v>4227</v>
      </c>
      <c r="M621">
        <v>9</v>
      </c>
      <c r="N621">
        <v>1926</v>
      </c>
      <c r="O621">
        <v>0</v>
      </c>
      <c r="P621">
        <v>18111</v>
      </c>
      <c r="Q621">
        <v>17334.66</v>
      </c>
      <c r="R621">
        <v>776.34</v>
      </c>
      <c r="S621" t="s">
        <v>35</v>
      </c>
      <c r="T621" t="s">
        <v>50</v>
      </c>
      <c r="U621" t="s">
        <v>4228</v>
      </c>
      <c r="V621" t="s">
        <v>4229</v>
      </c>
      <c r="W621">
        <v>49</v>
      </c>
      <c r="X621" t="s">
        <v>53</v>
      </c>
      <c r="Y621">
        <v>0</v>
      </c>
    </row>
    <row r="622" spans="1:25" x14ac:dyDescent="0.35">
      <c r="A622" t="s">
        <v>4230</v>
      </c>
      <c r="B622" s="1">
        <v>45297</v>
      </c>
      <c r="C622" s="1">
        <v>45298</v>
      </c>
      <c r="D622" t="s">
        <v>1582</v>
      </c>
      <c r="E622" t="s">
        <v>4231</v>
      </c>
      <c r="F622" t="s">
        <v>95</v>
      </c>
      <c r="G622" t="s">
        <v>4232</v>
      </c>
      <c r="H622" t="s">
        <v>172</v>
      </c>
      <c r="I622" t="s">
        <v>45</v>
      </c>
      <c r="J622" t="s">
        <v>97</v>
      </c>
      <c r="K622" t="s">
        <v>78</v>
      </c>
      <c r="L622" t="s">
        <v>4233</v>
      </c>
      <c r="M622">
        <v>6</v>
      </c>
      <c r="N622">
        <v>538</v>
      </c>
      <c r="O622">
        <v>10</v>
      </c>
      <c r="P622">
        <v>3682.2</v>
      </c>
      <c r="Q622">
        <v>2905.8</v>
      </c>
      <c r="R622">
        <v>776.4</v>
      </c>
      <c r="S622" t="s">
        <v>49</v>
      </c>
      <c r="T622" t="s">
        <v>50</v>
      </c>
      <c r="U622" t="s">
        <v>4234</v>
      </c>
      <c r="V622" t="s">
        <v>4235</v>
      </c>
      <c r="W622">
        <v>48</v>
      </c>
      <c r="X622" t="s">
        <v>53</v>
      </c>
      <c r="Y622">
        <v>0</v>
      </c>
    </row>
    <row r="623" spans="1:25" x14ac:dyDescent="0.35">
      <c r="A623" t="s">
        <v>4236</v>
      </c>
      <c r="B623" s="1">
        <v>45433</v>
      </c>
      <c r="C623" s="1">
        <v>45437</v>
      </c>
      <c r="D623" t="s">
        <v>989</v>
      </c>
      <c r="E623" t="s">
        <v>4237</v>
      </c>
      <c r="F623" t="s">
        <v>57</v>
      </c>
      <c r="G623" t="s">
        <v>4238</v>
      </c>
      <c r="H623" t="s">
        <v>364</v>
      </c>
      <c r="I623" t="s">
        <v>137</v>
      </c>
      <c r="J623" t="s">
        <v>46</v>
      </c>
      <c r="K623" t="s">
        <v>312</v>
      </c>
      <c r="L623" t="s">
        <v>4239</v>
      </c>
      <c r="M623">
        <v>1</v>
      </c>
      <c r="N623">
        <v>4363</v>
      </c>
      <c r="O623">
        <v>15</v>
      </c>
      <c r="P623">
        <v>4485.55</v>
      </c>
      <c r="Q623">
        <v>3709.43</v>
      </c>
      <c r="R623">
        <v>776.12</v>
      </c>
      <c r="S623" t="s">
        <v>35</v>
      </c>
      <c r="T623" t="s">
        <v>140</v>
      </c>
      <c r="U623" t="s">
        <v>4240</v>
      </c>
      <c r="V623" t="s">
        <v>4241</v>
      </c>
      <c r="W623">
        <v>24</v>
      </c>
      <c r="X623" t="s">
        <v>53</v>
      </c>
      <c r="Y623">
        <v>0</v>
      </c>
    </row>
    <row r="624" spans="1:25" x14ac:dyDescent="0.35">
      <c r="A624" t="s">
        <v>4242</v>
      </c>
      <c r="B624" s="1">
        <v>45707</v>
      </c>
      <c r="C624" s="1">
        <v>45710</v>
      </c>
      <c r="D624" t="s">
        <v>1971</v>
      </c>
      <c r="E624" t="s">
        <v>4243</v>
      </c>
      <c r="F624" t="s">
        <v>57</v>
      </c>
      <c r="G624" t="s">
        <v>3575</v>
      </c>
      <c r="H624" t="s">
        <v>44</v>
      </c>
      <c r="I624" t="s">
        <v>45</v>
      </c>
      <c r="J624" t="s">
        <v>46</v>
      </c>
      <c r="K624" t="s">
        <v>173</v>
      </c>
      <c r="L624" t="s">
        <v>4244</v>
      </c>
      <c r="M624">
        <v>3</v>
      </c>
      <c r="N624">
        <v>1639</v>
      </c>
      <c r="O624">
        <v>0</v>
      </c>
      <c r="P624">
        <v>5694</v>
      </c>
      <c r="Q624">
        <v>4917.71</v>
      </c>
      <c r="R624">
        <v>776.29</v>
      </c>
      <c r="S624" t="s">
        <v>80</v>
      </c>
      <c r="T624" t="s">
        <v>36</v>
      </c>
      <c r="U624" t="s">
        <v>4245</v>
      </c>
      <c r="V624" t="s">
        <v>4246</v>
      </c>
      <c r="W624">
        <v>20</v>
      </c>
      <c r="X624" t="s">
        <v>53</v>
      </c>
      <c r="Y624">
        <v>0</v>
      </c>
    </row>
    <row r="625" spans="1:25" x14ac:dyDescent="0.35">
      <c r="A625" t="s">
        <v>4247</v>
      </c>
      <c r="B625" s="1">
        <v>45408</v>
      </c>
      <c r="C625" s="1">
        <v>45409</v>
      </c>
      <c r="D625" t="s">
        <v>1502</v>
      </c>
      <c r="E625" t="s">
        <v>4248</v>
      </c>
      <c r="F625" t="s">
        <v>57</v>
      </c>
      <c r="G625" t="s">
        <v>4249</v>
      </c>
      <c r="H625" t="s">
        <v>107</v>
      </c>
      <c r="I625" t="s">
        <v>108</v>
      </c>
      <c r="J625" t="s">
        <v>32</v>
      </c>
      <c r="K625" t="s">
        <v>239</v>
      </c>
      <c r="L625" t="s">
        <v>4250</v>
      </c>
      <c r="M625">
        <v>9</v>
      </c>
      <c r="N625">
        <v>2295</v>
      </c>
      <c r="O625">
        <v>0</v>
      </c>
      <c r="P625">
        <v>21432</v>
      </c>
      <c r="Q625">
        <v>20655.84</v>
      </c>
      <c r="R625">
        <v>776.16</v>
      </c>
      <c r="S625" t="s">
        <v>80</v>
      </c>
      <c r="T625" t="s">
        <v>140</v>
      </c>
      <c r="U625" t="s">
        <v>4251</v>
      </c>
      <c r="V625" t="s">
        <v>4252</v>
      </c>
      <c r="W625">
        <v>19</v>
      </c>
      <c r="X625" t="s">
        <v>53</v>
      </c>
      <c r="Y625">
        <v>0</v>
      </c>
    </row>
    <row r="626" spans="1:25" x14ac:dyDescent="0.35">
      <c r="A626" t="s">
        <v>4253</v>
      </c>
      <c r="B626" s="1">
        <v>45283</v>
      </c>
      <c r="C626" s="1">
        <v>45290</v>
      </c>
      <c r="D626" t="s">
        <v>244</v>
      </c>
      <c r="E626" t="s">
        <v>4254</v>
      </c>
      <c r="F626" t="s">
        <v>28</v>
      </c>
      <c r="G626" t="s">
        <v>4255</v>
      </c>
      <c r="H626" t="s">
        <v>198</v>
      </c>
      <c r="I626" t="s">
        <v>31</v>
      </c>
      <c r="J626" t="s">
        <v>118</v>
      </c>
      <c r="K626" t="s">
        <v>885</v>
      </c>
      <c r="L626" t="s">
        <v>4256</v>
      </c>
      <c r="M626">
        <v>6</v>
      </c>
      <c r="N626">
        <v>3730</v>
      </c>
      <c r="O626">
        <v>0</v>
      </c>
      <c r="P626">
        <v>23157</v>
      </c>
      <c r="Q626">
        <v>22380.86</v>
      </c>
      <c r="R626">
        <v>776.14</v>
      </c>
      <c r="S626" t="s">
        <v>49</v>
      </c>
      <c r="T626" t="s">
        <v>36</v>
      </c>
      <c r="U626" t="s">
        <v>4257</v>
      </c>
      <c r="V626" t="s">
        <v>4258</v>
      </c>
      <c r="W626">
        <v>35</v>
      </c>
      <c r="X626" t="s">
        <v>53</v>
      </c>
      <c r="Y626">
        <v>0</v>
      </c>
    </row>
    <row r="627" spans="1:25" x14ac:dyDescent="0.35">
      <c r="A627" t="s">
        <v>4259</v>
      </c>
      <c r="B627" s="1">
        <v>45678</v>
      </c>
      <c r="C627" s="1">
        <v>45684</v>
      </c>
      <c r="D627" t="s">
        <v>4260</v>
      </c>
      <c r="E627" t="s">
        <v>4261</v>
      </c>
      <c r="F627" t="s">
        <v>57</v>
      </c>
      <c r="G627" t="s">
        <v>4262</v>
      </c>
      <c r="H627" t="s">
        <v>334</v>
      </c>
      <c r="I627" t="s">
        <v>108</v>
      </c>
      <c r="J627" t="s">
        <v>118</v>
      </c>
      <c r="K627" t="s">
        <v>128</v>
      </c>
      <c r="L627" t="s">
        <v>4263</v>
      </c>
      <c r="M627">
        <v>8</v>
      </c>
      <c r="N627">
        <v>585</v>
      </c>
      <c r="O627">
        <v>0</v>
      </c>
      <c r="P627">
        <v>5457</v>
      </c>
      <c r="Q627">
        <v>4680.6400000000003</v>
      </c>
      <c r="R627">
        <v>776.36</v>
      </c>
      <c r="S627" t="s">
        <v>100</v>
      </c>
      <c r="T627" t="s">
        <v>89</v>
      </c>
      <c r="U627" t="s">
        <v>4264</v>
      </c>
      <c r="V627" t="s">
        <v>4265</v>
      </c>
      <c r="W627">
        <v>44</v>
      </c>
      <c r="X627" t="s">
        <v>53</v>
      </c>
      <c r="Y627">
        <v>0</v>
      </c>
    </row>
    <row r="628" spans="1:25" x14ac:dyDescent="0.35">
      <c r="A628" t="s">
        <v>4266</v>
      </c>
      <c r="B628" s="1">
        <v>45250</v>
      </c>
      <c r="C628" s="1">
        <v>45253</v>
      </c>
      <c r="D628" t="s">
        <v>4267</v>
      </c>
      <c r="E628" t="s">
        <v>4268</v>
      </c>
      <c r="F628" t="s">
        <v>28</v>
      </c>
      <c r="G628" t="s">
        <v>4269</v>
      </c>
      <c r="H628" t="s">
        <v>107</v>
      </c>
      <c r="I628" t="s">
        <v>108</v>
      </c>
      <c r="J628" t="s">
        <v>97</v>
      </c>
      <c r="K628" t="s">
        <v>598</v>
      </c>
      <c r="L628" t="s">
        <v>4270</v>
      </c>
      <c r="M628">
        <v>7</v>
      </c>
      <c r="N628">
        <v>2047</v>
      </c>
      <c r="O628">
        <v>15</v>
      </c>
      <c r="P628">
        <v>12956.65</v>
      </c>
      <c r="Q628">
        <v>12180.43</v>
      </c>
      <c r="R628">
        <v>776.22</v>
      </c>
      <c r="S628" t="s">
        <v>49</v>
      </c>
      <c r="T628" t="s">
        <v>140</v>
      </c>
      <c r="U628" t="s">
        <v>4271</v>
      </c>
      <c r="V628" t="s">
        <v>4272</v>
      </c>
      <c r="W628">
        <v>41</v>
      </c>
      <c r="X628" t="s">
        <v>53</v>
      </c>
      <c r="Y628">
        <v>0</v>
      </c>
    </row>
    <row r="629" spans="1:25" x14ac:dyDescent="0.35">
      <c r="A629" t="s">
        <v>4273</v>
      </c>
      <c r="B629" s="1">
        <v>45407</v>
      </c>
      <c r="C629" s="1">
        <v>45408</v>
      </c>
      <c r="D629" t="s">
        <v>1265</v>
      </c>
      <c r="E629" t="s">
        <v>4274</v>
      </c>
      <c r="F629" t="s">
        <v>28</v>
      </c>
      <c r="G629" t="s">
        <v>4275</v>
      </c>
      <c r="H629" t="s">
        <v>154</v>
      </c>
      <c r="I629" t="s">
        <v>137</v>
      </c>
      <c r="J629" t="s">
        <v>97</v>
      </c>
      <c r="K629" t="s">
        <v>312</v>
      </c>
      <c r="L629" t="s">
        <v>4276</v>
      </c>
      <c r="M629">
        <v>3</v>
      </c>
      <c r="N629">
        <v>2364</v>
      </c>
      <c r="O629">
        <v>10</v>
      </c>
      <c r="P629">
        <v>7159.8</v>
      </c>
      <c r="Q629">
        <v>6383.46</v>
      </c>
      <c r="R629">
        <v>776.34</v>
      </c>
      <c r="S629" t="s">
        <v>80</v>
      </c>
      <c r="T629" t="s">
        <v>50</v>
      </c>
      <c r="U629" t="s">
        <v>4277</v>
      </c>
      <c r="V629" t="s">
        <v>4278</v>
      </c>
      <c r="W629">
        <v>20</v>
      </c>
      <c r="X629" t="s">
        <v>53</v>
      </c>
      <c r="Y629">
        <v>0</v>
      </c>
    </row>
    <row r="630" spans="1:25" x14ac:dyDescent="0.35">
      <c r="A630" t="s">
        <v>4279</v>
      </c>
      <c r="B630" s="1">
        <v>45570</v>
      </c>
      <c r="C630" s="1">
        <v>45571</v>
      </c>
      <c r="D630" t="s">
        <v>1638</v>
      </c>
      <c r="E630" t="s">
        <v>4280</v>
      </c>
      <c r="F630" t="s">
        <v>57</v>
      </c>
      <c r="G630" t="s">
        <v>4281</v>
      </c>
      <c r="H630" t="s">
        <v>44</v>
      </c>
      <c r="I630" t="s">
        <v>45</v>
      </c>
      <c r="J630" t="s">
        <v>46</v>
      </c>
      <c r="K630" t="s">
        <v>239</v>
      </c>
      <c r="L630" t="s">
        <v>4282</v>
      </c>
      <c r="M630">
        <v>10</v>
      </c>
      <c r="N630">
        <v>3844</v>
      </c>
      <c r="O630">
        <v>10</v>
      </c>
      <c r="P630">
        <v>35373</v>
      </c>
      <c r="Q630">
        <v>34596.61</v>
      </c>
      <c r="R630">
        <v>776.39</v>
      </c>
      <c r="S630" t="s">
        <v>80</v>
      </c>
      <c r="T630" t="s">
        <v>89</v>
      </c>
      <c r="U630" t="s">
        <v>4283</v>
      </c>
      <c r="V630" t="s">
        <v>4284</v>
      </c>
      <c r="W630">
        <v>4</v>
      </c>
      <c r="X630" t="s">
        <v>39</v>
      </c>
      <c r="Y630">
        <v>28</v>
      </c>
    </row>
    <row r="631" spans="1:25" x14ac:dyDescent="0.35">
      <c r="A631" t="s">
        <v>4285</v>
      </c>
      <c r="B631" s="1">
        <v>45584</v>
      </c>
      <c r="C631" s="1">
        <v>45589</v>
      </c>
      <c r="D631" t="s">
        <v>755</v>
      </c>
      <c r="E631" t="s">
        <v>4286</v>
      </c>
      <c r="F631" t="s">
        <v>95</v>
      </c>
      <c r="G631" t="s">
        <v>4287</v>
      </c>
      <c r="H631" t="s">
        <v>189</v>
      </c>
      <c r="I631" t="s">
        <v>108</v>
      </c>
      <c r="J631" t="s">
        <v>32</v>
      </c>
      <c r="K631" t="s">
        <v>927</v>
      </c>
      <c r="L631" t="s">
        <v>4288</v>
      </c>
      <c r="M631">
        <v>1</v>
      </c>
      <c r="N631">
        <v>1586</v>
      </c>
      <c r="O631">
        <v>5</v>
      </c>
      <c r="P631">
        <v>2283.6999999999998</v>
      </c>
      <c r="Q631">
        <v>1507.4</v>
      </c>
      <c r="R631">
        <v>776.3</v>
      </c>
      <c r="S631" t="s">
        <v>100</v>
      </c>
      <c r="T631" t="s">
        <v>89</v>
      </c>
      <c r="U631" t="s">
        <v>4289</v>
      </c>
      <c r="V631" t="s">
        <v>4290</v>
      </c>
      <c r="W631">
        <v>46</v>
      </c>
      <c r="X631" t="s">
        <v>53</v>
      </c>
      <c r="Y631">
        <v>0</v>
      </c>
    </row>
    <row r="632" spans="1:25" x14ac:dyDescent="0.35">
      <c r="A632" t="s">
        <v>4291</v>
      </c>
      <c r="B632" s="1">
        <v>45887</v>
      </c>
      <c r="C632" s="1">
        <v>45894</v>
      </c>
      <c r="D632" t="s">
        <v>4292</v>
      </c>
      <c r="E632" t="s">
        <v>4293</v>
      </c>
      <c r="F632" t="s">
        <v>95</v>
      </c>
      <c r="G632" t="s">
        <v>4294</v>
      </c>
      <c r="H632" t="s">
        <v>334</v>
      </c>
      <c r="I632" t="s">
        <v>108</v>
      </c>
      <c r="J632" t="s">
        <v>46</v>
      </c>
      <c r="K632" t="s">
        <v>430</v>
      </c>
      <c r="L632" t="s">
        <v>4295</v>
      </c>
      <c r="M632">
        <v>10</v>
      </c>
      <c r="N632">
        <v>2556</v>
      </c>
      <c r="O632">
        <v>15</v>
      </c>
      <c r="P632">
        <v>22503</v>
      </c>
      <c r="Q632">
        <v>21726.75</v>
      </c>
      <c r="R632">
        <v>776.25</v>
      </c>
      <c r="S632" t="s">
        <v>49</v>
      </c>
      <c r="T632" t="s">
        <v>50</v>
      </c>
      <c r="U632" t="s">
        <v>4296</v>
      </c>
      <c r="V632" t="s">
        <v>4297</v>
      </c>
      <c r="W632">
        <v>25</v>
      </c>
      <c r="X632" t="s">
        <v>53</v>
      </c>
      <c r="Y632">
        <v>0</v>
      </c>
    </row>
    <row r="633" spans="1:25" x14ac:dyDescent="0.35">
      <c r="A633" t="s">
        <v>4298</v>
      </c>
      <c r="B633" s="1">
        <v>45637</v>
      </c>
      <c r="C633" s="1">
        <v>45640</v>
      </c>
      <c r="D633" t="s">
        <v>4299</v>
      </c>
      <c r="E633" t="s">
        <v>4300</v>
      </c>
      <c r="F633" t="s">
        <v>57</v>
      </c>
      <c r="G633" t="s">
        <v>4301</v>
      </c>
      <c r="H633" t="s">
        <v>117</v>
      </c>
      <c r="I633" t="s">
        <v>108</v>
      </c>
      <c r="J633" t="s">
        <v>97</v>
      </c>
      <c r="K633" t="s">
        <v>598</v>
      </c>
      <c r="L633" t="s">
        <v>993</v>
      </c>
      <c r="M633">
        <v>3</v>
      </c>
      <c r="N633">
        <v>2712</v>
      </c>
      <c r="O633">
        <v>15</v>
      </c>
      <c r="P633">
        <v>7692.6</v>
      </c>
      <c r="Q633">
        <v>6916.46</v>
      </c>
      <c r="R633">
        <v>776.14</v>
      </c>
      <c r="S633" t="s">
        <v>100</v>
      </c>
      <c r="T633" t="s">
        <v>50</v>
      </c>
      <c r="U633" t="s">
        <v>4302</v>
      </c>
      <c r="V633" t="s">
        <v>4303</v>
      </c>
      <c r="W633">
        <v>8</v>
      </c>
      <c r="X633" t="s">
        <v>39</v>
      </c>
      <c r="Y633">
        <v>38</v>
      </c>
    </row>
    <row r="634" spans="1:25" x14ac:dyDescent="0.35">
      <c r="A634" t="s">
        <v>4304</v>
      </c>
      <c r="B634" s="1">
        <v>45817</v>
      </c>
      <c r="C634" s="1">
        <v>45818</v>
      </c>
      <c r="D634" t="s">
        <v>1474</v>
      </c>
      <c r="E634" t="s">
        <v>4305</v>
      </c>
      <c r="F634" t="s">
        <v>28</v>
      </c>
      <c r="G634" t="s">
        <v>4306</v>
      </c>
      <c r="H634" t="s">
        <v>230</v>
      </c>
      <c r="I634" t="s">
        <v>137</v>
      </c>
      <c r="J634" t="s">
        <v>46</v>
      </c>
      <c r="K634" t="s">
        <v>415</v>
      </c>
      <c r="L634" t="s">
        <v>4307</v>
      </c>
      <c r="M634">
        <v>10</v>
      </c>
      <c r="N634">
        <v>4975</v>
      </c>
      <c r="O634">
        <v>0</v>
      </c>
      <c r="P634">
        <v>50527</v>
      </c>
      <c r="Q634">
        <v>49750.61</v>
      </c>
      <c r="R634">
        <v>776.39</v>
      </c>
      <c r="S634" t="s">
        <v>49</v>
      </c>
      <c r="T634" t="s">
        <v>36</v>
      </c>
      <c r="U634" t="s">
        <v>4308</v>
      </c>
      <c r="V634" t="s">
        <v>4309</v>
      </c>
      <c r="W634">
        <v>34</v>
      </c>
      <c r="X634" t="s">
        <v>53</v>
      </c>
      <c r="Y634">
        <v>0</v>
      </c>
    </row>
    <row r="635" spans="1:25" x14ac:dyDescent="0.35">
      <c r="A635" t="s">
        <v>4310</v>
      </c>
      <c r="B635" s="1">
        <v>45598</v>
      </c>
      <c r="C635" s="1">
        <v>45601</v>
      </c>
      <c r="D635" t="s">
        <v>1876</v>
      </c>
      <c r="E635" t="s">
        <v>4311</v>
      </c>
      <c r="F635" t="s">
        <v>28</v>
      </c>
      <c r="G635" t="s">
        <v>4312</v>
      </c>
      <c r="H635" t="s">
        <v>206</v>
      </c>
      <c r="I635" t="s">
        <v>31</v>
      </c>
      <c r="J635" t="s">
        <v>32</v>
      </c>
      <c r="K635" t="s">
        <v>691</v>
      </c>
      <c r="L635" t="s">
        <v>4313</v>
      </c>
      <c r="M635">
        <v>5</v>
      </c>
      <c r="N635">
        <v>2979</v>
      </c>
      <c r="O635">
        <v>15</v>
      </c>
      <c r="P635">
        <v>13437.75</v>
      </c>
      <c r="Q635">
        <v>12661.39</v>
      </c>
      <c r="R635">
        <v>776.36</v>
      </c>
      <c r="S635" t="s">
        <v>35</v>
      </c>
      <c r="T635" t="s">
        <v>89</v>
      </c>
      <c r="U635" t="s">
        <v>4314</v>
      </c>
      <c r="V635" t="s">
        <v>4315</v>
      </c>
      <c r="W635">
        <v>29</v>
      </c>
      <c r="X635" t="s">
        <v>53</v>
      </c>
      <c r="Y635">
        <v>0</v>
      </c>
    </row>
    <row r="636" spans="1:25" x14ac:dyDescent="0.35">
      <c r="A636" t="s">
        <v>4316</v>
      </c>
      <c r="B636" s="1">
        <v>45820</v>
      </c>
      <c r="C636" s="1">
        <v>45825</v>
      </c>
      <c r="D636" t="s">
        <v>2669</v>
      </c>
      <c r="E636" t="s">
        <v>4317</v>
      </c>
      <c r="F636" t="s">
        <v>28</v>
      </c>
      <c r="G636" t="s">
        <v>4318</v>
      </c>
      <c r="H636" t="s">
        <v>154</v>
      </c>
      <c r="I636" t="s">
        <v>137</v>
      </c>
      <c r="J636" t="s">
        <v>118</v>
      </c>
      <c r="K636" t="s">
        <v>222</v>
      </c>
      <c r="L636" t="s">
        <v>4319</v>
      </c>
      <c r="M636">
        <v>3</v>
      </c>
      <c r="N636">
        <v>4125</v>
      </c>
      <c r="O636">
        <v>5</v>
      </c>
      <c r="P636">
        <v>12533.25</v>
      </c>
      <c r="Q636">
        <v>11757</v>
      </c>
      <c r="R636">
        <v>776.25</v>
      </c>
      <c r="S636" t="s">
        <v>100</v>
      </c>
      <c r="T636" t="s">
        <v>36</v>
      </c>
      <c r="U636" t="s">
        <v>4320</v>
      </c>
      <c r="V636" t="s">
        <v>4321</v>
      </c>
      <c r="W636">
        <v>1</v>
      </c>
      <c r="X636" t="s">
        <v>39</v>
      </c>
      <c r="Y636">
        <v>20</v>
      </c>
    </row>
    <row r="637" spans="1:25" x14ac:dyDescent="0.35">
      <c r="A637" t="s">
        <v>4322</v>
      </c>
      <c r="B637" s="1">
        <v>45764</v>
      </c>
      <c r="C637" s="1">
        <v>45766</v>
      </c>
      <c r="D637" t="s">
        <v>4323</v>
      </c>
      <c r="E637" t="s">
        <v>4324</v>
      </c>
      <c r="F637" t="s">
        <v>28</v>
      </c>
      <c r="G637" t="s">
        <v>4325</v>
      </c>
      <c r="H637" t="s">
        <v>30</v>
      </c>
      <c r="I637" t="s">
        <v>31</v>
      </c>
      <c r="J637" t="s">
        <v>97</v>
      </c>
      <c r="K637" t="s">
        <v>247</v>
      </c>
      <c r="L637" t="s">
        <v>4326</v>
      </c>
      <c r="M637">
        <v>4</v>
      </c>
      <c r="N637">
        <v>2754</v>
      </c>
      <c r="O637">
        <v>5</v>
      </c>
      <c r="P637">
        <v>11242.2</v>
      </c>
      <c r="Q637">
        <v>10466</v>
      </c>
      <c r="R637">
        <v>776.2</v>
      </c>
      <c r="S637" t="s">
        <v>49</v>
      </c>
      <c r="T637" t="s">
        <v>140</v>
      </c>
      <c r="U637" t="s">
        <v>4327</v>
      </c>
      <c r="V637" t="s">
        <v>4328</v>
      </c>
      <c r="W637">
        <v>34</v>
      </c>
      <c r="X637" t="s">
        <v>53</v>
      </c>
      <c r="Y637">
        <v>0</v>
      </c>
    </row>
    <row r="638" spans="1:25" x14ac:dyDescent="0.35">
      <c r="A638" t="s">
        <v>4329</v>
      </c>
      <c r="B638" s="1">
        <v>45774</v>
      </c>
      <c r="C638" s="1">
        <v>45779</v>
      </c>
      <c r="D638" t="s">
        <v>4330</v>
      </c>
      <c r="E638" t="s">
        <v>4331</v>
      </c>
      <c r="F638" t="s">
        <v>28</v>
      </c>
      <c r="G638" t="s">
        <v>4332</v>
      </c>
      <c r="H638" t="s">
        <v>136</v>
      </c>
      <c r="I638" t="s">
        <v>137</v>
      </c>
      <c r="J638" t="s">
        <v>32</v>
      </c>
      <c r="K638" t="s">
        <v>415</v>
      </c>
      <c r="L638" t="s">
        <v>4333</v>
      </c>
      <c r="M638">
        <v>7</v>
      </c>
      <c r="N638">
        <v>1299</v>
      </c>
      <c r="O638">
        <v>10</v>
      </c>
      <c r="P638">
        <v>8960.7000000000007</v>
      </c>
      <c r="Q638">
        <v>8184.59</v>
      </c>
      <c r="R638">
        <v>776.11</v>
      </c>
      <c r="S638" t="s">
        <v>35</v>
      </c>
      <c r="T638" t="s">
        <v>89</v>
      </c>
      <c r="U638" t="s">
        <v>4334</v>
      </c>
      <c r="V638" t="s">
        <v>4335</v>
      </c>
      <c r="W638">
        <v>16</v>
      </c>
      <c r="X638" t="s">
        <v>53</v>
      </c>
      <c r="Y638">
        <v>0</v>
      </c>
    </row>
    <row r="639" spans="1:25" x14ac:dyDescent="0.35">
      <c r="A639" t="s">
        <v>4336</v>
      </c>
      <c r="B639" s="1">
        <v>45493</v>
      </c>
      <c r="C639" s="1">
        <v>45497</v>
      </c>
      <c r="D639" t="s">
        <v>4337</v>
      </c>
      <c r="E639" t="s">
        <v>4338</v>
      </c>
      <c r="F639" t="s">
        <v>95</v>
      </c>
      <c r="G639" t="s">
        <v>4339</v>
      </c>
      <c r="H639" t="s">
        <v>77</v>
      </c>
      <c r="I639" t="s">
        <v>45</v>
      </c>
      <c r="J639" t="s">
        <v>46</v>
      </c>
      <c r="K639" t="s">
        <v>547</v>
      </c>
      <c r="L639" t="s">
        <v>4340</v>
      </c>
      <c r="M639">
        <v>10</v>
      </c>
      <c r="N639">
        <v>4038</v>
      </c>
      <c r="O639">
        <v>20</v>
      </c>
      <c r="P639">
        <v>33081</v>
      </c>
      <c r="Q639">
        <v>32304.75</v>
      </c>
      <c r="R639">
        <v>776.25</v>
      </c>
      <c r="S639" t="s">
        <v>49</v>
      </c>
      <c r="T639" t="s">
        <v>140</v>
      </c>
      <c r="U639" t="s">
        <v>4341</v>
      </c>
      <c r="V639" t="s">
        <v>4342</v>
      </c>
      <c r="W639">
        <v>20</v>
      </c>
      <c r="X639" t="s">
        <v>53</v>
      </c>
      <c r="Y639">
        <v>0</v>
      </c>
    </row>
    <row r="640" spans="1:25" x14ac:dyDescent="0.35">
      <c r="A640" t="s">
        <v>4343</v>
      </c>
      <c r="B640" s="1">
        <v>45641</v>
      </c>
      <c r="C640" s="1">
        <v>45643</v>
      </c>
      <c r="D640" t="s">
        <v>4344</v>
      </c>
      <c r="E640" t="s">
        <v>4345</v>
      </c>
      <c r="F640" t="s">
        <v>28</v>
      </c>
      <c r="G640" t="s">
        <v>4346</v>
      </c>
      <c r="H640" t="s">
        <v>189</v>
      </c>
      <c r="I640" t="s">
        <v>108</v>
      </c>
      <c r="J640" t="s">
        <v>118</v>
      </c>
      <c r="K640" t="s">
        <v>662</v>
      </c>
      <c r="L640" t="s">
        <v>4347</v>
      </c>
      <c r="M640">
        <v>3</v>
      </c>
      <c r="N640">
        <v>1970</v>
      </c>
      <c r="O640">
        <v>10</v>
      </c>
      <c r="P640">
        <v>6096</v>
      </c>
      <c r="Q640">
        <v>5319.81</v>
      </c>
      <c r="R640">
        <v>776.19</v>
      </c>
      <c r="S640" t="s">
        <v>100</v>
      </c>
      <c r="T640" t="s">
        <v>50</v>
      </c>
      <c r="U640" t="s">
        <v>4348</v>
      </c>
      <c r="V640" t="s">
        <v>4349</v>
      </c>
      <c r="W640">
        <v>14</v>
      </c>
      <c r="X640" t="s">
        <v>53</v>
      </c>
      <c r="Y640">
        <v>0</v>
      </c>
    </row>
    <row r="641" spans="1:25" x14ac:dyDescent="0.35">
      <c r="A641" t="s">
        <v>4350</v>
      </c>
      <c r="B641" s="1">
        <v>45326</v>
      </c>
      <c r="C641" s="1">
        <v>45328</v>
      </c>
      <c r="D641" t="s">
        <v>26</v>
      </c>
      <c r="E641" t="s">
        <v>4351</v>
      </c>
      <c r="F641" t="s">
        <v>57</v>
      </c>
      <c r="G641" t="s">
        <v>4352</v>
      </c>
      <c r="H641" t="s">
        <v>154</v>
      </c>
      <c r="I641" t="s">
        <v>137</v>
      </c>
      <c r="J641" t="s">
        <v>118</v>
      </c>
      <c r="K641" t="s">
        <v>190</v>
      </c>
      <c r="L641" t="s">
        <v>4353</v>
      </c>
      <c r="M641">
        <v>1</v>
      </c>
      <c r="N641">
        <v>4172</v>
      </c>
      <c r="O641">
        <v>5</v>
      </c>
      <c r="P641">
        <v>4740.3999999999996</v>
      </c>
      <c r="Q641">
        <v>3964.22</v>
      </c>
      <c r="R641">
        <v>776.18</v>
      </c>
      <c r="S641" t="s">
        <v>80</v>
      </c>
      <c r="T641" t="s">
        <v>140</v>
      </c>
      <c r="U641" t="s">
        <v>4354</v>
      </c>
      <c r="V641" t="s">
        <v>4355</v>
      </c>
      <c r="W641">
        <v>8</v>
      </c>
      <c r="X641" t="s">
        <v>39</v>
      </c>
      <c r="Y641">
        <v>33</v>
      </c>
    </row>
    <row r="642" spans="1:25" x14ac:dyDescent="0.35">
      <c r="A642" t="s">
        <v>4356</v>
      </c>
      <c r="B642" s="1">
        <v>45899</v>
      </c>
      <c r="C642" s="1">
        <v>45900</v>
      </c>
      <c r="D642" t="s">
        <v>4357</v>
      </c>
      <c r="E642" t="s">
        <v>4358</v>
      </c>
      <c r="F642" t="s">
        <v>28</v>
      </c>
      <c r="G642" t="s">
        <v>4359</v>
      </c>
      <c r="H642" t="s">
        <v>136</v>
      </c>
      <c r="I642" t="s">
        <v>137</v>
      </c>
      <c r="J642" t="s">
        <v>97</v>
      </c>
      <c r="K642" t="s">
        <v>239</v>
      </c>
      <c r="L642" t="s">
        <v>4360</v>
      </c>
      <c r="M642">
        <v>3</v>
      </c>
      <c r="N642">
        <v>375</v>
      </c>
      <c r="O642">
        <v>15</v>
      </c>
      <c r="P642">
        <v>1733.25</v>
      </c>
      <c r="Q642">
        <v>956.93</v>
      </c>
      <c r="R642">
        <v>776.32</v>
      </c>
      <c r="S642" t="s">
        <v>49</v>
      </c>
      <c r="T642" t="s">
        <v>36</v>
      </c>
      <c r="U642" t="s">
        <v>4361</v>
      </c>
      <c r="V642" t="s">
        <v>4362</v>
      </c>
      <c r="W642">
        <v>28</v>
      </c>
      <c r="X642" t="s">
        <v>53</v>
      </c>
      <c r="Y642">
        <v>0</v>
      </c>
    </row>
    <row r="643" spans="1:25" x14ac:dyDescent="0.35">
      <c r="A643" t="s">
        <v>4363</v>
      </c>
      <c r="B643" s="1">
        <v>45567</v>
      </c>
      <c r="C643" s="1">
        <v>45571</v>
      </c>
      <c r="D643" t="s">
        <v>833</v>
      </c>
      <c r="E643" t="s">
        <v>4364</v>
      </c>
      <c r="F643" t="s">
        <v>28</v>
      </c>
      <c r="G643" t="s">
        <v>4365</v>
      </c>
      <c r="H643" t="s">
        <v>198</v>
      </c>
      <c r="I643" t="s">
        <v>31</v>
      </c>
      <c r="J643" t="s">
        <v>97</v>
      </c>
      <c r="K643" t="s">
        <v>109</v>
      </c>
      <c r="L643" t="s">
        <v>4366</v>
      </c>
      <c r="M643">
        <v>10</v>
      </c>
      <c r="N643">
        <v>1443</v>
      </c>
      <c r="O643">
        <v>0</v>
      </c>
      <c r="P643">
        <v>15207</v>
      </c>
      <c r="Q643">
        <v>14430.8</v>
      </c>
      <c r="R643">
        <v>776.2</v>
      </c>
      <c r="S643" t="s">
        <v>49</v>
      </c>
      <c r="T643" t="s">
        <v>36</v>
      </c>
      <c r="U643" t="s">
        <v>4367</v>
      </c>
      <c r="V643" t="s">
        <v>4368</v>
      </c>
      <c r="W643">
        <v>14</v>
      </c>
      <c r="X643" t="s">
        <v>53</v>
      </c>
      <c r="Y643">
        <v>0</v>
      </c>
    </row>
    <row r="644" spans="1:25" x14ac:dyDescent="0.35">
      <c r="A644" t="s">
        <v>4369</v>
      </c>
      <c r="B644" s="1">
        <v>45950</v>
      </c>
      <c r="C644" s="1">
        <v>45957</v>
      </c>
      <c r="D644" t="s">
        <v>4370</v>
      </c>
      <c r="E644" t="s">
        <v>4371</v>
      </c>
      <c r="F644" t="s">
        <v>95</v>
      </c>
      <c r="G644" t="s">
        <v>4372</v>
      </c>
      <c r="H644" t="s">
        <v>320</v>
      </c>
      <c r="I644" t="s">
        <v>137</v>
      </c>
      <c r="J644" t="s">
        <v>46</v>
      </c>
      <c r="K644" t="s">
        <v>119</v>
      </c>
      <c r="L644" t="s">
        <v>4021</v>
      </c>
      <c r="M644">
        <v>5</v>
      </c>
      <c r="N644">
        <v>1035</v>
      </c>
      <c r="O644">
        <v>15</v>
      </c>
      <c r="P644">
        <v>5175.75</v>
      </c>
      <c r="Q644">
        <v>4399.63</v>
      </c>
      <c r="R644">
        <v>776.12</v>
      </c>
      <c r="S644" t="s">
        <v>35</v>
      </c>
      <c r="T644" t="s">
        <v>140</v>
      </c>
      <c r="U644" t="s">
        <v>4373</v>
      </c>
      <c r="V644" t="s">
        <v>4374</v>
      </c>
      <c r="W644">
        <v>1</v>
      </c>
      <c r="X644" t="s">
        <v>39</v>
      </c>
      <c r="Y644">
        <v>39</v>
      </c>
    </row>
    <row r="645" spans="1:25" x14ac:dyDescent="0.35">
      <c r="A645" t="s">
        <v>4375</v>
      </c>
      <c r="B645" s="1">
        <v>45503</v>
      </c>
      <c r="C645" s="1">
        <v>45507</v>
      </c>
      <c r="D645" t="s">
        <v>4376</v>
      </c>
      <c r="E645" t="s">
        <v>4377</v>
      </c>
      <c r="F645" t="s">
        <v>95</v>
      </c>
      <c r="G645" t="s">
        <v>4378</v>
      </c>
      <c r="H645" t="s">
        <v>198</v>
      </c>
      <c r="I645" t="s">
        <v>31</v>
      </c>
      <c r="J645" t="s">
        <v>118</v>
      </c>
      <c r="K645" t="s">
        <v>190</v>
      </c>
      <c r="L645" t="s">
        <v>4379</v>
      </c>
      <c r="M645">
        <v>8</v>
      </c>
      <c r="N645">
        <v>3424</v>
      </c>
      <c r="O645">
        <v>15</v>
      </c>
      <c r="P645">
        <v>24060.2</v>
      </c>
      <c r="Q645">
        <v>23283.9</v>
      </c>
      <c r="R645">
        <v>776.3</v>
      </c>
      <c r="S645" t="s">
        <v>80</v>
      </c>
      <c r="T645" t="s">
        <v>50</v>
      </c>
      <c r="U645" t="s">
        <v>4380</v>
      </c>
      <c r="V645" t="s">
        <v>4381</v>
      </c>
      <c r="W645">
        <v>36</v>
      </c>
      <c r="X645" t="s">
        <v>53</v>
      </c>
      <c r="Y645">
        <v>0</v>
      </c>
    </row>
    <row r="646" spans="1:25" x14ac:dyDescent="0.35">
      <c r="A646" t="s">
        <v>4382</v>
      </c>
      <c r="B646" s="1">
        <v>45377</v>
      </c>
      <c r="C646" s="1">
        <v>45383</v>
      </c>
      <c r="D646" t="s">
        <v>4383</v>
      </c>
      <c r="E646" t="s">
        <v>4384</v>
      </c>
      <c r="F646" t="s">
        <v>28</v>
      </c>
      <c r="G646" t="s">
        <v>4385</v>
      </c>
      <c r="H646" t="s">
        <v>230</v>
      </c>
      <c r="I646" t="s">
        <v>137</v>
      </c>
      <c r="J646" t="s">
        <v>97</v>
      </c>
      <c r="K646" t="s">
        <v>706</v>
      </c>
      <c r="L646" t="s">
        <v>4386</v>
      </c>
      <c r="M646">
        <v>3</v>
      </c>
      <c r="N646">
        <v>2846</v>
      </c>
      <c r="O646">
        <v>15</v>
      </c>
      <c r="P646">
        <v>8034.3</v>
      </c>
      <c r="Q646">
        <v>7258.11</v>
      </c>
      <c r="R646">
        <v>776.19</v>
      </c>
      <c r="S646" t="s">
        <v>35</v>
      </c>
      <c r="T646" t="s">
        <v>50</v>
      </c>
      <c r="U646" t="s">
        <v>4387</v>
      </c>
      <c r="V646" t="s">
        <v>4388</v>
      </c>
      <c r="W646">
        <v>50</v>
      </c>
      <c r="X646" t="s">
        <v>53</v>
      </c>
      <c r="Y646">
        <v>0</v>
      </c>
    </row>
    <row r="647" spans="1:25" x14ac:dyDescent="0.35">
      <c r="A647" t="s">
        <v>4389</v>
      </c>
      <c r="B647" s="1">
        <v>45388</v>
      </c>
      <c r="C647" s="1">
        <v>45391</v>
      </c>
      <c r="D647" t="s">
        <v>4390</v>
      </c>
      <c r="E647" t="s">
        <v>4391</v>
      </c>
      <c r="F647" t="s">
        <v>28</v>
      </c>
      <c r="G647" t="s">
        <v>4392</v>
      </c>
      <c r="H647" t="s">
        <v>230</v>
      </c>
      <c r="I647" t="s">
        <v>137</v>
      </c>
      <c r="J647" t="s">
        <v>118</v>
      </c>
      <c r="K647" t="s">
        <v>400</v>
      </c>
      <c r="L647" t="s">
        <v>4393</v>
      </c>
      <c r="M647">
        <v>2</v>
      </c>
      <c r="N647">
        <v>1062</v>
      </c>
      <c r="O647">
        <v>0</v>
      </c>
      <c r="P647">
        <v>2901</v>
      </c>
      <c r="Q647">
        <v>2124.6999999999998</v>
      </c>
      <c r="R647">
        <v>776.3</v>
      </c>
      <c r="S647" t="s">
        <v>35</v>
      </c>
      <c r="T647" t="s">
        <v>50</v>
      </c>
      <c r="U647" t="s">
        <v>4394</v>
      </c>
      <c r="V647" t="s">
        <v>4395</v>
      </c>
      <c r="W647">
        <v>49</v>
      </c>
      <c r="X647" t="s">
        <v>53</v>
      </c>
      <c r="Y647">
        <v>0</v>
      </c>
    </row>
    <row r="648" spans="1:25" x14ac:dyDescent="0.35">
      <c r="A648" t="s">
        <v>4396</v>
      </c>
      <c r="B648" s="1">
        <v>45563</v>
      </c>
      <c r="C648" s="1">
        <v>45565</v>
      </c>
      <c r="D648" t="s">
        <v>4397</v>
      </c>
      <c r="E648" t="s">
        <v>4398</v>
      </c>
      <c r="F648" t="s">
        <v>95</v>
      </c>
      <c r="G648" t="s">
        <v>1733</v>
      </c>
      <c r="H648" t="s">
        <v>68</v>
      </c>
      <c r="I648" t="s">
        <v>31</v>
      </c>
      <c r="J648" t="s">
        <v>46</v>
      </c>
      <c r="K648" t="s">
        <v>239</v>
      </c>
      <c r="L648" t="s">
        <v>4399</v>
      </c>
      <c r="M648">
        <v>7</v>
      </c>
      <c r="N648">
        <v>2094</v>
      </c>
      <c r="O648">
        <v>0</v>
      </c>
      <c r="P648">
        <v>15435</v>
      </c>
      <c r="Q648">
        <v>14658.89</v>
      </c>
      <c r="R648">
        <v>776.11</v>
      </c>
      <c r="S648" t="s">
        <v>100</v>
      </c>
      <c r="T648" t="s">
        <v>140</v>
      </c>
      <c r="U648" t="s">
        <v>4400</v>
      </c>
      <c r="V648" t="s">
        <v>4401</v>
      </c>
      <c r="W648">
        <v>0</v>
      </c>
      <c r="X648" t="s">
        <v>39</v>
      </c>
      <c r="Y648">
        <v>35</v>
      </c>
    </row>
    <row r="649" spans="1:25" x14ac:dyDescent="0.35">
      <c r="A649" t="s">
        <v>4402</v>
      </c>
      <c r="B649" s="1">
        <v>45639</v>
      </c>
      <c r="C649" s="1">
        <v>45641</v>
      </c>
      <c r="D649" t="s">
        <v>4403</v>
      </c>
      <c r="E649" t="s">
        <v>4404</v>
      </c>
      <c r="F649" t="s">
        <v>28</v>
      </c>
      <c r="G649" t="s">
        <v>4405</v>
      </c>
      <c r="H649" t="s">
        <v>364</v>
      </c>
      <c r="I649" t="s">
        <v>137</v>
      </c>
      <c r="J649" t="s">
        <v>97</v>
      </c>
      <c r="K649" t="s">
        <v>60</v>
      </c>
      <c r="L649" t="s">
        <v>4406</v>
      </c>
      <c r="M649">
        <v>9</v>
      </c>
      <c r="N649">
        <v>4063</v>
      </c>
      <c r="O649">
        <v>20</v>
      </c>
      <c r="P649">
        <v>30030.6</v>
      </c>
      <c r="Q649">
        <v>29254.49</v>
      </c>
      <c r="R649">
        <v>776.11</v>
      </c>
      <c r="S649" t="s">
        <v>35</v>
      </c>
      <c r="T649" t="s">
        <v>89</v>
      </c>
      <c r="U649" t="s">
        <v>4407</v>
      </c>
      <c r="V649" t="s">
        <v>4408</v>
      </c>
      <c r="W649">
        <v>44</v>
      </c>
      <c r="X649" t="s">
        <v>53</v>
      </c>
      <c r="Y649">
        <v>0</v>
      </c>
    </row>
    <row r="650" spans="1:25" x14ac:dyDescent="0.35">
      <c r="A650" t="s">
        <v>4409</v>
      </c>
      <c r="B650" s="1">
        <v>45555</v>
      </c>
      <c r="C650" s="1">
        <v>45560</v>
      </c>
      <c r="D650" t="s">
        <v>1481</v>
      </c>
      <c r="E650" t="s">
        <v>4410</v>
      </c>
      <c r="F650" t="s">
        <v>95</v>
      </c>
      <c r="G650" t="s">
        <v>4411</v>
      </c>
      <c r="H650" t="s">
        <v>163</v>
      </c>
      <c r="I650" t="s">
        <v>108</v>
      </c>
      <c r="J650" t="s">
        <v>97</v>
      </c>
      <c r="K650" t="s">
        <v>415</v>
      </c>
      <c r="L650" t="s">
        <v>4412</v>
      </c>
      <c r="M650">
        <v>9</v>
      </c>
      <c r="N650">
        <v>3104</v>
      </c>
      <c r="O650">
        <v>10</v>
      </c>
      <c r="P650">
        <v>25919.4</v>
      </c>
      <c r="Q650">
        <v>25143.25</v>
      </c>
      <c r="R650">
        <v>776.15</v>
      </c>
      <c r="S650" t="s">
        <v>35</v>
      </c>
      <c r="T650" t="s">
        <v>89</v>
      </c>
      <c r="U650" t="s">
        <v>4413</v>
      </c>
      <c r="V650" t="s">
        <v>4414</v>
      </c>
      <c r="W650">
        <v>4</v>
      </c>
      <c r="X650" t="s">
        <v>39</v>
      </c>
      <c r="Y650">
        <v>41</v>
      </c>
    </row>
    <row r="651" spans="1:25" x14ac:dyDescent="0.35">
      <c r="A651" t="s">
        <v>4415</v>
      </c>
      <c r="B651" s="1">
        <v>45507</v>
      </c>
      <c r="C651" s="1">
        <v>45509</v>
      </c>
      <c r="D651" t="s">
        <v>1272</v>
      </c>
      <c r="E651" t="s">
        <v>4416</v>
      </c>
      <c r="F651" t="s">
        <v>95</v>
      </c>
      <c r="G651" t="s">
        <v>4417</v>
      </c>
      <c r="H651" t="s">
        <v>107</v>
      </c>
      <c r="I651" t="s">
        <v>108</v>
      </c>
      <c r="J651" t="s">
        <v>46</v>
      </c>
      <c r="K651" t="s">
        <v>164</v>
      </c>
      <c r="L651" t="s">
        <v>4418</v>
      </c>
      <c r="M651">
        <v>8</v>
      </c>
      <c r="N651">
        <v>1542</v>
      </c>
      <c r="O651">
        <v>0</v>
      </c>
      <c r="P651">
        <v>13113</v>
      </c>
      <c r="Q651">
        <v>12336.7</v>
      </c>
      <c r="R651">
        <v>776.3</v>
      </c>
      <c r="S651" t="s">
        <v>80</v>
      </c>
      <c r="T651" t="s">
        <v>140</v>
      </c>
      <c r="U651" t="s">
        <v>4419</v>
      </c>
      <c r="V651" t="s">
        <v>4420</v>
      </c>
      <c r="W651">
        <v>7</v>
      </c>
      <c r="X651" t="s">
        <v>39</v>
      </c>
      <c r="Y651">
        <v>35</v>
      </c>
    </row>
    <row r="652" spans="1:25" x14ac:dyDescent="0.35">
      <c r="A652" t="s">
        <v>4421</v>
      </c>
      <c r="B652" s="1">
        <v>45272</v>
      </c>
      <c r="C652" s="1">
        <v>45273</v>
      </c>
      <c r="D652" t="s">
        <v>4087</v>
      </c>
      <c r="E652" t="s">
        <v>4422</v>
      </c>
      <c r="F652" t="s">
        <v>95</v>
      </c>
      <c r="G652" t="s">
        <v>3028</v>
      </c>
      <c r="H652" t="s">
        <v>59</v>
      </c>
      <c r="I652" t="s">
        <v>31</v>
      </c>
      <c r="J652" t="s">
        <v>118</v>
      </c>
      <c r="K652" t="s">
        <v>247</v>
      </c>
      <c r="L652" t="s">
        <v>4423</v>
      </c>
      <c r="M652">
        <v>4</v>
      </c>
      <c r="N652">
        <v>4754</v>
      </c>
      <c r="O652">
        <v>10</v>
      </c>
      <c r="P652">
        <v>17891.400000000001</v>
      </c>
      <c r="Q652">
        <v>17115.13</v>
      </c>
      <c r="R652">
        <v>776.27</v>
      </c>
      <c r="S652" t="s">
        <v>100</v>
      </c>
      <c r="T652" t="s">
        <v>89</v>
      </c>
      <c r="U652" t="s">
        <v>4424</v>
      </c>
      <c r="V652" t="s">
        <v>4425</v>
      </c>
      <c r="W652">
        <v>14</v>
      </c>
      <c r="X652" t="s">
        <v>53</v>
      </c>
      <c r="Y652">
        <v>0</v>
      </c>
    </row>
    <row r="653" spans="1:25" x14ac:dyDescent="0.35">
      <c r="A653" t="s">
        <v>4426</v>
      </c>
      <c r="B653" s="1">
        <v>45336</v>
      </c>
      <c r="C653" s="1">
        <v>45337</v>
      </c>
      <c r="D653" t="s">
        <v>4427</v>
      </c>
      <c r="E653" t="s">
        <v>4428</v>
      </c>
      <c r="F653" t="s">
        <v>28</v>
      </c>
      <c r="G653" t="s">
        <v>4429</v>
      </c>
      <c r="H653" t="s">
        <v>189</v>
      </c>
      <c r="I653" t="s">
        <v>108</v>
      </c>
      <c r="J653" t="s">
        <v>97</v>
      </c>
      <c r="K653" t="s">
        <v>970</v>
      </c>
      <c r="L653" t="s">
        <v>4430</v>
      </c>
      <c r="M653">
        <v>6</v>
      </c>
      <c r="N653">
        <v>4996</v>
      </c>
      <c r="O653">
        <v>0</v>
      </c>
      <c r="P653">
        <v>30753</v>
      </c>
      <c r="Q653">
        <v>29976.75</v>
      </c>
      <c r="R653">
        <v>776.25</v>
      </c>
      <c r="S653" t="s">
        <v>80</v>
      </c>
      <c r="T653" t="s">
        <v>50</v>
      </c>
      <c r="U653" t="s">
        <v>4431</v>
      </c>
      <c r="V653" t="s">
        <v>4432</v>
      </c>
      <c r="W653">
        <v>35</v>
      </c>
      <c r="X653" t="s">
        <v>53</v>
      </c>
      <c r="Y653">
        <v>0</v>
      </c>
    </row>
    <row r="654" spans="1:25" x14ac:dyDescent="0.35">
      <c r="A654" t="s">
        <v>4433</v>
      </c>
      <c r="B654" s="1">
        <v>45387</v>
      </c>
      <c r="C654" s="1">
        <v>45393</v>
      </c>
      <c r="D654" t="s">
        <v>1857</v>
      </c>
      <c r="E654" t="s">
        <v>4434</v>
      </c>
      <c r="F654" t="s">
        <v>28</v>
      </c>
      <c r="G654" t="s">
        <v>4435</v>
      </c>
      <c r="H654" t="s">
        <v>320</v>
      </c>
      <c r="I654" t="s">
        <v>137</v>
      </c>
      <c r="J654" t="s">
        <v>32</v>
      </c>
      <c r="K654" t="s">
        <v>714</v>
      </c>
      <c r="L654" t="s">
        <v>4436</v>
      </c>
      <c r="M654">
        <v>8</v>
      </c>
      <c r="N654">
        <v>2848</v>
      </c>
      <c r="O654">
        <v>15</v>
      </c>
      <c r="P654">
        <v>20143.400000000001</v>
      </c>
      <c r="Q654">
        <v>19367.13</v>
      </c>
      <c r="R654">
        <v>776.27</v>
      </c>
      <c r="S654" t="s">
        <v>100</v>
      </c>
      <c r="T654" t="s">
        <v>89</v>
      </c>
      <c r="U654" t="s">
        <v>4437</v>
      </c>
      <c r="V654" t="s">
        <v>4438</v>
      </c>
      <c r="W654">
        <v>17</v>
      </c>
      <c r="X654" t="s">
        <v>53</v>
      </c>
      <c r="Y654">
        <v>0</v>
      </c>
    </row>
    <row r="655" spans="1:25" x14ac:dyDescent="0.35">
      <c r="A655" t="s">
        <v>4439</v>
      </c>
      <c r="B655" s="1">
        <v>45939</v>
      </c>
      <c r="C655" s="1">
        <v>45944</v>
      </c>
      <c r="D655" t="s">
        <v>4440</v>
      </c>
      <c r="E655" t="s">
        <v>4441</v>
      </c>
      <c r="F655" t="s">
        <v>57</v>
      </c>
      <c r="G655" t="s">
        <v>4442</v>
      </c>
      <c r="H655" t="s">
        <v>77</v>
      </c>
      <c r="I655" t="s">
        <v>45</v>
      </c>
      <c r="J655" t="s">
        <v>97</v>
      </c>
      <c r="K655" t="s">
        <v>128</v>
      </c>
      <c r="L655" t="s">
        <v>4443</v>
      </c>
      <c r="M655">
        <v>8</v>
      </c>
      <c r="N655">
        <v>2124</v>
      </c>
      <c r="O655">
        <v>10</v>
      </c>
      <c r="P655">
        <v>16069.8</v>
      </c>
      <c r="Q655">
        <v>15293.64</v>
      </c>
      <c r="R655">
        <v>776.16</v>
      </c>
      <c r="S655" t="s">
        <v>100</v>
      </c>
      <c r="T655" t="s">
        <v>36</v>
      </c>
      <c r="U655" t="s">
        <v>4444</v>
      </c>
      <c r="V655" t="s">
        <v>4445</v>
      </c>
      <c r="W655">
        <v>12</v>
      </c>
      <c r="X655" t="s">
        <v>53</v>
      </c>
      <c r="Y655">
        <v>0</v>
      </c>
    </row>
    <row r="656" spans="1:25" x14ac:dyDescent="0.35">
      <c r="A656" t="s">
        <v>4446</v>
      </c>
      <c r="B656" s="1">
        <v>45371</v>
      </c>
      <c r="C656" s="1">
        <v>45378</v>
      </c>
      <c r="D656" t="s">
        <v>4447</v>
      </c>
      <c r="E656" t="s">
        <v>4448</v>
      </c>
      <c r="F656" t="s">
        <v>28</v>
      </c>
      <c r="G656" t="s">
        <v>4449</v>
      </c>
      <c r="H656" t="s">
        <v>59</v>
      </c>
      <c r="I656" t="s">
        <v>31</v>
      </c>
      <c r="J656" t="s">
        <v>32</v>
      </c>
      <c r="K656" t="s">
        <v>714</v>
      </c>
      <c r="L656" t="s">
        <v>4450</v>
      </c>
      <c r="M656">
        <v>1</v>
      </c>
      <c r="N656">
        <v>4861</v>
      </c>
      <c r="O656">
        <v>5</v>
      </c>
      <c r="P656">
        <v>5394.95</v>
      </c>
      <c r="Q656">
        <v>4618.74</v>
      </c>
      <c r="R656">
        <v>776.21</v>
      </c>
      <c r="S656" t="s">
        <v>49</v>
      </c>
      <c r="T656" t="s">
        <v>140</v>
      </c>
      <c r="U656" t="s">
        <v>4451</v>
      </c>
      <c r="V656" t="s">
        <v>4452</v>
      </c>
      <c r="W656">
        <v>49</v>
      </c>
      <c r="X656" t="s">
        <v>53</v>
      </c>
      <c r="Y656">
        <v>0</v>
      </c>
    </row>
    <row r="657" spans="1:25" x14ac:dyDescent="0.35">
      <c r="A657" t="s">
        <v>4453</v>
      </c>
      <c r="B657" s="1">
        <v>45433</v>
      </c>
      <c r="C657" s="1">
        <v>45436</v>
      </c>
      <c r="D657" t="s">
        <v>4454</v>
      </c>
      <c r="E657" t="s">
        <v>4455</v>
      </c>
      <c r="F657" t="s">
        <v>28</v>
      </c>
      <c r="G657" t="s">
        <v>4456</v>
      </c>
      <c r="H657" t="s">
        <v>283</v>
      </c>
      <c r="I657" t="s">
        <v>45</v>
      </c>
      <c r="J657" t="s">
        <v>97</v>
      </c>
      <c r="K657" t="s">
        <v>691</v>
      </c>
      <c r="L657" t="s">
        <v>4457</v>
      </c>
      <c r="M657">
        <v>10</v>
      </c>
      <c r="N657">
        <v>1607</v>
      </c>
      <c r="O657">
        <v>0</v>
      </c>
      <c r="P657">
        <v>16847</v>
      </c>
      <c r="Q657">
        <v>16070.73</v>
      </c>
      <c r="R657">
        <v>776.27</v>
      </c>
      <c r="S657" t="s">
        <v>35</v>
      </c>
      <c r="T657" t="s">
        <v>36</v>
      </c>
      <c r="U657" t="s">
        <v>3243</v>
      </c>
      <c r="V657" t="s">
        <v>4458</v>
      </c>
      <c r="W657">
        <v>21</v>
      </c>
      <c r="X657" t="s">
        <v>53</v>
      </c>
      <c r="Y657">
        <v>0</v>
      </c>
    </row>
    <row r="658" spans="1:25" x14ac:dyDescent="0.35">
      <c r="A658" t="s">
        <v>4459</v>
      </c>
      <c r="B658" s="1">
        <v>45475</v>
      </c>
      <c r="C658" s="1">
        <v>45481</v>
      </c>
      <c r="D658" t="s">
        <v>4460</v>
      </c>
      <c r="E658" t="s">
        <v>4461</v>
      </c>
      <c r="F658" t="s">
        <v>28</v>
      </c>
      <c r="G658" t="s">
        <v>4462</v>
      </c>
      <c r="H658" t="s">
        <v>334</v>
      </c>
      <c r="I658" t="s">
        <v>108</v>
      </c>
      <c r="J658" t="s">
        <v>46</v>
      </c>
      <c r="K658" t="s">
        <v>430</v>
      </c>
      <c r="L658" t="s">
        <v>4463</v>
      </c>
      <c r="M658">
        <v>1</v>
      </c>
      <c r="N658">
        <v>222</v>
      </c>
      <c r="O658">
        <v>10</v>
      </c>
      <c r="P658">
        <v>976.8</v>
      </c>
      <c r="Q658">
        <v>200.42</v>
      </c>
      <c r="R658">
        <v>776.38</v>
      </c>
      <c r="S658" t="s">
        <v>100</v>
      </c>
      <c r="T658" t="s">
        <v>89</v>
      </c>
      <c r="U658" t="s">
        <v>4464</v>
      </c>
      <c r="V658" t="s">
        <v>4465</v>
      </c>
      <c r="W658">
        <v>0</v>
      </c>
      <c r="X658" t="s">
        <v>39</v>
      </c>
      <c r="Y658">
        <v>32</v>
      </c>
    </row>
    <row r="659" spans="1:25" x14ac:dyDescent="0.35">
      <c r="A659" t="s">
        <v>4466</v>
      </c>
      <c r="B659" s="1">
        <v>45678</v>
      </c>
      <c r="C659" s="1">
        <v>45684</v>
      </c>
      <c r="D659" t="s">
        <v>4267</v>
      </c>
      <c r="E659" t="s">
        <v>4467</v>
      </c>
      <c r="F659" t="s">
        <v>95</v>
      </c>
      <c r="G659" t="s">
        <v>4468</v>
      </c>
      <c r="H659" t="s">
        <v>77</v>
      </c>
      <c r="I659" t="s">
        <v>45</v>
      </c>
      <c r="J659" t="s">
        <v>32</v>
      </c>
      <c r="K659" t="s">
        <v>199</v>
      </c>
      <c r="L659" t="s">
        <v>4469</v>
      </c>
      <c r="M659">
        <v>3</v>
      </c>
      <c r="N659">
        <v>1283</v>
      </c>
      <c r="O659">
        <v>15</v>
      </c>
      <c r="P659">
        <v>4048.65</v>
      </c>
      <c r="Q659">
        <v>3272.31</v>
      </c>
      <c r="R659">
        <v>776.34</v>
      </c>
      <c r="S659" t="s">
        <v>80</v>
      </c>
      <c r="T659" t="s">
        <v>140</v>
      </c>
      <c r="U659" t="s">
        <v>4470</v>
      </c>
      <c r="V659" t="s">
        <v>4471</v>
      </c>
      <c r="W659">
        <v>32</v>
      </c>
      <c r="X659" t="s">
        <v>53</v>
      </c>
      <c r="Y659">
        <v>0</v>
      </c>
    </row>
    <row r="660" spans="1:25" x14ac:dyDescent="0.35">
      <c r="A660" t="s">
        <v>4472</v>
      </c>
      <c r="B660" s="1">
        <v>45382</v>
      </c>
      <c r="C660" s="1">
        <v>45387</v>
      </c>
      <c r="D660" t="s">
        <v>4473</v>
      </c>
      <c r="E660" t="s">
        <v>4474</v>
      </c>
      <c r="F660" t="s">
        <v>28</v>
      </c>
      <c r="G660" t="s">
        <v>4475</v>
      </c>
      <c r="H660" t="s">
        <v>59</v>
      </c>
      <c r="I660" t="s">
        <v>31</v>
      </c>
      <c r="J660" t="s">
        <v>32</v>
      </c>
      <c r="K660" t="s">
        <v>239</v>
      </c>
      <c r="L660" t="s">
        <v>4476</v>
      </c>
      <c r="M660">
        <v>5</v>
      </c>
      <c r="N660">
        <v>3807</v>
      </c>
      <c r="O660">
        <v>0</v>
      </c>
      <c r="P660">
        <v>19812</v>
      </c>
      <c r="Q660">
        <v>19035.86</v>
      </c>
      <c r="R660">
        <v>776.14</v>
      </c>
      <c r="S660" t="s">
        <v>100</v>
      </c>
      <c r="T660" t="s">
        <v>89</v>
      </c>
      <c r="U660" t="s">
        <v>4477</v>
      </c>
      <c r="V660" t="s">
        <v>4478</v>
      </c>
      <c r="W660">
        <v>21</v>
      </c>
      <c r="X660" t="s">
        <v>53</v>
      </c>
      <c r="Y660">
        <v>0</v>
      </c>
    </row>
    <row r="661" spans="1:25" x14ac:dyDescent="0.35">
      <c r="A661" t="s">
        <v>4479</v>
      </c>
      <c r="B661" s="1">
        <v>45800</v>
      </c>
      <c r="C661" s="1">
        <v>45803</v>
      </c>
      <c r="D661" t="s">
        <v>3527</v>
      </c>
      <c r="E661" t="s">
        <v>4480</v>
      </c>
      <c r="F661" t="s">
        <v>28</v>
      </c>
      <c r="G661" t="s">
        <v>4481</v>
      </c>
      <c r="H661" t="s">
        <v>230</v>
      </c>
      <c r="I661" t="s">
        <v>137</v>
      </c>
      <c r="J661" t="s">
        <v>97</v>
      </c>
      <c r="K661" t="s">
        <v>60</v>
      </c>
      <c r="L661" t="s">
        <v>4482</v>
      </c>
      <c r="M661">
        <v>2</v>
      </c>
      <c r="N661">
        <v>898</v>
      </c>
      <c r="O661">
        <v>15</v>
      </c>
      <c r="P661">
        <v>2303.6</v>
      </c>
      <c r="Q661">
        <v>1527.41</v>
      </c>
      <c r="R661">
        <v>776.19</v>
      </c>
      <c r="S661" t="s">
        <v>100</v>
      </c>
      <c r="T661" t="s">
        <v>140</v>
      </c>
      <c r="U661" t="s">
        <v>4483</v>
      </c>
      <c r="V661" t="s">
        <v>4484</v>
      </c>
      <c r="W661">
        <v>33</v>
      </c>
      <c r="X661" t="s">
        <v>53</v>
      </c>
      <c r="Y661">
        <v>0</v>
      </c>
    </row>
    <row r="662" spans="1:25" x14ac:dyDescent="0.35">
      <c r="A662" t="s">
        <v>4485</v>
      </c>
      <c r="B662" s="1">
        <v>45817</v>
      </c>
      <c r="C662" s="1">
        <v>45821</v>
      </c>
      <c r="D662" t="s">
        <v>4299</v>
      </c>
      <c r="E662" t="s">
        <v>4486</v>
      </c>
      <c r="F662" t="s">
        <v>95</v>
      </c>
      <c r="G662" t="s">
        <v>4487</v>
      </c>
      <c r="H662" t="s">
        <v>198</v>
      </c>
      <c r="I662" t="s">
        <v>31</v>
      </c>
      <c r="J662" t="s">
        <v>32</v>
      </c>
      <c r="K662" t="s">
        <v>207</v>
      </c>
      <c r="L662" t="s">
        <v>4488</v>
      </c>
      <c r="M662">
        <v>8</v>
      </c>
      <c r="N662">
        <v>4212</v>
      </c>
      <c r="O662">
        <v>10</v>
      </c>
      <c r="P662">
        <v>31103.4</v>
      </c>
      <c r="Q662">
        <v>30327.24</v>
      </c>
      <c r="R662">
        <v>776.16</v>
      </c>
      <c r="S662" t="s">
        <v>35</v>
      </c>
      <c r="T662" t="s">
        <v>89</v>
      </c>
      <c r="U662" t="s">
        <v>4489</v>
      </c>
      <c r="V662" t="s">
        <v>4490</v>
      </c>
      <c r="W662">
        <v>23</v>
      </c>
      <c r="X662" t="s">
        <v>53</v>
      </c>
      <c r="Y662">
        <v>0</v>
      </c>
    </row>
    <row r="663" spans="1:25" x14ac:dyDescent="0.35">
      <c r="A663" t="s">
        <v>4491</v>
      </c>
      <c r="B663" s="1">
        <v>45607</v>
      </c>
      <c r="C663" s="1">
        <v>45614</v>
      </c>
      <c r="D663" t="s">
        <v>4492</v>
      </c>
      <c r="E663" t="s">
        <v>4493</v>
      </c>
      <c r="F663" t="s">
        <v>95</v>
      </c>
      <c r="G663" t="s">
        <v>4494</v>
      </c>
      <c r="H663" t="s">
        <v>30</v>
      </c>
      <c r="I663" t="s">
        <v>31</v>
      </c>
      <c r="J663" t="s">
        <v>97</v>
      </c>
      <c r="K663" t="s">
        <v>714</v>
      </c>
      <c r="L663" t="s">
        <v>4495</v>
      </c>
      <c r="M663">
        <v>3</v>
      </c>
      <c r="N663">
        <v>4552</v>
      </c>
      <c r="O663">
        <v>15</v>
      </c>
      <c r="P663">
        <v>12384.6</v>
      </c>
      <c r="Q663">
        <v>11608.34</v>
      </c>
      <c r="R663">
        <v>776.26</v>
      </c>
      <c r="S663" t="s">
        <v>49</v>
      </c>
      <c r="T663" t="s">
        <v>89</v>
      </c>
      <c r="U663" t="s">
        <v>4496</v>
      </c>
      <c r="V663" t="s">
        <v>4497</v>
      </c>
      <c r="W663">
        <v>27</v>
      </c>
      <c r="X663" t="s">
        <v>53</v>
      </c>
      <c r="Y663">
        <v>0</v>
      </c>
    </row>
    <row r="664" spans="1:25" x14ac:dyDescent="0.35">
      <c r="A664" t="s">
        <v>4498</v>
      </c>
      <c r="B664" s="1">
        <v>45414</v>
      </c>
      <c r="C664" s="1">
        <v>45420</v>
      </c>
      <c r="D664" t="s">
        <v>3715</v>
      </c>
      <c r="E664" t="s">
        <v>4499</v>
      </c>
      <c r="F664" t="s">
        <v>57</v>
      </c>
      <c r="G664" t="s">
        <v>4500</v>
      </c>
      <c r="H664" t="s">
        <v>127</v>
      </c>
      <c r="I664" t="s">
        <v>45</v>
      </c>
      <c r="J664" t="s">
        <v>32</v>
      </c>
      <c r="K664" t="s">
        <v>415</v>
      </c>
      <c r="L664" t="s">
        <v>4501</v>
      </c>
      <c r="M664">
        <v>6</v>
      </c>
      <c r="N664">
        <v>499</v>
      </c>
      <c r="O664">
        <v>15</v>
      </c>
      <c r="P664">
        <v>3321.9</v>
      </c>
      <c r="Q664">
        <v>2545.7199999999998</v>
      </c>
      <c r="R664">
        <v>776.18</v>
      </c>
      <c r="S664" t="s">
        <v>49</v>
      </c>
      <c r="T664" t="s">
        <v>140</v>
      </c>
      <c r="U664" t="s">
        <v>4502</v>
      </c>
      <c r="V664" t="s">
        <v>4503</v>
      </c>
      <c r="W664">
        <v>38</v>
      </c>
      <c r="X664" t="s">
        <v>53</v>
      </c>
      <c r="Y664">
        <v>0</v>
      </c>
    </row>
    <row r="665" spans="1:25" x14ac:dyDescent="0.35">
      <c r="A665" t="s">
        <v>4504</v>
      </c>
      <c r="B665" s="1">
        <v>45938</v>
      </c>
      <c r="C665" s="1">
        <v>45942</v>
      </c>
      <c r="D665" t="s">
        <v>897</v>
      </c>
      <c r="E665" t="s">
        <v>4505</v>
      </c>
      <c r="F665" t="s">
        <v>95</v>
      </c>
      <c r="G665" t="s">
        <v>4506</v>
      </c>
      <c r="H665" t="s">
        <v>127</v>
      </c>
      <c r="I665" t="s">
        <v>45</v>
      </c>
      <c r="J665" t="s">
        <v>118</v>
      </c>
      <c r="K665" t="s">
        <v>430</v>
      </c>
      <c r="L665" t="s">
        <v>4507</v>
      </c>
      <c r="M665">
        <v>9</v>
      </c>
      <c r="N665">
        <v>4254</v>
      </c>
      <c r="O665">
        <v>20</v>
      </c>
      <c r="P665">
        <v>31405.8</v>
      </c>
      <c r="Q665">
        <v>30629.599999999999</v>
      </c>
      <c r="R665">
        <v>776.2</v>
      </c>
      <c r="S665" t="s">
        <v>100</v>
      </c>
      <c r="T665" t="s">
        <v>89</v>
      </c>
      <c r="U665" t="s">
        <v>4508</v>
      </c>
      <c r="V665" t="s">
        <v>4509</v>
      </c>
      <c r="W665">
        <v>25</v>
      </c>
      <c r="X665" t="s">
        <v>53</v>
      </c>
      <c r="Y665">
        <v>0</v>
      </c>
    </row>
    <row r="666" spans="1:25" x14ac:dyDescent="0.35">
      <c r="A666" t="s">
        <v>4510</v>
      </c>
      <c r="B666" s="1">
        <v>45679</v>
      </c>
      <c r="C666" s="1">
        <v>45682</v>
      </c>
      <c r="D666" t="s">
        <v>3477</v>
      </c>
      <c r="E666" t="s">
        <v>4511</v>
      </c>
      <c r="F666" t="s">
        <v>28</v>
      </c>
      <c r="G666" t="s">
        <v>4512</v>
      </c>
      <c r="H666" t="s">
        <v>68</v>
      </c>
      <c r="I666" t="s">
        <v>31</v>
      </c>
      <c r="J666" t="s">
        <v>32</v>
      </c>
      <c r="K666" t="s">
        <v>598</v>
      </c>
      <c r="L666" t="s">
        <v>4513</v>
      </c>
      <c r="M666">
        <v>7</v>
      </c>
      <c r="N666">
        <v>4044</v>
      </c>
      <c r="O666">
        <v>10</v>
      </c>
      <c r="P666">
        <v>26254.2</v>
      </c>
      <c r="Q666">
        <v>25477.93</v>
      </c>
      <c r="R666">
        <v>776.27</v>
      </c>
      <c r="S666" t="s">
        <v>35</v>
      </c>
      <c r="T666" t="s">
        <v>89</v>
      </c>
      <c r="U666" t="s">
        <v>4514</v>
      </c>
      <c r="V666" t="s">
        <v>4515</v>
      </c>
      <c r="W666">
        <v>34</v>
      </c>
      <c r="X666" t="s">
        <v>53</v>
      </c>
      <c r="Y666">
        <v>0</v>
      </c>
    </row>
    <row r="667" spans="1:25" x14ac:dyDescent="0.35">
      <c r="A667" t="s">
        <v>4516</v>
      </c>
      <c r="B667" s="1">
        <v>45860</v>
      </c>
      <c r="C667" s="1">
        <v>45865</v>
      </c>
      <c r="D667" t="s">
        <v>1923</v>
      </c>
      <c r="E667" t="s">
        <v>4517</v>
      </c>
      <c r="F667" t="s">
        <v>95</v>
      </c>
      <c r="G667" t="s">
        <v>4518</v>
      </c>
      <c r="H667" t="s">
        <v>364</v>
      </c>
      <c r="I667" t="s">
        <v>137</v>
      </c>
      <c r="J667" t="s">
        <v>97</v>
      </c>
      <c r="K667" t="s">
        <v>970</v>
      </c>
      <c r="L667" t="s">
        <v>4519</v>
      </c>
      <c r="M667">
        <v>6</v>
      </c>
      <c r="N667">
        <v>3284</v>
      </c>
      <c r="O667">
        <v>0</v>
      </c>
      <c r="P667">
        <v>20481</v>
      </c>
      <c r="Q667">
        <v>19704.68</v>
      </c>
      <c r="R667">
        <v>776.32</v>
      </c>
      <c r="S667" t="s">
        <v>35</v>
      </c>
      <c r="T667" t="s">
        <v>50</v>
      </c>
      <c r="U667" t="s">
        <v>4520</v>
      </c>
      <c r="V667" t="s">
        <v>4521</v>
      </c>
      <c r="W667">
        <v>35</v>
      </c>
      <c r="X667" t="s">
        <v>53</v>
      </c>
      <c r="Y667">
        <v>0</v>
      </c>
    </row>
    <row r="668" spans="1:25" x14ac:dyDescent="0.35">
      <c r="A668" t="s">
        <v>4522</v>
      </c>
      <c r="B668" s="1">
        <v>45397</v>
      </c>
      <c r="C668" s="1">
        <v>45398</v>
      </c>
      <c r="D668" t="s">
        <v>4523</v>
      </c>
      <c r="E668" t="s">
        <v>4524</v>
      </c>
      <c r="F668" t="s">
        <v>57</v>
      </c>
      <c r="G668" t="s">
        <v>4525</v>
      </c>
      <c r="H668" t="s">
        <v>172</v>
      </c>
      <c r="I668" t="s">
        <v>45</v>
      </c>
      <c r="J668" t="s">
        <v>46</v>
      </c>
      <c r="K668" t="s">
        <v>927</v>
      </c>
      <c r="L668" t="s">
        <v>4526</v>
      </c>
      <c r="M668">
        <v>3</v>
      </c>
      <c r="N668">
        <v>2863</v>
      </c>
      <c r="O668">
        <v>0</v>
      </c>
      <c r="P668">
        <v>9366</v>
      </c>
      <c r="Q668">
        <v>8589.69</v>
      </c>
      <c r="R668">
        <v>776.31</v>
      </c>
      <c r="S668" t="s">
        <v>80</v>
      </c>
      <c r="T668" t="s">
        <v>89</v>
      </c>
      <c r="U668" t="s">
        <v>4527</v>
      </c>
      <c r="V668" t="s">
        <v>4528</v>
      </c>
      <c r="W668">
        <v>42</v>
      </c>
      <c r="X668" t="s">
        <v>53</v>
      </c>
      <c r="Y668">
        <v>0</v>
      </c>
    </row>
    <row r="669" spans="1:25" x14ac:dyDescent="0.35">
      <c r="A669" t="s">
        <v>4529</v>
      </c>
      <c r="B669" s="1">
        <v>45733</v>
      </c>
      <c r="C669" s="1">
        <v>45735</v>
      </c>
      <c r="D669" t="s">
        <v>711</v>
      </c>
      <c r="E669" t="s">
        <v>4530</v>
      </c>
      <c r="F669" t="s">
        <v>57</v>
      </c>
      <c r="G669" t="s">
        <v>4531</v>
      </c>
      <c r="H669" t="s">
        <v>127</v>
      </c>
      <c r="I669" t="s">
        <v>45</v>
      </c>
      <c r="J669" t="s">
        <v>118</v>
      </c>
      <c r="K669" t="s">
        <v>927</v>
      </c>
      <c r="L669" t="s">
        <v>4532</v>
      </c>
      <c r="M669">
        <v>9</v>
      </c>
      <c r="N669">
        <v>3975</v>
      </c>
      <c r="O669">
        <v>0</v>
      </c>
      <c r="P669">
        <v>36552</v>
      </c>
      <c r="Q669">
        <v>35775.69</v>
      </c>
      <c r="R669">
        <v>776.31</v>
      </c>
      <c r="S669" t="s">
        <v>80</v>
      </c>
      <c r="T669" t="s">
        <v>36</v>
      </c>
      <c r="U669" t="s">
        <v>4533</v>
      </c>
      <c r="V669" t="s">
        <v>4534</v>
      </c>
      <c r="W669">
        <v>30</v>
      </c>
      <c r="X669" t="s">
        <v>53</v>
      </c>
      <c r="Y669">
        <v>0</v>
      </c>
    </row>
    <row r="670" spans="1:25" x14ac:dyDescent="0.35">
      <c r="A670" t="s">
        <v>4535</v>
      </c>
      <c r="B670" s="1">
        <v>45381</v>
      </c>
      <c r="C670" s="1">
        <v>45388</v>
      </c>
      <c r="D670" t="s">
        <v>2091</v>
      </c>
      <c r="E670" t="s">
        <v>4536</v>
      </c>
      <c r="F670" t="s">
        <v>57</v>
      </c>
      <c r="G670" t="s">
        <v>4537</v>
      </c>
      <c r="H670" t="s">
        <v>59</v>
      </c>
      <c r="I670" t="s">
        <v>31</v>
      </c>
      <c r="J670" t="s">
        <v>97</v>
      </c>
      <c r="K670" t="s">
        <v>1898</v>
      </c>
      <c r="L670" t="s">
        <v>736</v>
      </c>
      <c r="M670">
        <v>6</v>
      </c>
      <c r="N670">
        <v>4353</v>
      </c>
      <c r="O670">
        <v>10</v>
      </c>
      <c r="P670">
        <v>24283.200000000001</v>
      </c>
      <c r="Q670">
        <v>23507.09</v>
      </c>
      <c r="R670">
        <v>776.11</v>
      </c>
      <c r="S670" t="s">
        <v>49</v>
      </c>
      <c r="T670" t="s">
        <v>89</v>
      </c>
      <c r="U670" t="s">
        <v>4538</v>
      </c>
      <c r="V670" t="s">
        <v>4539</v>
      </c>
      <c r="W670">
        <v>11</v>
      </c>
      <c r="X670" t="s">
        <v>53</v>
      </c>
      <c r="Y670">
        <v>0</v>
      </c>
    </row>
    <row r="671" spans="1:25" x14ac:dyDescent="0.35">
      <c r="A671" t="s">
        <v>4540</v>
      </c>
      <c r="B671" s="1">
        <v>45730</v>
      </c>
      <c r="C671" s="1">
        <v>45733</v>
      </c>
      <c r="D671" t="s">
        <v>4541</v>
      </c>
      <c r="E671" t="s">
        <v>4542</v>
      </c>
      <c r="F671" t="s">
        <v>95</v>
      </c>
      <c r="G671" t="s">
        <v>4543</v>
      </c>
      <c r="H671" t="s">
        <v>107</v>
      </c>
      <c r="I671" t="s">
        <v>108</v>
      </c>
      <c r="J671" t="s">
        <v>97</v>
      </c>
      <c r="K671" t="s">
        <v>786</v>
      </c>
      <c r="L671" t="s">
        <v>4544</v>
      </c>
      <c r="M671">
        <v>3</v>
      </c>
      <c r="N671">
        <v>4943</v>
      </c>
      <c r="O671">
        <v>10</v>
      </c>
      <c r="P671">
        <v>14123.1</v>
      </c>
      <c r="Q671">
        <v>13346.89</v>
      </c>
      <c r="R671">
        <v>776.21</v>
      </c>
      <c r="S671" t="s">
        <v>80</v>
      </c>
      <c r="T671" t="s">
        <v>36</v>
      </c>
      <c r="U671" t="s">
        <v>4545</v>
      </c>
      <c r="V671" t="s">
        <v>4546</v>
      </c>
      <c r="W671">
        <v>12</v>
      </c>
      <c r="X671" t="s">
        <v>53</v>
      </c>
      <c r="Y671">
        <v>0</v>
      </c>
    </row>
    <row r="672" spans="1:25" x14ac:dyDescent="0.35">
      <c r="A672" t="s">
        <v>4547</v>
      </c>
      <c r="B672" s="1">
        <v>45852</v>
      </c>
      <c r="C672" s="1">
        <v>45853</v>
      </c>
      <c r="D672" t="s">
        <v>124</v>
      </c>
      <c r="E672" t="s">
        <v>4548</v>
      </c>
      <c r="F672" t="s">
        <v>57</v>
      </c>
      <c r="G672" t="s">
        <v>4549</v>
      </c>
      <c r="H672" t="s">
        <v>283</v>
      </c>
      <c r="I672" t="s">
        <v>45</v>
      </c>
      <c r="J672" t="s">
        <v>32</v>
      </c>
      <c r="K672" t="s">
        <v>699</v>
      </c>
      <c r="L672" t="s">
        <v>2997</v>
      </c>
      <c r="M672">
        <v>1</v>
      </c>
      <c r="N672">
        <v>3179</v>
      </c>
      <c r="O672">
        <v>15</v>
      </c>
      <c r="P672">
        <v>3479.15</v>
      </c>
      <c r="Q672">
        <v>2702.85</v>
      </c>
      <c r="R672">
        <v>776.3</v>
      </c>
      <c r="S672" t="s">
        <v>49</v>
      </c>
      <c r="T672" t="s">
        <v>89</v>
      </c>
      <c r="U672" t="s">
        <v>4550</v>
      </c>
      <c r="V672" t="s">
        <v>4551</v>
      </c>
      <c r="W672">
        <v>42</v>
      </c>
      <c r="X672" t="s">
        <v>53</v>
      </c>
      <c r="Y672">
        <v>0</v>
      </c>
    </row>
    <row r="673" spans="1:25" x14ac:dyDescent="0.35">
      <c r="A673" t="s">
        <v>4552</v>
      </c>
      <c r="B673" s="1">
        <v>45554</v>
      </c>
      <c r="C673" s="1">
        <v>45555</v>
      </c>
      <c r="D673" t="s">
        <v>74</v>
      </c>
      <c r="E673" t="s">
        <v>4553</v>
      </c>
      <c r="F673" t="s">
        <v>57</v>
      </c>
      <c r="G673" t="s">
        <v>4554</v>
      </c>
      <c r="H673" t="s">
        <v>127</v>
      </c>
      <c r="I673" t="s">
        <v>45</v>
      </c>
      <c r="J673" t="s">
        <v>46</v>
      </c>
      <c r="K673" t="s">
        <v>87</v>
      </c>
      <c r="L673" t="s">
        <v>4555</v>
      </c>
      <c r="M673">
        <v>5</v>
      </c>
      <c r="N673">
        <v>2821</v>
      </c>
      <c r="O673">
        <v>10</v>
      </c>
      <c r="P673">
        <v>13471.5</v>
      </c>
      <c r="Q673">
        <v>12695.36</v>
      </c>
      <c r="R673">
        <v>776.14</v>
      </c>
      <c r="S673" t="s">
        <v>80</v>
      </c>
      <c r="T673" t="s">
        <v>50</v>
      </c>
      <c r="U673" t="s">
        <v>4556</v>
      </c>
      <c r="V673" t="s">
        <v>4557</v>
      </c>
      <c r="W673">
        <v>40</v>
      </c>
      <c r="X673" t="s">
        <v>53</v>
      </c>
      <c r="Y673">
        <v>0</v>
      </c>
    </row>
    <row r="674" spans="1:25" x14ac:dyDescent="0.35">
      <c r="A674" t="s">
        <v>4558</v>
      </c>
      <c r="B674" s="1">
        <v>45829</v>
      </c>
      <c r="C674" s="1">
        <v>45832</v>
      </c>
      <c r="D674" t="s">
        <v>4559</v>
      </c>
      <c r="E674" t="s">
        <v>413</v>
      </c>
      <c r="F674" t="s">
        <v>57</v>
      </c>
      <c r="G674" t="s">
        <v>495</v>
      </c>
      <c r="H674" t="s">
        <v>206</v>
      </c>
      <c r="I674" t="s">
        <v>31</v>
      </c>
      <c r="J674" t="s">
        <v>32</v>
      </c>
      <c r="K674" t="s">
        <v>207</v>
      </c>
      <c r="L674" t="s">
        <v>4560</v>
      </c>
      <c r="M674">
        <v>8</v>
      </c>
      <c r="N674">
        <v>2735</v>
      </c>
      <c r="O674">
        <v>15</v>
      </c>
      <c r="P674">
        <v>19375</v>
      </c>
      <c r="Q674">
        <v>18598.689999999999</v>
      </c>
      <c r="R674">
        <v>776.31</v>
      </c>
      <c r="S674" t="s">
        <v>80</v>
      </c>
      <c r="T674" t="s">
        <v>140</v>
      </c>
      <c r="U674" t="s">
        <v>4561</v>
      </c>
      <c r="V674" t="s">
        <v>4562</v>
      </c>
      <c r="W674">
        <v>25</v>
      </c>
      <c r="X674" t="s">
        <v>53</v>
      </c>
      <c r="Y674">
        <v>0</v>
      </c>
    </row>
    <row r="675" spans="1:25" x14ac:dyDescent="0.35">
      <c r="A675" t="s">
        <v>4563</v>
      </c>
      <c r="B675" s="1">
        <v>45396</v>
      </c>
      <c r="C675" s="1">
        <v>45397</v>
      </c>
      <c r="D675" t="s">
        <v>4564</v>
      </c>
      <c r="E675" t="s">
        <v>4565</v>
      </c>
      <c r="F675" t="s">
        <v>95</v>
      </c>
      <c r="G675" t="s">
        <v>4566</v>
      </c>
      <c r="H675" t="s">
        <v>206</v>
      </c>
      <c r="I675" t="s">
        <v>31</v>
      </c>
      <c r="J675" t="s">
        <v>118</v>
      </c>
      <c r="K675" t="s">
        <v>662</v>
      </c>
      <c r="L675" t="s">
        <v>4567</v>
      </c>
      <c r="M675">
        <v>4</v>
      </c>
      <c r="N675">
        <v>1982</v>
      </c>
      <c r="O675">
        <v>5</v>
      </c>
      <c r="P675">
        <v>8308.6</v>
      </c>
      <c r="Q675">
        <v>7532.35</v>
      </c>
      <c r="R675">
        <v>776.25</v>
      </c>
      <c r="S675" t="s">
        <v>49</v>
      </c>
      <c r="T675" t="s">
        <v>50</v>
      </c>
      <c r="U675" t="s">
        <v>4568</v>
      </c>
      <c r="V675" t="s">
        <v>4569</v>
      </c>
      <c r="W675">
        <v>41</v>
      </c>
      <c r="X675" t="s">
        <v>53</v>
      </c>
      <c r="Y675">
        <v>0</v>
      </c>
    </row>
    <row r="676" spans="1:25" x14ac:dyDescent="0.35">
      <c r="A676" t="s">
        <v>4570</v>
      </c>
      <c r="B676" s="1">
        <v>45949</v>
      </c>
      <c r="C676" s="1">
        <v>45955</v>
      </c>
      <c r="D676" t="s">
        <v>1162</v>
      </c>
      <c r="E676" t="s">
        <v>4571</v>
      </c>
      <c r="F676" t="s">
        <v>28</v>
      </c>
      <c r="G676" t="s">
        <v>4572</v>
      </c>
      <c r="H676" t="s">
        <v>334</v>
      </c>
      <c r="I676" t="s">
        <v>108</v>
      </c>
      <c r="J676" t="s">
        <v>46</v>
      </c>
      <c r="K676" t="s">
        <v>662</v>
      </c>
      <c r="L676" t="s">
        <v>4573</v>
      </c>
      <c r="M676">
        <v>1</v>
      </c>
      <c r="N676">
        <v>3731</v>
      </c>
      <c r="O676">
        <v>20</v>
      </c>
      <c r="P676">
        <v>3761.8</v>
      </c>
      <c r="Q676">
        <v>2985.52</v>
      </c>
      <c r="R676">
        <v>776.28</v>
      </c>
      <c r="S676" t="s">
        <v>49</v>
      </c>
      <c r="T676" t="s">
        <v>89</v>
      </c>
      <c r="U676" t="s">
        <v>4574</v>
      </c>
      <c r="V676" t="s">
        <v>4575</v>
      </c>
      <c r="W676">
        <v>18</v>
      </c>
      <c r="X676" t="s">
        <v>53</v>
      </c>
      <c r="Y676">
        <v>0</v>
      </c>
    </row>
    <row r="677" spans="1:25" x14ac:dyDescent="0.35">
      <c r="A677" t="s">
        <v>4576</v>
      </c>
      <c r="B677" s="1">
        <v>45777</v>
      </c>
      <c r="C677" s="1">
        <v>45782</v>
      </c>
      <c r="D677" t="s">
        <v>574</v>
      </c>
      <c r="E677" t="s">
        <v>4577</v>
      </c>
      <c r="F677" t="s">
        <v>28</v>
      </c>
      <c r="G677" t="s">
        <v>4578</v>
      </c>
      <c r="H677" t="s">
        <v>77</v>
      </c>
      <c r="I677" t="s">
        <v>45</v>
      </c>
      <c r="J677" t="s">
        <v>118</v>
      </c>
      <c r="K677" t="s">
        <v>927</v>
      </c>
      <c r="L677" t="s">
        <v>4579</v>
      </c>
      <c r="M677">
        <v>2</v>
      </c>
      <c r="N677">
        <v>4107</v>
      </c>
      <c r="O677">
        <v>20</v>
      </c>
      <c r="P677">
        <v>7348.2</v>
      </c>
      <c r="Q677">
        <v>6571.88</v>
      </c>
      <c r="R677">
        <v>776.32</v>
      </c>
      <c r="S677" t="s">
        <v>49</v>
      </c>
      <c r="T677" t="s">
        <v>36</v>
      </c>
      <c r="U677" t="s">
        <v>4580</v>
      </c>
      <c r="V677" t="s">
        <v>4581</v>
      </c>
      <c r="W677">
        <v>13</v>
      </c>
      <c r="X677" t="s">
        <v>53</v>
      </c>
      <c r="Y677">
        <v>0</v>
      </c>
    </row>
    <row r="678" spans="1:25" x14ac:dyDescent="0.35">
      <c r="A678" t="s">
        <v>4582</v>
      </c>
      <c r="B678" s="1">
        <v>45560</v>
      </c>
      <c r="C678" s="1">
        <v>45567</v>
      </c>
      <c r="D678" t="s">
        <v>1037</v>
      </c>
      <c r="E678" t="s">
        <v>4583</v>
      </c>
      <c r="F678" t="s">
        <v>95</v>
      </c>
      <c r="G678" t="s">
        <v>4584</v>
      </c>
      <c r="H678" t="s">
        <v>189</v>
      </c>
      <c r="I678" t="s">
        <v>108</v>
      </c>
      <c r="J678" t="s">
        <v>97</v>
      </c>
      <c r="K678" t="s">
        <v>1898</v>
      </c>
      <c r="L678" t="s">
        <v>4585</v>
      </c>
      <c r="M678">
        <v>5</v>
      </c>
      <c r="N678">
        <v>2631</v>
      </c>
      <c r="O678">
        <v>15</v>
      </c>
      <c r="P678">
        <v>11958.75</v>
      </c>
      <c r="Q678">
        <v>11182.5</v>
      </c>
      <c r="R678">
        <v>776.25</v>
      </c>
      <c r="S678" t="s">
        <v>49</v>
      </c>
      <c r="T678" t="s">
        <v>50</v>
      </c>
      <c r="U678" t="s">
        <v>3081</v>
      </c>
      <c r="V678" t="s">
        <v>4586</v>
      </c>
      <c r="W678">
        <v>29</v>
      </c>
      <c r="X678" t="s">
        <v>53</v>
      </c>
      <c r="Y678">
        <v>0</v>
      </c>
    </row>
    <row r="679" spans="1:25" x14ac:dyDescent="0.35">
      <c r="A679" t="s">
        <v>4587</v>
      </c>
      <c r="B679" s="1">
        <v>45577</v>
      </c>
      <c r="C679" s="1">
        <v>45580</v>
      </c>
      <c r="D679" t="s">
        <v>4588</v>
      </c>
      <c r="E679" t="s">
        <v>4589</v>
      </c>
      <c r="F679" t="s">
        <v>57</v>
      </c>
      <c r="G679" t="s">
        <v>4590</v>
      </c>
      <c r="H679" t="s">
        <v>334</v>
      </c>
      <c r="I679" t="s">
        <v>108</v>
      </c>
      <c r="J679" t="s">
        <v>97</v>
      </c>
      <c r="K679" t="s">
        <v>78</v>
      </c>
      <c r="L679" t="s">
        <v>4591</v>
      </c>
      <c r="M679">
        <v>10</v>
      </c>
      <c r="N679">
        <v>1214</v>
      </c>
      <c r="O679">
        <v>0</v>
      </c>
      <c r="P679">
        <v>12917</v>
      </c>
      <c r="Q679">
        <v>12140.89</v>
      </c>
      <c r="R679">
        <v>776.11</v>
      </c>
      <c r="S679" t="s">
        <v>35</v>
      </c>
      <c r="T679" t="s">
        <v>36</v>
      </c>
      <c r="U679" t="s">
        <v>4592</v>
      </c>
      <c r="V679" t="s">
        <v>4593</v>
      </c>
      <c r="W679">
        <v>48</v>
      </c>
      <c r="X679" t="s">
        <v>53</v>
      </c>
      <c r="Y679">
        <v>0</v>
      </c>
    </row>
    <row r="680" spans="1:25" x14ac:dyDescent="0.35">
      <c r="A680" t="s">
        <v>4594</v>
      </c>
      <c r="B680" s="1">
        <v>45457</v>
      </c>
      <c r="C680" s="1">
        <v>45458</v>
      </c>
      <c r="D680" t="s">
        <v>1197</v>
      </c>
      <c r="E680" t="s">
        <v>4595</v>
      </c>
      <c r="F680" t="s">
        <v>57</v>
      </c>
      <c r="G680" t="s">
        <v>4596</v>
      </c>
      <c r="H680" t="s">
        <v>77</v>
      </c>
      <c r="I680" t="s">
        <v>45</v>
      </c>
      <c r="J680" t="s">
        <v>46</v>
      </c>
      <c r="K680" t="s">
        <v>524</v>
      </c>
      <c r="L680" t="s">
        <v>4597</v>
      </c>
      <c r="M680">
        <v>5</v>
      </c>
      <c r="N680">
        <v>4218</v>
      </c>
      <c r="O680">
        <v>15</v>
      </c>
      <c r="P680">
        <v>18703.5</v>
      </c>
      <c r="Q680">
        <v>17927.11</v>
      </c>
      <c r="R680">
        <v>776.39</v>
      </c>
      <c r="S680" t="s">
        <v>35</v>
      </c>
      <c r="T680" t="s">
        <v>50</v>
      </c>
      <c r="U680" t="s">
        <v>4598</v>
      </c>
      <c r="V680" t="s">
        <v>4599</v>
      </c>
      <c r="W680">
        <v>2</v>
      </c>
      <c r="X680" t="s">
        <v>39</v>
      </c>
      <c r="Y680">
        <v>45</v>
      </c>
    </row>
    <row r="681" spans="1:25" x14ac:dyDescent="0.35">
      <c r="A681" t="s">
        <v>4600</v>
      </c>
      <c r="B681" s="1">
        <v>45546</v>
      </c>
      <c r="C681" s="1">
        <v>45550</v>
      </c>
      <c r="D681" t="s">
        <v>3203</v>
      </c>
      <c r="E681" t="s">
        <v>4601</v>
      </c>
      <c r="F681" t="s">
        <v>95</v>
      </c>
      <c r="G681" t="s">
        <v>4602</v>
      </c>
      <c r="H681" t="s">
        <v>77</v>
      </c>
      <c r="I681" t="s">
        <v>45</v>
      </c>
      <c r="J681" t="s">
        <v>118</v>
      </c>
      <c r="K681" t="s">
        <v>992</v>
      </c>
      <c r="L681" t="s">
        <v>4603</v>
      </c>
      <c r="M681">
        <v>9</v>
      </c>
      <c r="N681">
        <v>258</v>
      </c>
      <c r="O681">
        <v>15</v>
      </c>
      <c r="P681">
        <v>2750.7</v>
      </c>
      <c r="Q681">
        <v>1974.31</v>
      </c>
      <c r="R681">
        <v>776.39</v>
      </c>
      <c r="S681" t="s">
        <v>80</v>
      </c>
      <c r="T681" t="s">
        <v>140</v>
      </c>
      <c r="U681" t="s">
        <v>4604</v>
      </c>
      <c r="V681" t="s">
        <v>4605</v>
      </c>
      <c r="W681">
        <v>14</v>
      </c>
      <c r="X681" t="s">
        <v>53</v>
      </c>
      <c r="Y681">
        <v>0</v>
      </c>
    </row>
    <row r="682" spans="1:25" x14ac:dyDescent="0.35">
      <c r="A682" t="s">
        <v>4606</v>
      </c>
      <c r="B682" s="1">
        <v>45512</v>
      </c>
      <c r="C682" s="1">
        <v>45514</v>
      </c>
      <c r="D682" t="s">
        <v>4607</v>
      </c>
      <c r="E682" t="s">
        <v>4608</v>
      </c>
      <c r="F682" t="s">
        <v>57</v>
      </c>
      <c r="G682" t="s">
        <v>4609</v>
      </c>
      <c r="H682" t="s">
        <v>30</v>
      </c>
      <c r="I682" t="s">
        <v>31</v>
      </c>
      <c r="J682" t="s">
        <v>118</v>
      </c>
      <c r="K682" t="s">
        <v>312</v>
      </c>
      <c r="L682" t="s">
        <v>4610</v>
      </c>
      <c r="M682">
        <v>7</v>
      </c>
      <c r="N682">
        <v>4798</v>
      </c>
      <c r="O682">
        <v>10</v>
      </c>
      <c r="P682">
        <v>31004.400000000001</v>
      </c>
      <c r="Q682">
        <v>30228.22</v>
      </c>
      <c r="R682">
        <v>776.18</v>
      </c>
      <c r="S682" t="s">
        <v>49</v>
      </c>
      <c r="T682" t="s">
        <v>140</v>
      </c>
      <c r="U682" t="s">
        <v>4611</v>
      </c>
      <c r="V682" t="s">
        <v>4612</v>
      </c>
      <c r="W682">
        <v>45</v>
      </c>
      <c r="X682" t="s">
        <v>53</v>
      </c>
      <c r="Y682">
        <v>0</v>
      </c>
    </row>
    <row r="683" spans="1:25" x14ac:dyDescent="0.35">
      <c r="A683" t="s">
        <v>4613</v>
      </c>
      <c r="B683" s="1">
        <v>45397</v>
      </c>
      <c r="C683" s="1">
        <v>45398</v>
      </c>
      <c r="D683" t="s">
        <v>4614</v>
      </c>
      <c r="E683" t="s">
        <v>4615</v>
      </c>
      <c r="F683" t="s">
        <v>95</v>
      </c>
      <c r="G683" t="s">
        <v>4616</v>
      </c>
      <c r="H683" t="s">
        <v>320</v>
      </c>
      <c r="I683" t="s">
        <v>137</v>
      </c>
      <c r="J683" t="s">
        <v>118</v>
      </c>
      <c r="K683" t="s">
        <v>155</v>
      </c>
      <c r="L683" t="s">
        <v>4617</v>
      </c>
      <c r="M683">
        <v>7</v>
      </c>
      <c r="N683">
        <v>4724</v>
      </c>
      <c r="O683">
        <v>15</v>
      </c>
      <c r="P683">
        <v>28884.799999999999</v>
      </c>
      <c r="Q683">
        <v>28108.639999999999</v>
      </c>
      <c r="R683">
        <v>776.16</v>
      </c>
      <c r="S683" t="s">
        <v>100</v>
      </c>
      <c r="T683" t="s">
        <v>36</v>
      </c>
      <c r="U683" t="s">
        <v>4618</v>
      </c>
      <c r="V683" t="s">
        <v>4619</v>
      </c>
      <c r="W683">
        <v>35</v>
      </c>
      <c r="X683" t="s">
        <v>53</v>
      </c>
      <c r="Y683">
        <v>0</v>
      </c>
    </row>
    <row r="684" spans="1:25" x14ac:dyDescent="0.35">
      <c r="A684" t="s">
        <v>4620</v>
      </c>
      <c r="B684" s="1">
        <v>45592</v>
      </c>
      <c r="C684" s="1">
        <v>45595</v>
      </c>
      <c r="D684" t="s">
        <v>624</v>
      </c>
      <c r="E684" t="s">
        <v>4621</v>
      </c>
      <c r="F684" t="s">
        <v>28</v>
      </c>
      <c r="G684" t="s">
        <v>4622</v>
      </c>
      <c r="H684" t="s">
        <v>77</v>
      </c>
      <c r="I684" t="s">
        <v>45</v>
      </c>
      <c r="J684" t="s">
        <v>118</v>
      </c>
      <c r="K684" t="s">
        <v>415</v>
      </c>
      <c r="L684" t="s">
        <v>4623</v>
      </c>
      <c r="M684">
        <v>9</v>
      </c>
      <c r="N684">
        <v>846</v>
      </c>
      <c r="O684">
        <v>0</v>
      </c>
      <c r="P684">
        <v>8391</v>
      </c>
      <c r="Q684">
        <v>7614.63</v>
      </c>
      <c r="R684">
        <v>776.37</v>
      </c>
      <c r="S684" t="s">
        <v>35</v>
      </c>
      <c r="T684" t="s">
        <v>50</v>
      </c>
      <c r="U684" t="s">
        <v>4624</v>
      </c>
      <c r="V684" t="s">
        <v>4625</v>
      </c>
      <c r="W684">
        <v>38</v>
      </c>
      <c r="X684" t="s">
        <v>53</v>
      </c>
      <c r="Y684">
        <v>0</v>
      </c>
    </row>
    <row r="685" spans="1:25" x14ac:dyDescent="0.35">
      <c r="A685" t="s">
        <v>4626</v>
      </c>
      <c r="B685" s="1">
        <v>45489</v>
      </c>
      <c r="C685" s="1">
        <v>45496</v>
      </c>
      <c r="D685" t="s">
        <v>1509</v>
      </c>
      <c r="E685" t="s">
        <v>4627</v>
      </c>
      <c r="F685" t="s">
        <v>28</v>
      </c>
      <c r="G685" t="s">
        <v>4628</v>
      </c>
      <c r="H685" t="s">
        <v>283</v>
      </c>
      <c r="I685" t="s">
        <v>45</v>
      </c>
      <c r="J685" t="s">
        <v>32</v>
      </c>
      <c r="K685" t="s">
        <v>190</v>
      </c>
      <c r="L685" t="s">
        <v>4629</v>
      </c>
      <c r="M685">
        <v>7</v>
      </c>
      <c r="N685">
        <v>437</v>
      </c>
      <c r="O685">
        <v>10</v>
      </c>
      <c r="P685">
        <v>3530.1</v>
      </c>
      <c r="Q685">
        <v>2753.88</v>
      </c>
      <c r="R685">
        <v>776.22</v>
      </c>
      <c r="S685" t="s">
        <v>35</v>
      </c>
      <c r="T685" t="s">
        <v>89</v>
      </c>
      <c r="U685" t="s">
        <v>4630</v>
      </c>
      <c r="V685" t="s">
        <v>4631</v>
      </c>
      <c r="W685">
        <v>10</v>
      </c>
      <c r="X685" t="s">
        <v>53</v>
      </c>
      <c r="Y685">
        <v>0</v>
      </c>
    </row>
    <row r="686" spans="1:25" x14ac:dyDescent="0.35">
      <c r="A686" t="s">
        <v>4632</v>
      </c>
      <c r="B686" s="1">
        <v>45337</v>
      </c>
      <c r="C686" s="1">
        <v>45340</v>
      </c>
      <c r="D686" t="s">
        <v>1315</v>
      </c>
      <c r="E686" t="s">
        <v>4633</v>
      </c>
      <c r="F686" t="s">
        <v>95</v>
      </c>
      <c r="G686" t="s">
        <v>4634</v>
      </c>
      <c r="H686" t="s">
        <v>283</v>
      </c>
      <c r="I686" t="s">
        <v>45</v>
      </c>
      <c r="J686" t="s">
        <v>97</v>
      </c>
      <c r="K686" t="s">
        <v>532</v>
      </c>
      <c r="L686" t="s">
        <v>978</v>
      </c>
      <c r="M686">
        <v>5</v>
      </c>
      <c r="N686">
        <v>2259</v>
      </c>
      <c r="O686">
        <v>15</v>
      </c>
      <c r="P686">
        <v>10377.75</v>
      </c>
      <c r="Q686">
        <v>9601.6299999999992</v>
      </c>
      <c r="R686">
        <v>776.12</v>
      </c>
      <c r="S686" t="s">
        <v>35</v>
      </c>
      <c r="T686" t="s">
        <v>36</v>
      </c>
      <c r="U686" t="s">
        <v>4635</v>
      </c>
      <c r="V686" t="s">
        <v>4636</v>
      </c>
      <c r="W686">
        <v>1</v>
      </c>
      <c r="X686" t="s">
        <v>39</v>
      </c>
      <c r="Y686">
        <v>26</v>
      </c>
    </row>
    <row r="687" spans="1:25" x14ac:dyDescent="0.35">
      <c r="A687" t="s">
        <v>4637</v>
      </c>
      <c r="B687" s="1">
        <v>45867</v>
      </c>
      <c r="C687" s="1">
        <v>45869</v>
      </c>
      <c r="D687" t="s">
        <v>2169</v>
      </c>
      <c r="E687" t="s">
        <v>4638</v>
      </c>
      <c r="F687" t="s">
        <v>95</v>
      </c>
      <c r="G687" t="s">
        <v>4639</v>
      </c>
      <c r="H687" t="s">
        <v>136</v>
      </c>
      <c r="I687" t="s">
        <v>137</v>
      </c>
      <c r="J687" t="s">
        <v>46</v>
      </c>
      <c r="K687" t="s">
        <v>33</v>
      </c>
      <c r="L687" t="s">
        <v>4640</v>
      </c>
      <c r="M687">
        <v>1</v>
      </c>
      <c r="N687">
        <v>2559</v>
      </c>
      <c r="O687">
        <v>5</v>
      </c>
      <c r="P687">
        <v>3208.05</v>
      </c>
      <c r="Q687">
        <v>2431.66</v>
      </c>
      <c r="R687">
        <v>776.39</v>
      </c>
      <c r="S687" t="s">
        <v>100</v>
      </c>
      <c r="T687" t="s">
        <v>140</v>
      </c>
      <c r="U687" t="s">
        <v>4641</v>
      </c>
      <c r="V687" t="s">
        <v>4642</v>
      </c>
      <c r="W687">
        <v>50</v>
      </c>
      <c r="X687" t="s">
        <v>53</v>
      </c>
      <c r="Y687">
        <v>0</v>
      </c>
    </row>
    <row r="688" spans="1:25" x14ac:dyDescent="0.35">
      <c r="A688" t="s">
        <v>4643</v>
      </c>
      <c r="B688" s="1">
        <v>45529</v>
      </c>
      <c r="C688" s="1">
        <v>45530</v>
      </c>
      <c r="D688" t="s">
        <v>4644</v>
      </c>
      <c r="E688" t="s">
        <v>4645</v>
      </c>
      <c r="F688" t="s">
        <v>57</v>
      </c>
      <c r="G688" t="s">
        <v>4646</v>
      </c>
      <c r="H688" t="s">
        <v>334</v>
      </c>
      <c r="I688" t="s">
        <v>108</v>
      </c>
      <c r="J688" t="s">
        <v>118</v>
      </c>
      <c r="K688" t="s">
        <v>927</v>
      </c>
      <c r="L688" t="s">
        <v>2222</v>
      </c>
      <c r="M688">
        <v>6</v>
      </c>
      <c r="N688">
        <v>2841</v>
      </c>
      <c r="O688">
        <v>20</v>
      </c>
      <c r="P688">
        <v>14413.8</v>
      </c>
      <c r="Q688">
        <v>13637.44</v>
      </c>
      <c r="R688">
        <v>776.36</v>
      </c>
      <c r="S688" t="s">
        <v>35</v>
      </c>
      <c r="T688" t="s">
        <v>50</v>
      </c>
      <c r="U688" t="s">
        <v>4647</v>
      </c>
      <c r="V688" t="s">
        <v>4648</v>
      </c>
      <c r="W688">
        <v>47</v>
      </c>
      <c r="X688" t="s">
        <v>53</v>
      </c>
      <c r="Y688">
        <v>0</v>
      </c>
    </row>
    <row r="689" spans="1:25" x14ac:dyDescent="0.35">
      <c r="A689" t="s">
        <v>4649</v>
      </c>
      <c r="B689" s="1">
        <v>45595</v>
      </c>
      <c r="C689" s="1">
        <v>45598</v>
      </c>
      <c r="D689" t="s">
        <v>2871</v>
      </c>
      <c r="E689" t="s">
        <v>4650</v>
      </c>
      <c r="F689" t="s">
        <v>57</v>
      </c>
      <c r="G689" t="s">
        <v>4651</v>
      </c>
      <c r="H689" t="s">
        <v>30</v>
      </c>
      <c r="I689" t="s">
        <v>31</v>
      </c>
      <c r="J689" t="s">
        <v>32</v>
      </c>
      <c r="K689" t="s">
        <v>706</v>
      </c>
      <c r="L689" t="s">
        <v>4652</v>
      </c>
      <c r="M689">
        <v>1</v>
      </c>
      <c r="N689">
        <v>1161</v>
      </c>
      <c r="O689">
        <v>20</v>
      </c>
      <c r="P689">
        <v>1705.8</v>
      </c>
      <c r="Q689">
        <v>929.66</v>
      </c>
      <c r="R689">
        <v>776.14</v>
      </c>
      <c r="S689" t="s">
        <v>100</v>
      </c>
      <c r="T689" t="s">
        <v>36</v>
      </c>
      <c r="U689" t="s">
        <v>4653</v>
      </c>
      <c r="V689" t="s">
        <v>4654</v>
      </c>
      <c r="W689">
        <v>42</v>
      </c>
      <c r="X689" t="s">
        <v>53</v>
      </c>
      <c r="Y689">
        <v>0</v>
      </c>
    </row>
    <row r="690" spans="1:25" x14ac:dyDescent="0.35">
      <c r="A690" t="s">
        <v>4655</v>
      </c>
      <c r="B690" s="1">
        <v>45487</v>
      </c>
      <c r="C690" s="1">
        <v>45492</v>
      </c>
      <c r="D690" t="s">
        <v>4656</v>
      </c>
      <c r="E690" t="s">
        <v>4657</v>
      </c>
      <c r="F690" t="s">
        <v>95</v>
      </c>
      <c r="G690" t="s">
        <v>4658</v>
      </c>
      <c r="H690" t="s">
        <v>59</v>
      </c>
      <c r="I690" t="s">
        <v>31</v>
      </c>
      <c r="J690" t="s">
        <v>46</v>
      </c>
      <c r="K690" t="s">
        <v>60</v>
      </c>
      <c r="L690" t="s">
        <v>4659</v>
      </c>
      <c r="M690">
        <v>1</v>
      </c>
      <c r="N690">
        <v>2819</v>
      </c>
      <c r="O690">
        <v>10</v>
      </c>
      <c r="P690">
        <v>3314.1</v>
      </c>
      <c r="Q690">
        <v>2537.86</v>
      </c>
      <c r="R690">
        <v>776.24</v>
      </c>
      <c r="S690" t="s">
        <v>100</v>
      </c>
      <c r="T690" t="s">
        <v>89</v>
      </c>
      <c r="U690" t="s">
        <v>4660</v>
      </c>
      <c r="V690" t="s">
        <v>4661</v>
      </c>
      <c r="W690">
        <v>18</v>
      </c>
      <c r="X690" t="s">
        <v>53</v>
      </c>
      <c r="Y690">
        <v>0</v>
      </c>
    </row>
    <row r="691" spans="1:25" x14ac:dyDescent="0.35">
      <c r="A691" t="s">
        <v>4662</v>
      </c>
      <c r="B691" s="1">
        <v>45817</v>
      </c>
      <c r="C691" s="1">
        <v>45819</v>
      </c>
      <c r="D691" t="s">
        <v>4663</v>
      </c>
      <c r="E691" t="s">
        <v>4664</v>
      </c>
      <c r="F691" t="s">
        <v>95</v>
      </c>
      <c r="G691" t="s">
        <v>4665</v>
      </c>
      <c r="H691" t="s">
        <v>198</v>
      </c>
      <c r="I691" t="s">
        <v>31</v>
      </c>
      <c r="J691" t="s">
        <v>118</v>
      </c>
      <c r="K691" t="s">
        <v>199</v>
      </c>
      <c r="L691" t="s">
        <v>4666</v>
      </c>
      <c r="M691">
        <v>9</v>
      </c>
      <c r="N691">
        <v>2866</v>
      </c>
      <c r="O691">
        <v>20</v>
      </c>
      <c r="P691">
        <v>21412.2</v>
      </c>
      <c r="Q691">
        <v>20636.080000000002</v>
      </c>
      <c r="R691">
        <v>776.12</v>
      </c>
      <c r="S691" t="s">
        <v>100</v>
      </c>
      <c r="T691" t="s">
        <v>36</v>
      </c>
      <c r="U691" t="s">
        <v>4667</v>
      </c>
      <c r="V691" t="s">
        <v>4668</v>
      </c>
      <c r="W691">
        <v>46</v>
      </c>
      <c r="X691" t="s">
        <v>53</v>
      </c>
      <c r="Y691">
        <v>0</v>
      </c>
    </row>
    <row r="692" spans="1:25" x14ac:dyDescent="0.35">
      <c r="A692" t="s">
        <v>4669</v>
      </c>
      <c r="B692" s="1">
        <v>45506</v>
      </c>
      <c r="C692" s="1">
        <v>45508</v>
      </c>
      <c r="D692" t="s">
        <v>4670</v>
      </c>
      <c r="E692" t="s">
        <v>4671</v>
      </c>
      <c r="F692" t="s">
        <v>57</v>
      </c>
      <c r="G692" t="s">
        <v>4672</v>
      </c>
      <c r="H692" t="s">
        <v>283</v>
      </c>
      <c r="I692" t="s">
        <v>45</v>
      </c>
      <c r="J692" t="s">
        <v>97</v>
      </c>
      <c r="K692" t="s">
        <v>60</v>
      </c>
      <c r="L692" t="s">
        <v>4673</v>
      </c>
      <c r="M692">
        <v>5</v>
      </c>
      <c r="N692">
        <v>3464</v>
      </c>
      <c r="O692">
        <v>0</v>
      </c>
      <c r="P692">
        <v>18097</v>
      </c>
      <c r="Q692">
        <v>17320.8</v>
      </c>
      <c r="R692">
        <v>776.2</v>
      </c>
      <c r="S692" t="s">
        <v>100</v>
      </c>
      <c r="T692" t="s">
        <v>50</v>
      </c>
      <c r="U692" t="s">
        <v>4674</v>
      </c>
      <c r="V692" t="s">
        <v>4675</v>
      </c>
      <c r="W692">
        <v>32</v>
      </c>
      <c r="X692" t="s">
        <v>53</v>
      </c>
      <c r="Y692">
        <v>0</v>
      </c>
    </row>
    <row r="693" spans="1:25" x14ac:dyDescent="0.35">
      <c r="A693" t="s">
        <v>4676</v>
      </c>
      <c r="B693" s="1">
        <v>45874</v>
      </c>
      <c r="C693" s="1">
        <v>45879</v>
      </c>
      <c r="D693" t="s">
        <v>2157</v>
      </c>
      <c r="E693" t="s">
        <v>4677</v>
      </c>
      <c r="F693" t="s">
        <v>28</v>
      </c>
      <c r="G693" t="s">
        <v>4678</v>
      </c>
      <c r="H693" t="s">
        <v>68</v>
      </c>
      <c r="I693" t="s">
        <v>31</v>
      </c>
      <c r="J693" t="s">
        <v>97</v>
      </c>
      <c r="K693" t="s">
        <v>199</v>
      </c>
      <c r="L693" t="s">
        <v>4679</v>
      </c>
      <c r="M693">
        <v>10</v>
      </c>
      <c r="N693">
        <v>467</v>
      </c>
      <c r="O693">
        <v>5</v>
      </c>
      <c r="P693">
        <v>5213.5</v>
      </c>
      <c r="Q693">
        <v>4437.33</v>
      </c>
      <c r="R693">
        <v>776.17</v>
      </c>
      <c r="S693" t="s">
        <v>80</v>
      </c>
      <c r="T693" t="s">
        <v>36</v>
      </c>
      <c r="U693" t="s">
        <v>4680</v>
      </c>
      <c r="V693" t="s">
        <v>4681</v>
      </c>
      <c r="W693">
        <v>21</v>
      </c>
      <c r="X693" t="s">
        <v>53</v>
      </c>
      <c r="Y693">
        <v>0</v>
      </c>
    </row>
    <row r="694" spans="1:25" x14ac:dyDescent="0.35">
      <c r="A694" t="s">
        <v>4682</v>
      </c>
      <c r="B694" s="1">
        <v>45643</v>
      </c>
      <c r="C694" s="1">
        <v>45649</v>
      </c>
      <c r="D694" t="s">
        <v>4063</v>
      </c>
      <c r="E694" t="s">
        <v>4683</v>
      </c>
      <c r="F694" t="s">
        <v>95</v>
      </c>
      <c r="G694" t="s">
        <v>4684</v>
      </c>
      <c r="H694" t="s">
        <v>136</v>
      </c>
      <c r="I694" t="s">
        <v>137</v>
      </c>
      <c r="J694" t="s">
        <v>32</v>
      </c>
      <c r="K694" t="s">
        <v>970</v>
      </c>
      <c r="L694" t="s">
        <v>4685</v>
      </c>
      <c r="M694">
        <v>9</v>
      </c>
      <c r="N694">
        <v>294</v>
      </c>
      <c r="O694">
        <v>10</v>
      </c>
      <c r="P694">
        <v>2726.4</v>
      </c>
      <c r="Q694">
        <v>2382.23</v>
      </c>
      <c r="R694">
        <v>344.17</v>
      </c>
      <c r="S694" t="s">
        <v>80</v>
      </c>
      <c r="T694" t="s">
        <v>140</v>
      </c>
      <c r="U694" t="s">
        <v>4686</v>
      </c>
      <c r="V694" t="s">
        <v>4687</v>
      </c>
      <c r="W694">
        <v>48</v>
      </c>
      <c r="X694" t="s">
        <v>53</v>
      </c>
      <c r="Y694">
        <v>0</v>
      </c>
    </row>
    <row r="695" spans="1:25" x14ac:dyDescent="0.35">
      <c r="A695" t="s">
        <v>4688</v>
      </c>
      <c r="B695" s="1">
        <v>45407</v>
      </c>
      <c r="C695" s="1">
        <v>45413</v>
      </c>
      <c r="D695" t="s">
        <v>4689</v>
      </c>
      <c r="E695" t="s">
        <v>4690</v>
      </c>
      <c r="F695" t="s">
        <v>57</v>
      </c>
      <c r="G695" t="s">
        <v>856</v>
      </c>
      <c r="H695" t="s">
        <v>107</v>
      </c>
      <c r="I695" t="s">
        <v>108</v>
      </c>
      <c r="J695" t="s">
        <v>118</v>
      </c>
      <c r="K695" t="s">
        <v>662</v>
      </c>
      <c r="L695" t="s">
        <v>4691</v>
      </c>
      <c r="M695">
        <v>5</v>
      </c>
      <c r="N695">
        <v>3810</v>
      </c>
      <c r="O695">
        <v>10</v>
      </c>
      <c r="P695">
        <v>17490</v>
      </c>
      <c r="Q695">
        <v>17145.77</v>
      </c>
      <c r="R695">
        <v>344.23</v>
      </c>
      <c r="S695" t="s">
        <v>35</v>
      </c>
      <c r="T695" t="s">
        <v>140</v>
      </c>
      <c r="U695" t="s">
        <v>4692</v>
      </c>
      <c r="V695" t="s">
        <v>4693</v>
      </c>
      <c r="W695">
        <v>18</v>
      </c>
      <c r="X695" t="s">
        <v>53</v>
      </c>
      <c r="Y695">
        <v>0</v>
      </c>
    </row>
    <row r="696" spans="1:25" x14ac:dyDescent="0.35">
      <c r="A696" t="s">
        <v>4694</v>
      </c>
      <c r="B696" s="1">
        <v>45902</v>
      </c>
      <c r="C696" s="1">
        <v>45908</v>
      </c>
      <c r="D696" t="s">
        <v>1812</v>
      </c>
      <c r="E696" t="s">
        <v>4695</v>
      </c>
      <c r="F696" t="s">
        <v>28</v>
      </c>
      <c r="G696" t="s">
        <v>4696</v>
      </c>
      <c r="H696" t="s">
        <v>107</v>
      </c>
      <c r="I696" t="s">
        <v>108</v>
      </c>
      <c r="J696" t="s">
        <v>97</v>
      </c>
      <c r="K696" t="s">
        <v>60</v>
      </c>
      <c r="L696" t="s">
        <v>4697</v>
      </c>
      <c r="M696">
        <v>9</v>
      </c>
      <c r="N696">
        <v>3380</v>
      </c>
      <c r="O696">
        <v>5</v>
      </c>
      <c r="P696">
        <v>29244</v>
      </c>
      <c r="Q696">
        <v>28899.65</v>
      </c>
      <c r="R696">
        <v>344.35</v>
      </c>
      <c r="S696" t="s">
        <v>35</v>
      </c>
      <c r="T696" t="s">
        <v>50</v>
      </c>
      <c r="U696" t="s">
        <v>4698</v>
      </c>
      <c r="V696" t="s">
        <v>4699</v>
      </c>
      <c r="W696">
        <v>21</v>
      </c>
      <c r="X696" t="s">
        <v>53</v>
      </c>
      <c r="Y696">
        <v>0</v>
      </c>
    </row>
    <row r="697" spans="1:25" x14ac:dyDescent="0.35">
      <c r="A697" t="s">
        <v>4700</v>
      </c>
      <c r="B697" s="1">
        <v>45644</v>
      </c>
      <c r="C697" s="1">
        <v>45648</v>
      </c>
      <c r="D697" t="s">
        <v>4701</v>
      </c>
      <c r="E697" t="s">
        <v>4702</v>
      </c>
      <c r="F697" t="s">
        <v>28</v>
      </c>
      <c r="G697" t="s">
        <v>116</v>
      </c>
      <c r="H697" t="s">
        <v>172</v>
      </c>
      <c r="I697" t="s">
        <v>45</v>
      </c>
      <c r="J697" t="s">
        <v>46</v>
      </c>
      <c r="K697" t="s">
        <v>222</v>
      </c>
      <c r="L697" t="s">
        <v>4703</v>
      </c>
      <c r="M697">
        <v>4</v>
      </c>
      <c r="N697">
        <v>1482</v>
      </c>
      <c r="O697">
        <v>0</v>
      </c>
      <c r="P697">
        <v>6273</v>
      </c>
      <c r="Q697">
        <v>5928.84</v>
      </c>
      <c r="R697">
        <v>344.16</v>
      </c>
      <c r="S697" t="s">
        <v>35</v>
      </c>
      <c r="T697" t="s">
        <v>50</v>
      </c>
      <c r="U697" t="s">
        <v>4704</v>
      </c>
      <c r="V697" t="s">
        <v>4705</v>
      </c>
      <c r="W697">
        <v>23</v>
      </c>
      <c r="X697" t="s">
        <v>53</v>
      </c>
      <c r="Y697">
        <v>0</v>
      </c>
    </row>
    <row r="698" spans="1:25" x14ac:dyDescent="0.35">
      <c r="A698" t="s">
        <v>4706</v>
      </c>
      <c r="B698" s="1">
        <v>45585</v>
      </c>
      <c r="C698" s="1">
        <v>45592</v>
      </c>
      <c r="D698" t="s">
        <v>1589</v>
      </c>
      <c r="E698" t="s">
        <v>4707</v>
      </c>
      <c r="F698" t="s">
        <v>95</v>
      </c>
      <c r="G698" t="s">
        <v>4708</v>
      </c>
      <c r="H698" t="s">
        <v>320</v>
      </c>
      <c r="I698" t="s">
        <v>137</v>
      </c>
      <c r="J698" t="s">
        <v>97</v>
      </c>
      <c r="K698" t="s">
        <v>69</v>
      </c>
      <c r="L698" t="s">
        <v>4709</v>
      </c>
      <c r="M698">
        <v>10</v>
      </c>
      <c r="N698">
        <v>1668</v>
      </c>
      <c r="O698">
        <v>15</v>
      </c>
      <c r="P698">
        <v>14523</v>
      </c>
      <c r="Q698">
        <v>14178.85</v>
      </c>
      <c r="R698">
        <v>344.15</v>
      </c>
      <c r="S698" t="s">
        <v>35</v>
      </c>
      <c r="T698" t="s">
        <v>50</v>
      </c>
      <c r="U698" t="s">
        <v>4710</v>
      </c>
      <c r="V698" t="s">
        <v>4711</v>
      </c>
      <c r="W698">
        <v>16</v>
      </c>
      <c r="X698" t="s">
        <v>53</v>
      </c>
      <c r="Y698">
        <v>0</v>
      </c>
    </row>
    <row r="699" spans="1:25" x14ac:dyDescent="0.35">
      <c r="A699" t="s">
        <v>4712</v>
      </c>
      <c r="B699" s="1">
        <v>45323</v>
      </c>
      <c r="C699" s="1">
        <v>45326</v>
      </c>
      <c r="D699" t="s">
        <v>4390</v>
      </c>
      <c r="E699" t="s">
        <v>4713</v>
      </c>
      <c r="F699" t="s">
        <v>95</v>
      </c>
      <c r="G699" t="s">
        <v>4714</v>
      </c>
      <c r="H699" t="s">
        <v>127</v>
      </c>
      <c r="I699" t="s">
        <v>45</v>
      </c>
      <c r="J699" t="s">
        <v>32</v>
      </c>
      <c r="K699" t="s">
        <v>87</v>
      </c>
      <c r="L699" t="s">
        <v>4715</v>
      </c>
      <c r="M699">
        <v>9</v>
      </c>
      <c r="N699">
        <v>4517</v>
      </c>
      <c r="O699">
        <v>5</v>
      </c>
      <c r="P699">
        <v>38965.35</v>
      </c>
      <c r="Q699">
        <v>38620.959999999999</v>
      </c>
      <c r="R699">
        <v>344.39</v>
      </c>
      <c r="S699" t="s">
        <v>80</v>
      </c>
      <c r="T699" t="s">
        <v>50</v>
      </c>
      <c r="U699" t="s">
        <v>4716</v>
      </c>
      <c r="V699" t="s">
        <v>4717</v>
      </c>
      <c r="W699">
        <v>32</v>
      </c>
      <c r="X699" t="s">
        <v>53</v>
      </c>
      <c r="Y699">
        <v>0</v>
      </c>
    </row>
    <row r="700" spans="1:25" x14ac:dyDescent="0.35">
      <c r="A700" t="s">
        <v>4718</v>
      </c>
      <c r="B700" s="1">
        <v>45587</v>
      </c>
      <c r="C700" s="1">
        <v>45594</v>
      </c>
      <c r="D700" t="s">
        <v>638</v>
      </c>
      <c r="E700" t="s">
        <v>4719</v>
      </c>
      <c r="F700" t="s">
        <v>57</v>
      </c>
      <c r="G700" t="s">
        <v>4720</v>
      </c>
      <c r="H700" t="s">
        <v>136</v>
      </c>
      <c r="I700" t="s">
        <v>137</v>
      </c>
      <c r="J700" t="s">
        <v>46</v>
      </c>
      <c r="K700" t="s">
        <v>190</v>
      </c>
      <c r="L700" t="s">
        <v>4721</v>
      </c>
      <c r="M700">
        <v>3</v>
      </c>
      <c r="N700">
        <v>827</v>
      </c>
      <c r="O700">
        <v>0</v>
      </c>
      <c r="P700">
        <v>2826</v>
      </c>
      <c r="Q700">
        <v>2481.69</v>
      </c>
      <c r="R700">
        <v>344.31</v>
      </c>
      <c r="S700" t="s">
        <v>100</v>
      </c>
      <c r="T700" t="s">
        <v>50</v>
      </c>
      <c r="U700" t="s">
        <v>4722</v>
      </c>
      <c r="V700" t="s">
        <v>4723</v>
      </c>
      <c r="W700">
        <v>35</v>
      </c>
      <c r="X700" t="s">
        <v>53</v>
      </c>
      <c r="Y700">
        <v>0</v>
      </c>
    </row>
    <row r="701" spans="1:25" x14ac:dyDescent="0.35">
      <c r="A701" t="s">
        <v>4724</v>
      </c>
      <c r="B701" s="1">
        <v>45619</v>
      </c>
      <c r="C701" s="1">
        <v>45620</v>
      </c>
      <c r="D701" t="s">
        <v>4725</v>
      </c>
      <c r="E701" t="s">
        <v>4726</v>
      </c>
      <c r="F701" t="s">
        <v>28</v>
      </c>
      <c r="G701" t="s">
        <v>4727</v>
      </c>
      <c r="H701" t="s">
        <v>163</v>
      </c>
      <c r="I701" t="s">
        <v>108</v>
      </c>
      <c r="J701" t="s">
        <v>32</v>
      </c>
      <c r="K701" t="s">
        <v>750</v>
      </c>
      <c r="L701" t="s">
        <v>4728</v>
      </c>
      <c r="M701">
        <v>9</v>
      </c>
      <c r="N701">
        <v>2738</v>
      </c>
      <c r="O701">
        <v>10</v>
      </c>
      <c r="P701">
        <v>22522.799999999999</v>
      </c>
      <c r="Q701">
        <v>22178.65</v>
      </c>
      <c r="R701">
        <v>344.15</v>
      </c>
      <c r="S701" t="s">
        <v>49</v>
      </c>
      <c r="T701" t="s">
        <v>140</v>
      </c>
      <c r="U701" t="s">
        <v>4729</v>
      </c>
      <c r="V701" t="s">
        <v>4730</v>
      </c>
      <c r="W701">
        <v>31</v>
      </c>
      <c r="X701" t="s">
        <v>53</v>
      </c>
      <c r="Y701">
        <v>0</v>
      </c>
    </row>
    <row r="702" spans="1:25" x14ac:dyDescent="0.35">
      <c r="A702" t="s">
        <v>4731</v>
      </c>
      <c r="B702" s="1">
        <v>45650</v>
      </c>
      <c r="C702" s="1">
        <v>45656</v>
      </c>
      <c r="D702" t="s">
        <v>4732</v>
      </c>
      <c r="E702" t="s">
        <v>4733</v>
      </c>
      <c r="F702" t="s">
        <v>57</v>
      </c>
      <c r="G702" t="s">
        <v>4734</v>
      </c>
      <c r="H702" t="s">
        <v>68</v>
      </c>
      <c r="I702" t="s">
        <v>31</v>
      </c>
      <c r="J702" t="s">
        <v>97</v>
      </c>
      <c r="K702" t="s">
        <v>87</v>
      </c>
      <c r="L702" t="s">
        <v>4735</v>
      </c>
      <c r="M702">
        <v>4</v>
      </c>
      <c r="N702">
        <v>4439</v>
      </c>
      <c r="O702">
        <v>0</v>
      </c>
      <c r="P702">
        <v>18101</v>
      </c>
      <c r="Q702">
        <v>17756.900000000001</v>
      </c>
      <c r="R702">
        <v>344.1</v>
      </c>
      <c r="S702" t="s">
        <v>100</v>
      </c>
      <c r="T702" t="s">
        <v>89</v>
      </c>
      <c r="U702" t="s">
        <v>4736</v>
      </c>
      <c r="V702" t="s">
        <v>4737</v>
      </c>
      <c r="W702">
        <v>21</v>
      </c>
      <c r="X702" t="s">
        <v>53</v>
      </c>
      <c r="Y702">
        <v>0</v>
      </c>
    </row>
    <row r="703" spans="1:25" x14ac:dyDescent="0.35">
      <c r="A703" t="s">
        <v>4738</v>
      </c>
      <c r="B703" s="1">
        <v>45807</v>
      </c>
      <c r="C703" s="1">
        <v>45814</v>
      </c>
      <c r="D703" t="s">
        <v>1050</v>
      </c>
      <c r="E703" t="s">
        <v>4739</v>
      </c>
      <c r="F703" t="s">
        <v>95</v>
      </c>
      <c r="G703" t="s">
        <v>4740</v>
      </c>
      <c r="H703" t="s">
        <v>154</v>
      </c>
      <c r="I703" t="s">
        <v>137</v>
      </c>
      <c r="J703" t="s">
        <v>118</v>
      </c>
      <c r="K703" t="s">
        <v>482</v>
      </c>
      <c r="L703" t="s">
        <v>4741</v>
      </c>
      <c r="M703">
        <v>4</v>
      </c>
      <c r="N703">
        <v>1676</v>
      </c>
      <c r="O703">
        <v>5</v>
      </c>
      <c r="P703">
        <v>6713.8</v>
      </c>
      <c r="Q703">
        <v>6369.63</v>
      </c>
      <c r="R703">
        <v>344.17</v>
      </c>
      <c r="S703" t="s">
        <v>80</v>
      </c>
      <c r="T703" t="s">
        <v>50</v>
      </c>
      <c r="U703" t="s">
        <v>4742</v>
      </c>
      <c r="V703" t="s">
        <v>4743</v>
      </c>
      <c r="W703">
        <v>9</v>
      </c>
      <c r="X703" t="s">
        <v>39</v>
      </c>
      <c r="Y703">
        <v>46</v>
      </c>
    </row>
    <row r="704" spans="1:25" x14ac:dyDescent="0.35">
      <c r="A704" t="s">
        <v>4744</v>
      </c>
      <c r="B704" s="1">
        <v>45784</v>
      </c>
      <c r="C704" s="1">
        <v>45786</v>
      </c>
      <c r="D704" t="s">
        <v>4745</v>
      </c>
      <c r="E704" t="s">
        <v>4746</v>
      </c>
      <c r="F704" t="s">
        <v>95</v>
      </c>
      <c r="G704" t="s">
        <v>4747</v>
      </c>
      <c r="H704" t="s">
        <v>198</v>
      </c>
      <c r="I704" t="s">
        <v>31</v>
      </c>
      <c r="J704" t="s">
        <v>32</v>
      </c>
      <c r="K704" t="s">
        <v>466</v>
      </c>
      <c r="L704" t="s">
        <v>4748</v>
      </c>
      <c r="M704">
        <v>1</v>
      </c>
      <c r="N704">
        <v>1871</v>
      </c>
      <c r="O704">
        <v>10</v>
      </c>
      <c r="P704">
        <v>2028.9</v>
      </c>
      <c r="Q704">
        <v>1684.66</v>
      </c>
      <c r="R704">
        <v>344.24</v>
      </c>
      <c r="S704" t="s">
        <v>100</v>
      </c>
      <c r="T704" t="s">
        <v>140</v>
      </c>
      <c r="U704" t="s">
        <v>4749</v>
      </c>
      <c r="V704" t="s">
        <v>4750</v>
      </c>
      <c r="W704">
        <v>30</v>
      </c>
      <c r="X704" t="s">
        <v>53</v>
      </c>
      <c r="Y704">
        <v>0</v>
      </c>
    </row>
    <row r="705" spans="1:25" x14ac:dyDescent="0.35">
      <c r="A705" t="s">
        <v>4751</v>
      </c>
      <c r="B705" s="1">
        <v>45377</v>
      </c>
      <c r="C705" s="1">
        <v>45384</v>
      </c>
      <c r="D705" t="s">
        <v>4323</v>
      </c>
      <c r="E705" t="s">
        <v>4752</v>
      </c>
      <c r="F705" t="s">
        <v>95</v>
      </c>
      <c r="G705" t="s">
        <v>4753</v>
      </c>
      <c r="H705" t="s">
        <v>77</v>
      </c>
      <c r="I705" t="s">
        <v>45</v>
      </c>
      <c r="J705" t="s">
        <v>32</v>
      </c>
      <c r="K705" t="s">
        <v>207</v>
      </c>
      <c r="L705" t="s">
        <v>4754</v>
      </c>
      <c r="M705">
        <v>2</v>
      </c>
      <c r="N705">
        <v>2707</v>
      </c>
      <c r="O705">
        <v>15</v>
      </c>
      <c r="P705">
        <v>4946.8999999999996</v>
      </c>
      <c r="Q705">
        <v>4602.74</v>
      </c>
      <c r="R705">
        <v>344.16</v>
      </c>
      <c r="S705" t="s">
        <v>100</v>
      </c>
      <c r="T705" t="s">
        <v>140</v>
      </c>
      <c r="U705" t="s">
        <v>4755</v>
      </c>
      <c r="V705" t="s">
        <v>4756</v>
      </c>
      <c r="W705">
        <v>43</v>
      </c>
      <c r="X705" t="s">
        <v>53</v>
      </c>
      <c r="Y705">
        <v>0</v>
      </c>
    </row>
    <row r="706" spans="1:25" x14ac:dyDescent="0.35">
      <c r="A706" t="s">
        <v>4757</v>
      </c>
      <c r="B706" s="1">
        <v>45406</v>
      </c>
      <c r="C706" s="1">
        <v>45407</v>
      </c>
      <c r="D706" t="s">
        <v>1903</v>
      </c>
      <c r="E706" t="s">
        <v>4758</v>
      </c>
      <c r="F706" t="s">
        <v>28</v>
      </c>
      <c r="G706" t="s">
        <v>4759</v>
      </c>
      <c r="H706" t="s">
        <v>107</v>
      </c>
      <c r="I706" t="s">
        <v>108</v>
      </c>
      <c r="J706" t="s">
        <v>46</v>
      </c>
      <c r="K706" t="s">
        <v>349</v>
      </c>
      <c r="L706" t="s">
        <v>4760</v>
      </c>
      <c r="M706">
        <v>1</v>
      </c>
      <c r="N706">
        <v>392</v>
      </c>
      <c r="O706">
        <v>5</v>
      </c>
      <c r="P706">
        <v>717.4</v>
      </c>
      <c r="Q706">
        <v>373.08</v>
      </c>
      <c r="R706">
        <v>344.32</v>
      </c>
      <c r="S706" t="s">
        <v>35</v>
      </c>
      <c r="T706" t="s">
        <v>50</v>
      </c>
      <c r="U706" t="s">
        <v>4761</v>
      </c>
      <c r="V706" t="s">
        <v>4762</v>
      </c>
      <c r="W706">
        <v>45</v>
      </c>
      <c r="X706" t="s">
        <v>53</v>
      </c>
      <c r="Y706">
        <v>0</v>
      </c>
    </row>
    <row r="707" spans="1:25" x14ac:dyDescent="0.35">
      <c r="A707" t="s">
        <v>4763</v>
      </c>
      <c r="B707" s="1">
        <v>45252</v>
      </c>
      <c r="C707" s="1">
        <v>45257</v>
      </c>
      <c r="D707" t="s">
        <v>1631</v>
      </c>
      <c r="E707" t="s">
        <v>4764</v>
      </c>
      <c r="F707" t="s">
        <v>57</v>
      </c>
      <c r="G707" t="s">
        <v>3755</v>
      </c>
      <c r="H707" t="s">
        <v>127</v>
      </c>
      <c r="I707" t="s">
        <v>45</v>
      </c>
      <c r="J707" t="s">
        <v>46</v>
      </c>
      <c r="K707" t="s">
        <v>524</v>
      </c>
      <c r="L707" t="s">
        <v>4765</v>
      </c>
      <c r="M707">
        <v>4</v>
      </c>
      <c r="N707">
        <v>3559</v>
      </c>
      <c r="O707">
        <v>0</v>
      </c>
      <c r="P707">
        <v>14581</v>
      </c>
      <c r="Q707">
        <v>14236.78</v>
      </c>
      <c r="R707">
        <v>344.22</v>
      </c>
      <c r="S707" t="s">
        <v>35</v>
      </c>
      <c r="T707" t="s">
        <v>89</v>
      </c>
      <c r="U707" t="s">
        <v>3649</v>
      </c>
      <c r="V707" t="s">
        <v>4766</v>
      </c>
      <c r="W707">
        <v>7</v>
      </c>
      <c r="X707" t="s">
        <v>39</v>
      </c>
      <c r="Y707">
        <v>42</v>
      </c>
    </row>
    <row r="708" spans="1:25" x14ac:dyDescent="0.35">
      <c r="A708" t="s">
        <v>4767</v>
      </c>
      <c r="B708" s="1">
        <v>45671</v>
      </c>
      <c r="C708" s="1">
        <v>45676</v>
      </c>
      <c r="D708" t="s">
        <v>4768</v>
      </c>
      <c r="E708" t="s">
        <v>4769</v>
      </c>
      <c r="F708" t="s">
        <v>57</v>
      </c>
      <c r="G708" t="s">
        <v>4770</v>
      </c>
      <c r="H708" t="s">
        <v>320</v>
      </c>
      <c r="I708" t="s">
        <v>137</v>
      </c>
      <c r="J708" t="s">
        <v>97</v>
      </c>
      <c r="K708" t="s">
        <v>400</v>
      </c>
      <c r="L708" t="s">
        <v>4771</v>
      </c>
      <c r="M708">
        <v>7</v>
      </c>
      <c r="N708">
        <v>3833</v>
      </c>
      <c r="O708">
        <v>5</v>
      </c>
      <c r="P708">
        <v>25834.45</v>
      </c>
      <c r="Q708">
        <v>25490.29</v>
      </c>
      <c r="R708">
        <v>344.16</v>
      </c>
      <c r="S708" t="s">
        <v>49</v>
      </c>
      <c r="T708" t="s">
        <v>140</v>
      </c>
      <c r="U708" t="s">
        <v>4772</v>
      </c>
      <c r="V708" t="s">
        <v>4773</v>
      </c>
      <c r="W708">
        <v>29</v>
      </c>
      <c r="X708" t="s">
        <v>53</v>
      </c>
      <c r="Y708">
        <v>0</v>
      </c>
    </row>
    <row r="709" spans="1:25" x14ac:dyDescent="0.35">
      <c r="A709" t="s">
        <v>4774</v>
      </c>
      <c r="B709" s="1">
        <v>45480</v>
      </c>
      <c r="C709" s="1">
        <v>45481</v>
      </c>
      <c r="D709" t="s">
        <v>4775</v>
      </c>
      <c r="E709" t="s">
        <v>4776</v>
      </c>
      <c r="F709" t="s">
        <v>28</v>
      </c>
      <c r="G709" t="s">
        <v>4777</v>
      </c>
      <c r="H709" t="s">
        <v>154</v>
      </c>
      <c r="I709" t="s">
        <v>137</v>
      </c>
      <c r="J709" t="s">
        <v>118</v>
      </c>
      <c r="K709" t="s">
        <v>98</v>
      </c>
      <c r="L709" t="s">
        <v>4778</v>
      </c>
      <c r="M709">
        <v>7</v>
      </c>
      <c r="N709">
        <v>3404</v>
      </c>
      <c r="O709">
        <v>20</v>
      </c>
      <c r="P709">
        <v>19407.400000000001</v>
      </c>
      <c r="Q709">
        <v>19063.28</v>
      </c>
      <c r="R709">
        <v>344.12</v>
      </c>
      <c r="S709" t="s">
        <v>80</v>
      </c>
      <c r="T709" t="s">
        <v>140</v>
      </c>
      <c r="U709" t="s">
        <v>4779</v>
      </c>
      <c r="V709" t="s">
        <v>4780</v>
      </c>
      <c r="W709">
        <v>4</v>
      </c>
      <c r="X709" t="s">
        <v>39</v>
      </c>
      <c r="Y709">
        <v>45</v>
      </c>
    </row>
    <row r="710" spans="1:25" x14ac:dyDescent="0.35">
      <c r="A710" t="s">
        <v>4781</v>
      </c>
      <c r="B710" s="1">
        <v>45910</v>
      </c>
      <c r="C710" s="1">
        <v>45915</v>
      </c>
      <c r="D710" t="s">
        <v>4782</v>
      </c>
      <c r="E710" t="s">
        <v>4783</v>
      </c>
      <c r="F710" t="s">
        <v>28</v>
      </c>
      <c r="G710" t="s">
        <v>4784</v>
      </c>
      <c r="H710" t="s">
        <v>230</v>
      </c>
      <c r="I710" t="s">
        <v>137</v>
      </c>
      <c r="J710" t="s">
        <v>32</v>
      </c>
      <c r="K710" t="s">
        <v>207</v>
      </c>
      <c r="L710" t="s">
        <v>4785</v>
      </c>
      <c r="M710">
        <v>4</v>
      </c>
      <c r="N710">
        <v>1195</v>
      </c>
      <c r="O710">
        <v>10</v>
      </c>
      <c r="P710">
        <v>4647</v>
      </c>
      <c r="Q710">
        <v>4302.8100000000004</v>
      </c>
      <c r="R710">
        <v>344.19</v>
      </c>
      <c r="S710" t="s">
        <v>49</v>
      </c>
      <c r="T710" t="s">
        <v>50</v>
      </c>
      <c r="U710" t="s">
        <v>4786</v>
      </c>
      <c r="V710" t="s">
        <v>4787</v>
      </c>
      <c r="W710">
        <v>33</v>
      </c>
      <c r="X710" t="s">
        <v>53</v>
      </c>
      <c r="Y710">
        <v>0</v>
      </c>
    </row>
    <row r="711" spans="1:25" x14ac:dyDescent="0.35">
      <c r="A711" t="s">
        <v>4788</v>
      </c>
      <c r="B711" s="1">
        <v>45377</v>
      </c>
      <c r="C711" s="1">
        <v>45378</v>
      </c>
      <c r="D711" t="s">
        <v>4789</v>
      </c>
      <c r="E711" t="s">
        <v>4790</v>
      </c>
      <c r="F711" t="s">
        <v>57</v>
      </c>
      <c r="G711" t="s">
        <v>4791</v>
      </c>
      <c r="H711" t="s">
        <v>136</v>
      </c>
      <c r="I711" t="s">
        <v>137</v>
      </c>
      <c r="J711" t="s">
        <v>32</v>
      </c>
      <c r="K711" t="s">
        <v>547</v>
      </c>
      <c r="L711" t="s">
        <v>4792</v>
      </c>
      <c r="M711">
        <v>6</v>
      </c>
      <c r="N711">
        <v>692</v>
      </c>
      <c r="O711">
        <v>10</v>
      </c>
      <c r="P711">
        <v>4081.8</v>
      </c>
      <c r="Q711">
        <v>3737.51</v>
      </c>
      <c r="R711">
        <v>344.29</v>
      </c>
      <c r="S711" t="s">
        <v>49</v>
      </c>
      <c r="T711" t="s">
        <v>89</v>
      </c>
      <c r="U711" t="s">
        <v>4793</v>
      </c>
      <c r="V711" t="s">
        <v>4794</v>
      </c>
      <c r="W711">
        <v>12</v>
      </c>
      <c r="X711" t="s">
        <v>53</v>
      </c>
      <c r="Y711">
        <v>0</v>
      </c>
    </row>
    <row r="712" spans="1:25" x14ac:dyDescent="0.35">
      <c r="A712" t="s">
        <v>4795</v>
      </c>
      <c r="B712" s="1">
        <v>45429</v>
      </c>
      <c r="C712" s="1">
        <v>45434</v>
      </c>
      <c r="D712" t="s">
        <v>574</v>
      </c>
      <c r="E712" t="s">
        <v>4796</v>
      </c>
      <c r="F712" t="s">
        <v>57</v>
      </c>
      <c r="G712" t="s">
        <v>4797</v>
      </c>
      <c r="H712" t="s">
        <v>117</v>
      </c>
      <c r="I712" t="s">
        <v>108</v>
      </c>
      <c r="J712" t="s">
        <v>118</v>
      </c>
      <c r="K712" t="s">
        <v>33</v>
      </c>
      <c r="L712" t="s">
        <v>4798</v>
      </c>
      <c r="M712">
        <v>8</v>
      </c>
      <c r="N712">
        <v>4748</v>
      </c>
      <c r="O712">
        <v>0</v>
      </c>
      <c r="P712">
        <v>38329</v>
      </c>
      <c r="Q712">
        <v>37984.870000000003</v>
      </c>
      <c r="R712">
        <v>344.13</v>
      </c>
      <c r="S712" t="s">
        <v>49</v>
      </c>
      <c r="T712" t="s">
        <v>140</v>
      </c>
      <c r="U712" t="s">
        <v>4799</v>
      </c>
      <c r="V712" t="s">
        <v>4800</v>
      </c>
      <c r="W712">
        <v>14</v>
      </c>
      <c r="X712" t="s">
        <v>53</v>
      </c>
      <c r="Y712">
        <v>0</v>
      </c>
    </row>
    <row r="713" spans="1:25" x14ac:dyDescent="0.35">
      <c r="A713" t="s">
        <v>4801</v>
      </c>
      <c r="B713" s="1">
        <v>45486</v>
      </c>
      <c r="C713" s="1">
        <v>45490</v>
      </c>
      <c r="D713" t="s">
        <v>4802</v>
      </c>
      <c r="E713" t="s">
        <v>4803</v>
      </c>
      <c r="F713" t="s">
        <v>57</v>
      </c>
      <c r="G713" t="s">
        <v>2854</v>
      </c>
      <c r="H713" t="s">
        <v>172</v>
      </c>
      <c r="I713" t="s">
        <v>45</v>
      </c>
      <c r="J713" t="s">
        <v>97</v>
      </c>
      <c r="K713" t="s">
        <v>247</v>
      </c>
      <c r="L713" t="s">
        <v>4804</v>
      </c>
      <c r="M713">
        <v>10</v>
      </c>
      <c r="N713">
        <v>2623</v>
      </c>
      <c r="O713">
        <v>20</v>
      </c>
      <c r="P713">
        <v>21329</v>
      </c>
      <c r="Q713">
        <v>20984.63</v>
      </c>
      <c r="R713">
        <v>344.37</v>
      </c>
      <c r="S713" t="s">
        <v>100</v>
      </c>
      <c r="T713" t="s">
        <v>36</v>
      </c>
      <c r="U713" t="s">
        <v>4805</v>
      </c>
      <c r="V713" t="s">
        <v>4806</v>
      </c>
      <c r="W713">
        <v>11</v>
      </c>
      <c r="X713" t="s">
        <v>53</v>
      </c>
      <c r="Y713">
        <v>0</v>
      </c>
    </row>
    <row r="714" spans="1:25" x14ac:dyDescent="0.35">
      <c r="A714" t="s">
        <v>4807</v>
      </c>
      <c r="B714" s="1">
        <v>45905</v>
      </c>
      <c r="C714" s="1">
        <v>45906</v>
      </c>
      <c r="D714" t="s">
        <v>2772</v>
      </c>
      <c r="E714" t="s">
        <v>4808</v>
      </c>
      <c r="F714" t="s">
        <v>95</v>
      </c>
      <c r="G714" t="s">
        <v>4809</v>
      </c>
      <c r="H714" t="s">
        <v>334</v>
      </c>
      <c r="I714" t="s">
        <v>108</v>
      </c>
      <c r="J714" t="s">
        <v>97</v>
      </c>
      <c r="K714" t="s">
        <v>155</v>
      </c>
      <c r="L714" t="s">
        <v>4810</v>
      </c>
      <c r="M714">
        <v>5</v>
      </c>
      <c r="N714">
        <v>4143</v>
      </c>
      <c r="O714">
        <v>10</v>
      </c>
      <c r="P714">
        <v>18988.5</v>
      </c>
      <c r="Q714">
        <v>18644.400000000001</v>
      </c>
      <c r="R714">
        <v>344.1</v>
      </c>
      <c r="S714" t="s">
        <v>49</v>
      </c>
      <c r="T714" t="s">
        <v>89</v>
      </c>
      <c r="U714" t="s">
        <v>4811</v>
      </c>
      <c r="V714" t="s">
        <v>4812</v>
      </c>
      <c r="W714">
        <v>37</v>
      </c>
      <c r="X714" t="s">
        <v>53</v>
      </c>
      <c r="Y714">
        <v>0</v>
      </c>
    </row>
    <row r="715" spans="1:25" x14ac:dyDescent="0.35">
      <c r="A715" t="s">
        <v>4813</v>
      </c>
      <c r="B715" s="1">
        <v>45763</v>
      </c>
      <c r="C715" s="1">
        <v>45764</v>
      </c>
      <c r="D715" t="s">
        <v>1440</v>
      </c>
      <c r="E715" t="s">
        <v>4814</v>
      </c>
      <c r="F715" t="s">
        <v>95</v>
      </c>
      <c r="G715" t="s">
        <v>4815</v>
      </c>
      <c r="H715" t="s">
        <v>172</v>
      </c>
      <c r="I715" t="s">
        <v>45</v>
      </c>
      <c r="J715" t="s">
        <v>97</v>
      </c>
      <c r="K715" t="s">
        <v>562</v>
      </c>
      <c r="L715" t="s">
        <v>4816</v>
      </c>
      <c r="M715">
        <v>5</v>
      </c>
      <c r="N715">
        <v>1187</v>
      </c>
      <c r="O715">
        <v>10</v>
      </c>
      <c r="P715">
        <v>5686.5</v>
      </c>
      <c r="Q715">
        <v>5342.24</v>
      </c>
      <c r="R715">
        <v>344.26</v>
      </c>
      <c r="S715" t="s">
        <v>49</v>
      </c>
      <c r="T715" t="s">
        <v>89</v>
      </c>
      <c r="U715" t="s">
        <v>4817</v>
      </c>
      <c r="V715" t="s">
        <v>4818</v>
      </c>
      <c r="W715">
        <v>38</v>
      </c>
      <c r="X715" t="s">
        <v>53</v>
      </c>
      <c r="Y715">
        <v>0</v>
      </c>
    </row>
    <row r="716" spans="1:25" x14ac:dyDescent="0.35">
      <c r="A716" t="s">
        <v>4819</v>
      </c>
      <c r="B716" s="1">
        <v>45833</v>
      </c>
      <c r="C716" s="1">
        <v>45836</v>
      </c>
      <c r="D716" t="s">
        <v>4820</v>
      </c>
      <c r="E716" t="s">
        <v>4821</v>
      </c>
      <c r="F716" t="s">
        <v>95</v>
      </c>
      <c r="G716" t="s">
        <v>4822</v>
      </c>
      <c r="H716" t="s">
        <v>189</v>
      </c>
      <c r="I716" t="s">
        <v>108</v>
      </c>
      <c r="J716" t="s">
        <v>118</v>
      </c>
      <c r="K716" t="s">
        <v>78</v>
      </c>
      <c r="L716" t="s">
        <v>4823</v>
      </c>
      <c r="M716">
        <v>10</v>
      </c>
      <c r="N716">
        <v>846</v>
      </c>
      <c r="O716">
        <v>20</v>
      </c>
      <c r="P716">
        <v>7113</v>
      </c>
      <c r="Q716">
        <v>6768.75</v>
      </c>
      <c r="R716">
        <v>344.25</v>
      </c>
      <c r="S716" t="s">
        <v>100</v>
      </c>
      <c r="T716" t="s">
        <v>89</v>
      </c>
      <c r="U716" t="s">
        <v>4824</v>
      </c>
      <c r="V716" t="s">
        <v>4825</v>
      </c>
      <c r="W716">
        <v>29</v>
      </c>
      <c r="X716" t="s">
        <v>53</v>
      </c>
      <c r="Y716">
        <v>0</v>
      </c>
    </row>
    <row r="717" spans="1:25" x14ac:dyDescent="0.35">
      <c r="A717" t="s">
        <v>4826</v>
      </c>
      <c r="B717" s="1">
        <v>45310</v>
      </c>
      <c r="C717" s="1">
        <v>45311</v>
      </c>
      <c r="D717" t="s">
        <v>2123</v>
      </c>
      <c r="E717" t="s">
        <v>4827</v>
      </c>
      <c r="F717" t="s">
        <v>57</v>
      </c>
      <c r="G717" t="s">
        <v>4828</v>
      </c>
      <c r="H717" t="s">
        <v>44</v>
      </c>
      <c r="I717" t="s">
        <v>45</v>
      </c>
      <c r="J717" t="s">
        <v>118</v>
      </c>
      <c r="K717" t="s">
        <v>415</v>
      </c>
      <c r="L717" t="s">
        <v>4829</v>
      </c>
      <c r="M717">
        <v>3</v>
      </c>
      <c r="N717">
        <v>123</v>
      </c>
      <c r="O717">
        <v>0</v>
      </c>
      <c r="P717">
        <v>714</v>
      </c>
      <c r="Q717">
        <v>369.71</v>
      </c>
      <c r="R717">
        <v>344.29</v>
      </c>
      <c r="S717" t="s">
        <v>80</v>
      </c>
      <c r="T717" t="s">
        <v>89</v>
      </c>
      <c r="U717" t="s">
        <v>4830</v>
      </c>
      <c r="V717" t="s">
        <v>4831</v>
      </c>
      <c r="W717">
        <v>37</v>
      </c>
      <c r="X717" t="s">
        <v>53</v>
      </c>
      <c r="Y717">
        <v>0</v>
      </c>
    </row>
    <row r="718" spans="1:25" x14ac:dyDescent="0.35">
      <c r="A718" t="s">
        <v>4832</v>
      </c>
      <c r="B718" s="1">
        <v>45502</v>
      </c>
      <c r="C718" s="1">
        <v>45504</v>
      </c>
      <c r="D718" t="s">
        <v>4833</v>
      </c>
      <c r="E718" t="s">
        <v>4834</v>
      </c>
      <c r="F718" t="s">
        <v>57</v>
      </c>
      <c r="G718" t="s">
        <v>4835</v>
      </c>
      <c r="H718" t="s">
        <v>68</v>
      </c>
      <c r="I718" t="s">
        <v>31</v>
      </c>
      <c r="J718" t="s">
        <v>46</v>
      </c>
      <c r="K718" t="s">
        <v>532</v>
      </c>
      <c r="L718" t="s">
        <v>4836</v>
      </c>
      <c r="M718">
        <v>5</v>
      </c>
      <c r="N718">
        <v>2939</v>
      </c>
      <c r="O718">
        <v>5</v>
      </c>
      <c r="P718">
        <v>14305.25</v>
      </c>
      <c r="Q718">
        <v>13960.9</v>
      </c>
      <c r="R718">
        <v>344.35</v>
      </c>
      <c r="S718" t="s">
        <v>35</v>
      </c>
      <c r="T718" t="s">
        <v>89</v>
      </c>
      <c r="U718" t="s">
        <v>4837</v>
      </c>
      <c r="V718" t="s">
        <v>4838</v>
      </c>
      <c r="W718">
        <v>33</v>
      </c>
      <c r="X718" t="s">
        <v>53</v>
      </c>
      <c r="Y718">
        <v>0</v>
      </c>
    </row>
    <row r="719" spans="1:25" x14ac:dyDescent="0.35">
      <c r="A719" t="s">
        <v>4839</v>
      </c>
      <c r="B719" s="1">
        <v>45333</v>
      </c>
      <c r="C719" s="1">
        <v>45340</v>
      </c>
      <c r="D719" t="s">
        <v>1876</v>
      </c>
      <c r="E719" t="s">
        <v>4840</v>
      </c>
      <c r="F719" t="s">
        <v>57</v>
      </c>
      <c r="G719" t="s">
        <v>4841</v>
      </c>
      <c r="H719" t="s">
        <v>172</v>
      </c>
      <c r="I719" t="s">
        <v>45</v>
      </c>
      <c r="J719" t="s">
        <v>118</v>
      </c>
      <c r="K719" t="s">
        <v>714</v>
      </c>
      <c r="L719" t="s">
        <v>4842</v>
      </c>
      <c r="M719">
        <v>2</v>
      </c>
      <c r="N719">
        <v>1674</v>
      </c>
      <c r="O719">
        <v>10</v>
      </c>
      <c r="P719">
        <v>3358.2</v>
      </c>
      <c r="Q719">
        <v>3013.85</v>
      </c>
      <c r="R719">
        <v>344.35</v>
      </c>
      <c r="S719" t="s">
        <v>35</v>
      </c>
      <c r="T719" t="s">
        <v>36</v>
      </c>
      <c r="U719" t="s">
        <v>4843</v>
      </c>
      <c r="V719" t="s">
        <v>4844</v>
      </c>
      <c r="W719">
        <v>6</v>
      </c>
      <c r="X719" t="s">
        <v>39</v>
      </c>
      <c r="Y719">
        <v>28</v>
      </c>
    </row>
    <row r="720" spans="1:25" x14ac:dyDescent="0.35">
      <c r="A720" t="s">
        <v>4845</v>
      </c>
      <c r="B720" s="1">
        <v>45946</v>
      </c>
      <c r="C720" s="1">
        <v>45953</v>
      </c>
      <c r="D720" t="s">
        <v>4846</v>
      </c>
      <c r="E720" t="s">
        <v>4847</v>
      </c>
      <c r="F720" t="s">
        <v>95</v>
      </c>
      <c r="G720" t="s">
        <v>4848</v>
      </c>
      <c r="H720" t="s">
        <v>283</v>
      </c>
      <c r="I720" t="s">
        <v>45</v>
      </c>
      <c r="J720" t="s">
        <v>97</v>
      </c>
      <c r="K720" t="s">
        <v>349</v>
      </c>
      <c r="L720" t="s">
        <v>4849</v>
      </c>
      <c r="M720">
        <v>4</v>
      </c>
      <c r="N720">
        <v>1500</v>
      </c>
      <c r="O720">
        <v>20</v>
      </c>
      <c r="P720">
        <v>5145</v>
      </c>
      <c r="Q720">
        <v>4800.82</v>
      </c>
      <c r="R720">
        <v>344.18</v>
      </c>
      <c r="S720" t="s">
        <v>49</v>
      </c>
      <c r="T720" t="s">
        <v>140</v>
      </c>
      <c r="U720" t="s">
        <v>4850</v>
      </c>
      <c r="V720" t="s">
        <v>4851</v>
      </c>
      <c r="W720">
        <v>10</v>
      </c>
      <c r="X720" t="s">
        <v>53</v>
      </c>
      <c r="Y720">
        <v>0</v>
      </c>
    </row>
    <row r="721" spans="1:25" x14ac:dyDescent="0.35">
      <c r="A721" t="s">
        <v>4852</v>
      </c>
      <c r="B721" s="1">
        <v>45473</v>
      </c>
      <c r="C721" s="1">
        <v>45479</v>
      </c>
      <c r="D721" t="s">
        <v>2057</v>
      </c>
      <c r="E721" t="s">
        <v>4853</v>
      </c>
      <c r="F721" t="s">
        <v>95</v>
      </c>
      <c r="G721" t="s">
        <v>4854</v>
      </c>
      <c r="H721" t="s">
        <v>163</v>
      </c>
      <c r="I721" t="s">
        <v>108</v>
      </c>
      <c r="J721" t="s">
        <v>118</v>
      </c>
      <c r="K721" t="s">
        <v>706</v>
      </c>
      <c r="L721" t="s">
        <v>4855</v>
      </c>
      <c r="M721">
        <v>8</v>
      </c>
      <c r="N721">
        <v>1167</v>
      </c>
      <c r="O721">
        <v>5</v>
      </c>
      <c r="P721">
        <v>9214.2000000000007</v>
      </c>
      <c r="Q721">
        <v>8869.93</v>
      </c>
      <c r="R721">
        <v>344.27</v>
      </c>
      <c r="S721" t="s">
        <v>35</v>
      </c>
      <c r="T721" t="s">
        <v>140</v>
      </c>
      <c r="U721" t="s">
        <v>4856</v>
      </c>
      <c r="V721" t="s">
        <v>4857</v>
      </c>
      <c r="W721">
        <v>10</v>
      </c>
      <c r="X721" t="s">
        <v>53</v>
      </c>
      <c r="Y721">
        <v>0</v>
      </c>
    </row>
    <row r="722" spans="1:25" x14ac:dyDescent="0.35">
      <c r="A722" t="s">
        <v>4858</v>
      </c>
      <c r="B722" s="1">
        <v>45660</v>
      </c>
      <c r="C722" s="1">
        <v>45665</v>
      </c>
      <c r="D722" t="s">
        <v>1555</v>
      </c>
      <c r="E722" t="s">
        <v>4859</v>
      </c>
      <c r="F722" t="s">
        <v>28</v>
      </c>
      <c r="G722" t="s">
        <v>4860</v>
      </c>
      <c r="H722" t="s">
        <v>68</v>
      </c>
      <c r="I722" t="s">
        <v>31</v>
      </c>
      <c r="J722" t="s">
        <v>118</v>
      </c>
      <c r="K722" t="s">
        <v>181</v>
      </c>
      <c r="L722" t="s">
        <v>4861</v>
      </c>
      <c r="M722">
        <v>8</v>
      </c>
      <c r="N722">
        <v>1041</v>
      </c>
      <c r="O722">
        <v>20</v>
      </c>
      <c r="P722">
        <v>7007.4</v>
      </c>
      <c r="Q722">
        <v>6663.21</v>
      </c>
      <c r="R722">
        <v>344.19</v>
      </c>
      <c r="S722" t="s">
        <v>80</v>
      </c>
      <c r="T722" t="s">
        <v>140</v>
      </c>
      <c r="U722" t="s">
        <v>4862</v>
      </c>
      <c r="V722" t="s">
        <v>4863</v>
      </c>
      <c r="W722">
        <v>9</v>
      </c>
      <c r="X722" t="s">
        <v>39</v>
      </c>
      <c r="Y722">
        <v>47</v>
      </c>
    </row>
    <row r="723" spans="1:25" x14ac:dyDescent="0.35">
      <c r="A723" t="s">
        <v>4864</v>
      </c>
      <c r="B723" s="1">
        <v>45269</v>
      </c>
      <c r="C723" s="1">
        <v>45275</v>
      </c>
      <c r="D723" t="s">
        <v>890</v>
      </c>
      <c r="E723" t="s">
        <v>4865</v>
      </c>
      <c r="F723" t="s">
        <v>28</v>
      </c>
      <c r="G723" t="s">
        <v>4866</v>
      </c>
      <c r="H723" t="s">
        <v>136</v>
      </c>
      <c r="I723" t="s">
        <v>137</v>
      </c>
      <c r="J723" t="s">
        <v>97</v>
      </c>
      <c r="K723" t="s">
        <v>155</v>
      </c>
      <c r="L723" t="s">
        <v>4867</v>
      </c>
      <c r="M723">
        <v>10</v>
      </c>
      <c r="N723">
        <v>3284</v>
      </c>
      <c r="O723">
        <v>20</v>
      </c>
      <c r="P723">
        <v>26617</v>
      </c>
      <c r="Q723">
        <v>26272.7</v>
      </c>
      <c r="R723">
        <v>344.3</v>
      </c>
      <c r="S723" t="s">
        <v>49</v>
      </c>
      <c r="T723" t="s">
        <v>36</v>
      </c>
      <c r="U723" t="s">
        <v>4868</v>
      </c>
      <c r="V723" t="s">
        <v>4869</v>
      </c>
      <c r="W723">
        <v>32</v>
      </c>
      <c r="X723" t="s">
        <v>53</v>
      </c>
      <c r="Y723">
        <v>0</v>
      </c>
    </row>
    <row r="724" spans="1:25" x14ac:dyDescent="0.35">
      <c r="A724" t="s">
        <v>4870</v>
      </c>
      <c r="B724" s="1">
        <v>45939</v>
      </c>
      <c r="C724" s="1">
        <v>45945</v>
      </c>
      <c r="D724" t="s">
        <v>2137</v>
      </c>
      <c r="E724" t="s">
        <v>4871</v>
      </c>
      <c r="F724" t="s">
        <v>28</v>
      </c>
      <c r="G724" t="s">
        <v>4872</v>
      </c>
      <c r="H724" t="s">
        <v>59</v>
      </c>
      <c r="I724" t="s">
        <v>31</v>
      </c>
      <c r="J724" t="s">
        <v>46</v>
      </c>
      <c r="K724" t="s">
        <v>524</v>
      </c>
      <c r="L724" t="s">
        <v>4873</v>
      </c>
      <c r="M724">
        <v>4</v>
      </c>
      <c r="N724">
        <v>3116</v>
      </c>
      <c r="O724">
        <v>0</v>
      </c>
      <c r="P724">
        <v>12809</v>
      </c>
      <c r="Q724">
        <v>12464.8</v>
      </c>
      <c r="R724">
        <v>344.2</v>
      </c>
      <c r="S724" t="s">
        <v>80</v>
      </c>
      <c r="T724" t="s">
        <v>36</v>
      </c>
      <c r="U724" t="s">
        <v>4874</v>
      </c>
      <c r="V724" t="s">
        <v>4875</v>
      </c>
      <c r="W724">
        <v>49</v>
      </c>
      <c r="X724" t="s">
        <v>53</v>
      </c>
      <c r="Y724">
        <v>0</v>
      </c>
    </row>
    <row r="725" spans="1:25" x14ac:dyDescent="0.35">
      <c r="A725" t="s">
        <v>4876</v>
      </c>
      <c r="B725" s="1">
        <v>45396</v>
      </c>
      <c r="C725" s="1">
        <v>45401</v>
      </c>
      <c r="D725" t="s">
        <v>875</v>
      </c>
      <c r="E725" t="s">
        <v>4877</v>
      </c>
      <c r="F725" t="s">
        <v>95</v>
      </c>
      <c r="G725" t="s">
        <v>4878</v>
      </c>
      <c r="H725" t="s">
        <v>154</v>
      </c>
      <c r="I725" t="s">
        <v>137</v>
      </c>
      <c r="J725" t="s">
        <v>46</v>
      </c>
      <c r="K725" t="s">
        <v>231</v>
      </c>
      <c r="L725" t="s">
        <v>4879</v>
      </c>
      <c r="M725">
        <v>5</v>
      </c>
      <c r="N725">
        <v>1857</v>
      </c>
      <c r="O725">
        <v>5</v>
      </c>
      <c r="P725">
        <v>9165.75</v>
      </c>
      <c r="Q725">
        <v>8821.36</v>
      </c>
      <c r="R725">
        <v>344.39</v>
      </c>
      <c r="S725" t="s">
        <v>100</v>
      </c>
      <c r="T725" t="s">
        <v>140</v>
      </c>
      <c r="U725" t="s">
        <v>4880</v>
      </c>
      <c r="V725" t="s">
        <v>4881</v>
      </c>
      <c r="W725">
        <v>2</v>
      </c>
      <c r="X725" t="s">
        <v>39</v>
      </c>
      <c r="Y725">
        <v>27</v>
      </c>
    </row>
    <row r="726" spans="1:25" x14ac:dyDescent="0.35">
      <c r="A726" t="s">
        <v>4882</v>
      </c>
      <c r="B726" s="1">
        <v>45859</v>
      </c>
      <c r="C726" s="1">
        <v>45861</v>
      </c>
      <c r="D726" t="s">
        <v>4323</v>
      </c>
      <c r="E726" t="s">
        <v>4883</v>
      </c>
      <c r="F726" t="s">
        <v>28</v>
      </c>
      <c r="G726" t="s">
        <v>1884</v>
      </c>
      <c r="H726" t="s">
        <v>334</v>
      </c>
      <c r="I726" t="s">
        <v>108</v>
      </c>
      <c r="J726" t="s">
        <v>46</v>
      </c>
      <c r="K726" t="s">
        <v>706</v>
      </c>
      <c r="L726" t="s">
        <v>4884</v>
      </c>
      <c r="M726">
        <v>5</v>
      </c>
      <c r="N726">
        <v>647</v>
      </c>
      <c r="O726">
        <v>5</v>
      </c>
      <c r="P726">
        <v>3418.25</v>
      </c>
      <c r="Q726">
        <v>3074</v>
      </c>
      <c r="R726">
        <v>344.25</v>
      </c>
      <c r="S726" t="s">
        <v>100</v>
      </c>
      <c r="T726" t="s">
        <v>50</v>
      </c>
      <c r="U726" t="s">
        <v>4885</v>
      </c>
      <c r="V726" t="s">
        <v>4886</v>
      </c>
      <c r="W726">
        <v>31</v>
      </c>
      <c r="X726" t="s">
        <v>53</v>
      </c>
      <c r="Y726">
        <v>0</v>
      </c>
    </row>
    <row r="727" spans="1:25" x14ac:dyDescent="0.35">
      <c r="A727" t="s">
        <v>4887</v>
      </c>
      <c r="B727" s="1">
        <v>45960</v>
      </c>
      <c r="C727" s="1">
        <v>45965</v>
      </c>
      <c r="D727" t="s">
        <v>4888</v>
      </c>
      <c r="E727" t="s">
        <v>4889</v>
      </c>
      <c r="F727" t="s">
        <v>28</v>
      </c>
      <c r="G727" t="s">
        <v>4890</v>
      </c>
      <c r="H727" t="s">
        <v>77</v>
      </c>
      <c r="I727" t="s">
        <v>45</v>
      </c>
      <c r="J727" t="s">
        <v>97</v>
      </c>
      <c r="K727" t="s">
        <v>750</v>
      </c>
      <c r="L727" t="s">
        <v>4891</v>
      </c>
      <c r="M727">
        <v>1</v>
      </c>
      <c r="N727">
        <v>1750</v>
      </c>
      <c r="O727">
        <v>0</v>
      </c>
      <c r="P727">
        <v>2095</v>
      </c>
      <c r="Q727">
        <v>1750.7</v>
      </c>
      <c r="R727">
        <v>344.3</v>
      </c>
      <c r="S727" t="s">
        <v>100</v>
      </c>
      <c r="T727" t="s">
        <v>89</v>
      </c>
      <c r="U727" t="s">
        <v>4892</v>
      </c>
      <c r="V727" t="s">
        <v>4893</v>
      </c>
      <c r="W727">
        <v>49</v>
      </c>
      <c r="X727" t="s">
        <v>53</v>
      </c>
      <c r="Y727">
        <v>0</v>
      </c>
    </row>
    <row r="728" spans="1:25" x14ac:dyDescent="0.35">
      <c r="A728" t="s">
        <v>4894</v>
      </c>
      <c r="B728" s="1">
        <v>45877</v>
      </c>
      <c r="C728" s="1">
        <v>45880</v>
      </c>
      <c r="D728" t="s">
        <v>4607</v>
      </c>
      <c r="E728" t="s">
        <v>4895</v>
      </c>
      <c r="F728" t="s">
        <v>95</v>
      </c>
      <c r="G728" t="s">
        <v>4896</v>
      </c>
      <c r="H728" t="s">
        <v>127</v>
      </c>
      <c r="I728" t="s">
        <v>45</v>
      </c>
      <c r="J728" t="s">
        <v>118</v>
      </c>
      <c r="K728" t="s">
        <v>231</v>
      </c>
      <c r="L728" t="s">
        <v>4897</v>
      </c>
      <c r="M728">
        <v>2</v>
      </c>
      <c r="N728">
        <v>1680</v>
      </c>
      <c r="O728">
        <v>10</v>
      </c>
      <c r="P728">
        <v>3369</v>
      </c>
      <c r="Q728">
        <v>3024.8</v>
      </c>
      <c r="R728">
        <v>344.2</v>
      </c>
      <c r="S728" t="s">
        <v>80</v>
      </c>
      <c r="T728" t="s">
        <v>140</v>
      </c>
      <c r="U728" t="s">
        <v>4898</v>
      </c>
      <c r="V728" t="s">
        <v>4899</v>
      </c>
      <c r="W728">
        <v>2</v>
      </c>
      <c r="X728" t="s">
        <v>39</v>
      </c>
      <c r="Y728">
        <v>49</v>
      </c>
    </row>
    <row r="729" spans="1:25" x14ac:dyDescent="0.35">
      <c r="A729" t="s">
        <v>4900</v>
      </c>
      <c r="B729" s="1">
        <v>45688</v>
      </c>
      <c r="C729" s="1">
        <v>45694</v>
      </c>
      <c r="D729" t="s">
        <v>4901</v>
      </c>
      <c r="E729" t="s">
        <v>4902</v>
      </c>
      <c r="F729" t="s">
        <v>57</v>
      </c>
      <c r="G729" t="s">
        <v>4903</v>
      </c>
      <c r="H729" t="s">
        <v>163</v>
      </c>
      <c r="I729" t="s">
        <v>108</v>
      </c>
      <c r="J729" t="s">
        <v>32</v>
      </c>
      <c r="K729" t="s">
        <v>714</v>
      </c>
      <c r="L729" t="s">
        <v>4904</v>
      </c>
      <c r="M729">
        <v>4</v>
      </c>
      <c r="N729">
        <v>2593</v>
      </c>
      <c r="O729">
        <v>5</v>
      </c>
      <c r="P729">
        <v>10198.4</v>
      </c>
      <c r="Q729">
        <v>9854.24</v>
      </c>
      <c r="R729">
        <v>344.16</v>
      </c>
      <c r="S729" t="s">
        <v>100</v>
      </c>
      <c r="T729" t="s">
        <v>140</v>
      </c>
      <c r="U729" t="s">
        <v>4905</v>
      </c>
      <c r="V729" t="s">
        <v>4906</v>
      </c>
      <c r="W729">
        <v>13</v>
      </c>
      <c r="X729" t="s">
        <v>53</v>
      </c>
      <c r="Y729">
        <v>0</v>
      </c>
    </row>
    <row r="730" spans="1:25" x14ac:dyDescent="0.35">
      <c r="A730" t="s">
        <v>4907</v>
      </c>
      <c r="B730" s="1">
        <v>45622</v>
      </c>
      <c r="C730" s="1">
        <v>45628</v>
      </c>
      <c r="D730" t="s">
        <v>2734</v>
      </c>
      <c r="E730" t="s">
        <v>4908</v>
      </c>
      <c r="F730" t="s">
        <v>57</v>
      </c>
      <c r="G730" t="s">
        <v>4909</v>
      </c>
      <c r="H730" t="s">
        <v>172</v>
      </c>
      <c r="I730" t="s">
        <v>45</v>
      </c>
      <c r="J730" t="s">
        <v>32</v>
      </c>
      <c r="K730" t="s">
        <v>524</v>
      </c>
      <c r="L730" t="s">
        <v>4910</v>
      </c>
      <c r="M730">
        <v>3</v>
      </c>
      <c r="N730">
        <v>2070</v>
      </c>
      <c r="O730">
        <v>0</v>
      </c>
      <c r="P730">
        <v>6555</v>
      </c>
      <c r="Q730">
        <v>6210.68</v>
      </c>
      <c r="R730">
        <v>344.32</v>
      </c>
      <c r="S730" t="s">
        <v>80</v>
      </c>
      <c r="T730" t="s">
        <v>50</v>
      </c>
      <c r="U730" t="s">
        <v>4911</v>
      </c>
      <c r="V730" t="s">
        <v>4912</v>
      </c>
      <c r="W730">
        <v>2</v>
      </c>
      <c r="X730" t="s">
        <v>39</v>
      </c>
      <c r="Y730">
        <v>34</v>
      </c>
    </row>
    <row r="731" spans="1:25" x14ac:dyDescent="0.35">
      <c r="A731" t="s">
        <v>4913</v>
      </c>
      <c r="B731" s="1">
        <v>45735</v>
      </c>
      <c r="C731" s="1">
        <v>45736</v>
      </c>
      <c r="D731" t="s">
        <v>4914</v>
      </c>
      <c r="E731" t="s">
        <v>4915</v>
      </c>
      <c r="F731" t="s">
        <v>57</v>
      </c>
      <c r="G731" t="s">
        <v>4916</v>
      </c>
      <c r="H731" t="s">
        <v>44</v>
      </c>
      <c r="I731" t="s">
        <v>45</v>
      </c>
      <c r="J731" t="s">
        <v>46</v>
      </c>
      <c r="K731" t="s">
        <v>312</v>
      </c>
      <c r="L731" t="s">
        <v>4917</v>
      </c>
      <c r="M731">
        <v>5</v>
      </c>
      <c r="N731">
        <v>3053</v>
      </c>
      <c r="O731">
        <v>20</v>
      </c>
      <c r="P731">
        <v>12557</v>
      </c>
      <c r="Q731">
        <v>12212.88</v>
      </c>
      <c r="R731">
        <v>344.12</v>
      </c>
      <c r="S731" t="s">
        <v>80</v>
      </c>
      <c r="T731" t="s">
        <v>140</v>
      </c>
      <c r="U731" t="s">
        <v>4918</v>
      </c>
      <c r="V731" t="s">
        <v>4919</v>
      </c>
      <c r="W731">
        <v>23</v>
      </c>
      <c r="X731" t="s">
        <v>53</v>
      </c>
      <c r="Y731">
        <v>0</v>
      </c>
    </row>
    <row r="732" spans="1:25" x14ac:dyDescent="0.35">
      <c r="A732" t="s">
        <v>4920</v>
      </c>
      <c r="B732" s="1">
        <v>45454</v>
      </c>
      <c r="C732" s="1">
        <v>45459</v>
      </c>
      <c r="D732" t="s">
        <v>252</v>
      </c>
      <c r="E732" t="s">
        <v>4921</v>
      </c>
      <c r="F732" t="s">
        <v>28</v>
      </c>
      <c r="G732" t="s">
        <v>4922</v>
      </c>
      <c r="H732" t="s">
        <v>163</v>
      </c>
      <c r="I732" t="s">
        <v>108</v>
      </c>
      <c r="J732" t="s">
        <v>32</v>
      </c>
      <c r="K732" t="s">
        <v>109</v>
      </c>
      <c r="L732" t="s">
        <v>4923</v>
      </c>
      <c r="M732">
        <v>7</v>
      </c>
      <c r="N732">
        <v>4737</v>
      </c>
      <c r="O732">
        <v>10</v>
      </c>
      <c r="P732">
        <v>30188.1</v>
      </c>
      <c r="Q732">
        <v>29843.71</v>
      </c>
      <c r="R732">
        <v>344.39</v>
      </c>
      <c r="S732" t="s">
        <v>35</v>
      </c>
      <c r="T732" t="s">
        <v>140</v>
      </c>
      <c r="U732" t="s">
        <v>4924</v>
      </c>
      <c r="V732" t="s">
        <v>4925</v>
      </c>
      <c r="W732">
        <v>47</v>
      </c>
      <c r="X732" t="s">
        <v>53</v>
      </c>
      <c r="Y732">
        <v>0</v>
      </c>
    </row>
    <row r="733" spans="1:25" x14ac:dyDescent="0.35">
      <c r="A733" t="s">
        <v>4926</v>
      </c>
      <c r="B733" s="1">
        <v>45626</v>
      </c>
      <c r="C733" s="1">
        <v>45631</v>
      </c>
      <c r="D733" t="s">
        <v>507</v>
      </c>
      <c r="E733" t="s">
        <v>4927</v>
      </c>
      <c r="F733" t="s">
        <v>95</v>
      </c>
      <c r="G733" t="s">
        <v>4928</v>
      </c>
      <c r="H733" t="s">
        <v>136</v>
      </c>
      <c r="I733" t="s">
        <v>137</v>
      </c>
      <c r="J733" t="s">
        <v>97</v>
      </c>
      <c r="K733" t="s">
        <v>992</v>
      </c>
      <c r="L733" t="s">
        <v>4929</v>
      </c>
      <c r="M733">
        <v>5</v>
      </c>
      <c r="N733">
        <v>3437</v>
      </c>
      <c r="O733">
        <v>10</v>
      </c>
      <c r="P733">
        <v>15811.5</v>
      </c>
      <c r="Q733">
        <v>15467.2</v>
      </c>
      <c r="R733">
        <v>344.3</v>
      </c>
      <c r="S733" t="s">
        <v>100</v>
      </c>
      <c r="T733" t="s">
        <v>50</v>
      </c>
      <c r="U733" t="s">
        <v>4930</v>
      </c>
      <c r="V733" t="s">
        <v>4931</v>
      </c>
      <c r="W733">
        <v>28</v>
      </c>
      <c r="X733" t="s">
        <v>53</v>
      </c>
      <c r="Y733">
        <v>0</v>
      </c>
    </row>
    <row r="734" spans="1:25" x14ac:dyDescent="0.35">
      <c r="A734" t="s">
        <v>4932</v>
      </c>
      <c r="B734" s="1">
        <v>45335</v>
      </c>
      <c r="C734" s="1">
        <v>45340</v>
      </c>
      <c r="D734" t="s">
        <v>4933</v>
      </c>
      <c r="E734" t="s">
        <v>4934</v>
      </c>
      <c r="F734" t="s">
        <v>95</v>
      </c>
      <c r="G734" t="s">
        <v>4935</v>
      </c>
      <c r="H734" t="s">
        <v>283</v>
      </c>
      <c r="I734" t="s">
        <v>45</v>
      </c>
      <c r="J734" t="s">
        <v>97</v>
      </c>
      <c r="K734" t="s">
        <v>312</v>
      </c>
      <c r="L734" t="s">
        <v>4936</v>
      </c>
      <c r="M734">
        <v>10</v>
      </c>
      <c r="N734">
        <v>2696</v>
      </c>
      <c r="O734">
        <v>10</v>
      </c>
      <c r="P734">
        <v>24609</v>
      </c>
      <c r="Q734">
        <v>24264.63</v>
      </c>
      <c r="R734">
        <v>344.37</v>
      </c>
      <c r="S734" t="s">
        <v>35</v>
      </c>
      <c r="T734" t="s">
        <v>140</v>
      </c>
      <c r="U734" t="s">
        <v>4937</v>
      </c>
      <c r="V734" t="s">
        <v>4938</v>
      </c>
      <c r="W734">
        <v>40</v>
      </c>
      <c r="X734" t="s">
        <v>53</v>
      </c>
      <c r="Y734">
        <v>0</v>
      </c>
    </row>
    <row r="735" spans="1:25" x14ac:dyDescent="0.35">
      <c r="A735" t="s">
        <v>4939</v>
      </c>
      <c r="B735" s="1">
        <v>45727</v>
      </c>
      <c r="C735" s="1">
        <v>45734</v>
      </c>
      <c r="D735" t="s">
        <v>4940</v>
      </c>
      <c r="E735" t="s">
        <v>4941</v>
      </c>
      <c r="F735" t="s">
        <v>95</v>
      </c>
      <c r="G735" t="s">
        <v>4942</v>
      </c>
      <c r="H735" t="s">
        <v>206</v>
      </c>
      <c r="I735" t="s">
        <v>31</v>
      </c>
      <c r="J735" t="s">
        <v>118</v>
      </c>
      <c r="K735" t="s">
        <v>474</v>
      </c>
      <c r="L735" t="s">
        <v>4943</v>
      </c>
      <c r="M735">
        <v>6</v>
      </c>
      <c r="N735">
        <v>2063</v>
      </c>
      <c r="O735">
        <v>10</v>
      </c>
      <c r="P735">
        <v>11485.2</v>
      </c>
      <c r="Q735">
        <v>11140.82</v>
      </c>
      <c r="R735">
        <v>344.38</v>
      </c>
      <c r="S735" t="s">
        <v>49</v>
      </c>
      <c r="T735" t="s">
        <v>36</v>
      </c>
      <c r="U735" t="s">
        <v>4944</v>
      </c>
      <c r="V735" t="s">
        <v>4945</v>
      </c>
      <c r="W735">
        <v>25</v>
      </c>
      <c r="X735" t="s">
        <v>53</v>
      </c>
      <c r="Y735">
        <v>0</v>
      </c>
    </row>
    <row r="736" spans="1:25" x14ac:dyDescent="0.35">
      <c r="A736" t="s">
        <v>4946</v>
      </c>
      <c r="B736" s="1">
        <v>45416</v>
      </c>
      <c r="C736" s="1">
        <v>45419</v>
      </c>
      <c r="D736" t="s">
        <v>1280</v>
      </c>
      <c r="E736" t="s">
        <v>4947</v>
      </c>
      <c r="F736" t="s">
        <v>28</v>
      </c>
      <c r="G736" t="s">
        <v>4948</v>
      </c>
      <c r="H736" t="s">
        <v>320</v>
      </c>
      <c r="I736" t="s">
        <v>137</v>
      </c>
      <c r="J736" t="s">
        <v>118</v>
      </c>
      <c r="K736" t="s">
        <v>648</v>
      </c>
      <c r="L736" t="s">
        <v>4949</v>
      </c>
      <c r="M736">
        <v>2</v>
      </c>
      <c r="N736">
        <v>4881</v>
      </c>
      <c r="O736">
        <v>5</v>
      </c>
      <c r="P736">
        <v>9618.9</v>
      </c>
      <c r="Q736">
        <v>9274.57</v>
      </c>
      <c r="R736">
        <v>344.33</v>
      </c>
      <c r="S736" t="s">
        <v>35</v>
      </c>
      <c r="T736" t="s">
        <v>140</v>
      </c>
      <c r="U736" t="s">
        <v>4950</v>
      </c>
      <c r="V736" t="s">
        <v>4951</v>
      </c>
      <c r="W736">
        <v>29</v>
      </c>
      <c r="X736" t="s">
        <v>53</v>
      </c>
      <c r="Y736">
        <v>0</v>
      </c>
    </row>
    <row r="737" spans="1:25" x14ac:dyDescent="0.35">
      <c r="A737" t="s">
        <v>4952</v>
      </c>
      <c r="B737" s="1">
        <v>45591</v>
      </c>
      <c r="C737" s="1">
        <v>45597</v>
      </c>
      <c r="D737" t="s">
        <v>4953</v>
      </c>
      <c r="E737" t="s">
        <v>4954</v>
      </c>
      <c r="F737" t="s">
        <v>95</v>
      </c>
      <c r="G737" t="s">
        <v>4955</v>
      </c>
      <c r="H737" t="s">
        <v>44</v>
      </c>
      <c r="I737" t="s">
        <v>45</v>
      </c>
      <c r="J737" t="s">
        <v>32</v>
      </c>
      <c r="K737" t="s">
        <v>164</v>
      </c>
      <c r="L737" t="s">
        <v>4956</v>
      </c>
      <c r="M737">
        <v>1</v>
      </c>
      <c r="N737">
        <v>4488</v>
      </c>
      <c r="O737">
        <v>0</v>
      </c>
      <c r="P737">
        <v>4833</v>
      </c>
      <c r="Q737">
        <v>4488.6499999999996</v>
      </c>
      <c r="R737">
        <v>344.35</v>
      </c>
      <c r="S737" t="s">
        <v>100</v>
      </c>
      <c r="T737" t="s">
        <v>89</v>
      </c>
      <c r="U737" t="s">
        <v>4957</v>
      </c>
      <c r="V737" t="s">
        <v>4958</v>
      </c>
      <c r="W737">
        <v>27</v>
      </c>
      <c r="X737" t="s">
        <v>53</v>
      </c>
      <c r="Y737">
        <v>0</v>
      </c>
    </row>
    <row r="738" spans="1:25" x14ac:dyDescent="0.35">
      <c r="A738" t="s">
        <v>4959</v>
      </c>
      <c r="B738" s="1">
        <v>45871</v>
      </c>
      <c r="C738" s="1">
        <v>45878</v>
      </c>
      <c r="D738" t="s">
        <v>4960</v>
      </c>
      <c r="E738" t="s">
        <v>4961</v>
      </c>
      <c r="F738" t="s">
        <v>95</v>
      </c>
      <c r="G738" t="s">
        <v>4962</v>
      </c>
      <c r="H738" t="s">
        <v>189</v>
      </c>
      <c r="I738" t="s">
        <v>108</v>
      </c>
      <c r="J738" t="s">
        <v>97</v>
      </c>
      <c r="K738" t="s">
        <v>190</v>
      </c>
      <c r="L738" t="s">
        <v>4963</v>
      </c>
      <c r="M738">
        <v>8</v>
      </c>
      <c r="N738">
        <v>369</v>
      </c>
      <c r="O738">
        <v>10</v>
      </c>
      <c r="P738">
        <v>3001.8</v>
      </c>
      <c r="Q738">
        <v>2657.41</v>
      </c>
      <c r="R738">
        <v>344.39</v>
      </c>
      <c r="S738" t="s">
        <v>80</v>
      </c>
      <c r="T738" t="s">
        <v>36</v>
      </c>
      <c r="U738" t="s">
        <v>4964</v>
      </c>
      <c r="V738" t="s">
        <v>4965</v>
      </c>
      <c r="W738">
        <v>11</v>
      </c>
      <c r="X738" t="s">
        <v>53</v>
      </c>
      <c r="Y738">
        <v>0</v>
      </c>
    </row>
    <row r="739" spans="1:25" x14ac:dyDescent="0.35">
      <c r="A739" t="s">
        <v>4966</v>
      </c>
      <c r="B739" s="1">
        <v>45898</v>
      </c>
      <c r="C739" s="1">
        <v>45899</v>
      </c>
      <c r="D739" t="s">
        <v>4967</v>
      </c>
      <c r="E739" t="s">
        <v>4968</v>
      </c>
      <c r="F739" t="s">
        <v>57</v>
      </c>
      <c r="G739" t="s">
        <v>4969</v>
      </c>
      <c r="H739" t="s">
        <v>163</v>
      </c>
      <c r="I739" t="s">
        <v>108</v>
      </c>
      <c r="J739" t="s">
        <v>118</v>
      </c>
      <c r="K739" t="s">
        <v>47</v>
      </c>
      <c r="L739" t="s">
        <v>4970</v>
      </c>
      <c r="M739">
        <v>3</v>
      </c>
      <c r="N739">
        <v>1924</v>
      </c>
      <c r="O739">
        <v>0</v>
      </c>
      <c r="P739">
        <v>6117</v>
      </c>
      <c r="Q739">
        <v>5772.73</v>
      </c>
      <c r="R739">
        <v>344.27</v>
      </c>
      <c r="S739" t="s">
        <v>80</v>
      </c>
      <c r="T739" t="s">
        <v>36</v>
      </c>
      <c r="U739" t="s">
        <v>4971</v>
      </c>
      <c r="V739" t="s">
        <v>4972</v>
      </c>
      <c r="W739">
        <v>16</v>
      </c>
      <c r="X739" t="s">
        <v>53</v>
      </c>
      <c r="Y739">
        <v>0</v>
      </c>
    </row>
    <row r="740" spans="1:25" x14ac:dyDescent="0.35">
      <c r="A740" t="s">
        <v>4973</v>
      </c>
      <c r="B740" s="1">
        <v>45898</v>
      </c>
      <c r="C740" s="1">
        <v>45899</v>
      </c>
      <c r="D740" t="s">
        <v>3546</v>
      </c>
      <c r="E740" t="s">
        <v>4974</v>
      </c>
      <c r="F740" t="s">
        <v>95</v>
      </c>
      <c r="G740" t="s">
        <v>4975</v>
      </c>
      <c r="H740" t="s">
        <v>117</v>
      </c>
      <c r="I740" t="s">
        <v>108</v>
      </c>
      <c r="J740" t="s">
        <v>118</v>
      </c>
      <c r="K740" t="s">
        <v>750</v>
      </c>
      <c r="L740" t="s">
        <v>4976</v>
      </c>
      <c r="M740">
        <v>5</v>
      </c>
      <c r="N740">
        <v>810</v>
      </c>
      <c r="O740">
        <v>10</v>
      </c>
      <c r="P740">
        <v>3990</v>
      </c>
      <c r="Q740">
        <v>3645.66</v>
      </c>
      <c r="R740">
        <v>344.34</v>
      </c>
      <c r="S740" t="s">
        <v>35</v>
      </c>
      <c r="T740" t="s">
        <v>89</v>
      </c>
      <c r="U740" t="s">
        <v>4977</v>
      </c>
      <c r="V740" t="s">
        <v>4978</v>
      </c>
      <c r="W740">
        <v>5</v>
      </c>
      <c r="X740" t="s">
        <v>39</v>
      </c>
      <c r="Y740">
        <v>21</v>
      </c>
    </row>
    <row r="741" spans="1:25" x14ac:dyDescent="0.35">
      <c r="A741" t="s">
        <v>4979</v>
      </c>
      <c r="B741" s="1">
        <v>45943</v>
      </c>
      <c r="C741" s="1">
        <v>45946</v>
      </c>
      <c r="D741" t="s">
        <v>195</v>
      </c>
      <c r="E741" t="s">
        <v>4980</v>
      </c>
      <c r="F741" t="s">
        <v>28</v>
      </c>
      <c r="G741" t="s">
        <v>4981</v>
      </c>
      <c r="H741" t="s">
        <v>189</v>
      </c>
      <c r="I741" t="s">
        <v>108</v>
      </c>
      <c r="J741" t="s">
        <v>97</v>
      </c>
      <c r="K741" t="s">
        <v>750</v>
      </c>
      <c r="L741" t="s">
        <v>4982</v>
      </c>
      <c r="M741">
        <v>4</v>
      </c>
      <c r="N741">
        <v>3979</v>
      </c>
      <c r="O741">
        <v>0</v>
      </c>
      <c r="P741">
        <v>16261</v>
      </c>
      <c r="Q741">
        <v>15916.8</v>
      </c>
      <c r="R741">
        <v>344.2</v>
      </c>
      <c r="S741" t="s">
        <v>35</v>
      </c>
      <c r="T741" t="s">
        <v>36</v>
      </c>
      <c r="U741" t="s">
        <v>4983</v>
      </c>
      <c r="V741" t="s">
        <v>4984</v>
      </c>
      <c r="W741">
        <v>42</v>
      </c>
      <c r="X741" t="s">
        <v>53</v>
      </c>
      <c r="Y741">
        <v>0</v>
      </c>
    </row>
    <row r="742" spans="1:25" x14ac:dyDescent="0.35">
      <c r="A742" t="s">
        <v>4985</v>
      </c>
      <c r="B742" s="1">
        <v>45471</v>
      </c>
      <c r="C742" s="1">
        <v>45477</v>
      </c>
      <c r="D742" t="s">
        <v>4986</v>
      </c>
      <c r="E742" t="s">
        <v>4987</v>
      </c>
      <c r="F742" t="s">
        <v>95</v>
      </c>
      <c r="G742" t="s">
        <v>4988</v>
      </c>
      <c r="H742" t="s">
        <v>364</v>
      </c>
      <c r="I742" t="s">
        <v>137</v>
      </c>
      <c r="J742" t="s">
        <v>118</v>
      </c>
      <c r="K742" t="s">
        <v>970</v>
      </c>
      <c r="L742" t="s">
        <v>4989</v>
      </c>
      <c r="M742">
        <v>6</v>
      </c>
      <c r="N742">
        <v>2405</v>
      </c>
      <c r="O742">
        <v>20</v>
      </c>
      <c r="P742">
        <v>11889</v>
      </c>
      <c r="Q742">
        <v>11544.89</v>
      </c>
      <c r="R742">
        <v>344.11</v>
      </c>
      <c r="S742" t="s">
        <v>100</v>
      </c>
      <c r="T742" t="s">
        <v>140</v>
      </c>
      <c r="U742" t="s">
        <v>4990</v>
      </c>
      <c r="V742" t="s">
        <v>4991</v>
      </c>
      <c r="W742">
        <v>42</v>
      </c>
      <c r="X742" t="s">
        <v>53</v>
      </c>
      <c r="Y742">
        <v>0</v>
      </c>
    </row>
    <row r="743" spans="1:25" x14ac:dyDescent="0.35">
      <c r="A743" t="s">
        <v>4992</v>
      </c>
      <c r="B743" s="1">
        <v>45806</v>
      </c>
      <c r="C743" s="1">
        <v>45807</v>
      </c>
      <c r="D743" t="s">
        <v>4993</v>
      </c>
      <c r="E743" t="s">
        <v>4994</v>
      </c>
      <c r="F743" t="s">
        <v>95</v>
      </c>
      <c r="G743" t="s">
        <v>2716</v>
      </c>
      <c r="H743" t="s">
        <v>107</v>
      </c>
      <c r="I743" t="s">
        <v>108</v>
      </c>
      <c r="J743" t="s">
        <v>32</v>
      </c>
      <c r="K743" t="s">
        <v>239</v>
      </c>
      <c r="L743" t="s">
        <v>4995</v>
      </c>
      <c r="M743">
        <v>4</v>
      </c>
      <c r="N743">
        <v>1918</v>
      </c>
      <c r="O743">
        <v>0</v>
      </c>
      <c r="P743">
        <v>8017</v>
      </c>
      <c r="Q743">
        <v>7672.67</v>
      </c>
      <c r="R743">
        <v>344.33</v>
      </c>
      <c r="S743" t="s">
        <v>49</v>
      </c>
      <c r="T743" t="s">
        <v>89</v>
      </c>
      <c r="U743" t="s">
        <v>4996</v>
      </c>
      <c r="V743" t="s">
        <v>4997</v>
      </c>
      <c r="W743">
        <v>35</v>
      </c>
      <c r="X743" t="s">
        <v>53</v>
      </c>
      <c r="Y743">
        <v>0</v>
      </c>
    </row>
    <row r="744" spans="1:25" x14ac:dyDescent="0.35">
      <c r="A744" t="s">
        <v>4998</v>
      </c>
      <c r="B744" s="1">
        <v>45816</v>
      </c>
      <c r="C744" s="1">
        <v>45817</v>
      </c>
      <c r="D744" t="s">
        <v>4999</v>
      </c>
      <c r="E744" t="s">
        <v>5000</v>
      </c>
      <c r="F744" t="s">
        <v>28</v>
      </c>
      <c r="G744" t="s">
        <v>5001</v>
      </c>
      <c r="H744" t="s">
        <v>44</v>
      </c>
      <c r="I744" t="s">
        <v>45</v>
      </c>
      <c r="J744" t="s">
        <v>46</v>
      </c>
      <c r="K744" t="s">
        <v>138</v>
      </c>
      <c r="L744" t="s">
        <v>5002</v>
      </c>
      <c r="M744">
        <v>3</v>
      </c>
      <c r="N744">
        <v>500</v>
      </c>
      <c r="O744">
        <v>20</v>
      </c>
      <c r="P744">
        <v>1545</v>
      </c>
      <c r="Q744">
        <v>1200.74</v>
      </c>
      <c r="R744">
        <v>344.26</v>
      </c>
      <c r="S744" t="s">
        <v>35</v>
      </c>
      <c r="T744" t="s">
        <v>140</v>
      </c>
      <c r="U744" t="s">
        <v>5003</v>
      </c>
      <c r="V744" t="s">
        <v>5004</v>
      </c>
      <c r="W744">
        <v>33</v>
      </c>
      <c r="X744" t="s">
        <v>53</v>
      </c>
      <c r="Y744">
        <v>0</v>
      </c>
    </row>
    <row r="745" spans="1:25" x14ac:dyDescent="0.35">
      <c r="A745" t="s">
        <v>5005</v>
      </c>
      <c r="B745" s="1">
        <v>45389</v>
      </c>
      <c r="C745" s="1">
        <v>45392</v>
      </c>
      <c r="D745" t="s">
        <v>5006</v>
      </c>
      <c r="E745" t="s">
        <v>5007</v>
      </c>
      <c r="F745" t="s">
        <v>95</v>
      </c>
      <c r="G745" t="s">
        <v>5008</v>
      </c>
      <c r="H745" t="s">
        <v>117</v>
      </c>
      <c r="I745" t="s">
        <v>108</v>
      </c>
      <c r="J745" t="s">
        <v>32</v>
      </c>
      <c r="K745" t="s">
        <v>750</v>
      </c>
      <c r="L745" t="s">
        <v>5009</v>
      </c>
      <c r="M745">
        <v>4</v>
      </c>
      <c r="N745">
        <v>3608</v>
      </c>
      <c r="O745">
        <v>15</v>
      </c>
      <c r="P745">
        <v>12612.2</v>
      </c>
      <c r="Q745">
        <v>12268.04</v>
      </c>
      <c r="R745">
        <v>344.16</v>
      </c>
      <c r="S745" t="s">
        <v>49</v>
      </c>
      <c r="T745" t="s">
        <v>36</v>
      </c>
      <c r="U745" t="s">
        <v>5010</v>
      </c>
      <c r="V745" t="s">
        <v>5011</v>
      </c>
      <c r="W745">
        <v>13</v>
      </c>
      <c r="X745" t="s">
        <v>53</v>
      </c>
      <c r="Y745">
        <v>0</v>
      </c>
    </row>
    <row r="746" spans="1:25" x14ac:dyDescent="0.35">
      <c r="A746" t="s">
        <v>5012</v>
      </c>
      <c r="B746" s="1">
        <v>45592</v>
      </c>
      <c r="C746" s="1">
        <v>45597</v>
      </c>
      <c r="D746" t="s">
        <v>5013</v>
      </c>
      <c r="E746" t="s">
        <v>5014</v>
      </c>
      <c r="F746" t="s">
        <v>57</v>
      </c>
      <c r="G746" t="s">
        <v>5015</v>
      </c>
      <c r="H746" t="s">
        <v>30</v>
      </c>
      <c r="I746" t="s">
        <v>31</v>
      </c>
      <c r="J746" t="s">
        <v>46</v>
      </c>
      <c r="K746" t="s">
        <v>482</v>
      </c>
      <c r="L746" t="s">
        <v>5016</v>
      </c>
      <c r="M746">
        <v>3</v>
      </c>
      <c r="N746">
        <v>4436</v>
      </c>
      <c r="O746">
        <v>5</v>
      </c>
      <c r="P746">
        <v>12987.6</v>
      </c>
      <c r="Q746">
        <v>12643.37</v>
      </c>
      <c r="R746">
        <v>344.23</v>
      </c>
      <c r="S746" t="s">
        <v>35</v>
      </c>
      <c r="T746" t="s">
        <v>89</v>
      </c>
      <c r="U746" t="s">
        <v>5017</v>
      </c>
      <c r="V746" t="s">
        <v>5018</v>
      </c>
      <c r="W746">
        <v>29</v>
      </c>
      <c r="X746" t="s">
        <v>53</v>
      </c>
      <c r="Y746">
        <v>0</v>
      </c>
    </row>
    <row r="747" spans="1:25" x14ac:dyDescent="0.35">
      <c r="A747" t="s">
        <v>5019</v>
      </c>
      <c r="B747" s="1">
        <v>45421</v>
      </c>
      <c r="C747" s="1">
        <v>45423</v>
      </c>
      <c r="D747" t="s">
        <v>4559</v>
      </c>
      <c r="E747" t="s">
        <v>5020</v>
      </c>
      <c r="F747" t="s">
        <v>28</v>
      </c>
      <c r="G747" t="s">
        <v>5021</v>
      </c>
      <c r="H747" t="s">
        <v>44</v>
      </c>
      <c r="I747" t="s">
        <v>45</v>
      </c>
      <c r="J747" t="s">
        <v>32</v>
      </c>
      <c r="K747" t="s">
        <v>714</v>
      </c>
      <c r="L747" t="s">
        <v>5022</v>
      </c>
      <c r="M747">
        <v>9</v>
      </c>
      <c r="N747">
        <v>1667</v>
      </c>
      <c r="O747">
        <v>15</v>
      </c>
      <c r="P747">
        <v>13097.55</v>
      </c>
      <c r="Q747">
        <v>12753.25</v>
      </c>
      <c r="R747">
        <v>344.3</v>
      </c>
      <c r="S747" t="s">
        <v>100</v>
      </c>
      <c r="T747" t="s">
        <v>140</v>
      </c>
      <c r="U747" t="s">
        <v>5023</v>
      </c>
      <c r="V747" t="s">
        <v>5024</v>
      </c>
      <c r="W747">
        <v>44</v>
      </c>
      <c r="X747" t="s">
        <v>53</v>
      </c>
      <c r="Y747">
        <v>0</v>
      </c>
    </row>
    <row r="748" spans="1:25" x14ac:dyDescent="0.35">
      <c r="A748" t="s">
        <v>5025</v>
      </c>
      <c r="B748" s="1">
        <v>45272</v>
      </c>
      <c r="C748" s="1">
        <v>45276</v>
      </c>
      <c r="D748" t="s">
        <v>5026</v>
      </c>
      <c r="E748" t="s">
        <v>5027</v>
      </c>
      <c r="F748" t="s">
        <v>28</v>
      </c>
      <c r="G748" t="s">
        <v>5028</v>
      </c>
      <c r="H748" t="s">
        <v>206</v>
      </c>
      <c r="I748" t="s">
        <v>31</v>
      </c>
      <c r="J748" t="s">
        <v>97</v>
      </c>
      <c r="K748" t="s">
        <v>786</v>
      </c>
      <c r="L748" t="s">
        <v>5029</v>
      </c>
      <c r="M748">
        <v>1</v>
      </c>
      <c r="N748">
        <v>3081</v>
      </c>
      <c r="O748">
        <v>5</v>
      </c>
      <c r="P748">
        <v>3271.95</v>
      </c>
      <c r="Q748">
        <v>2927.82</v>
      </c>
      <c r="R748">
        <v>344.13</v>
      </c>
      <c r="S748" t="s">
        <v>35</v>
      </c>
      <c r="T748" t="s">
        <v>36</v>
      </c>
      <c r="U748" t="s">
        <v>5030</v>
      </c>
      <c r="V748" t="s">
        <v>5031</v>
      </c>
      <c r="W748">
        <v>24</v>
      </c>
      <c r="X748" t="s">
        <v>53</v>
      </c>
      <c r="Y748">
        <v>0</v>
      </c>
    </row>
    <row r="749" spans="1:25" x14ac:dyDescent="0.35">
      <c r="A749" t="s">
        <v>5032</v>
      </c>
      <c r="B749" s="1">
        <v>45479</v>
      </c>
      <c r="C749" s="1">
        <v>45482</v>
      </c>
      <c r="D749" t="s">
        <v>4960</v>
      </c>
      <c r="E749" t="s">
        <v>5033</v>
      </c>
      <c r="F749" t="s">
        <v>95</v>
      </c>
      <c r="G749" t="s">
        <v>5034</v>
      </c>
      <c r="H749" t="s">
        <v>172</v>
      </c>
      <c r="I749" t="s">
        <v>45</v>
      </c>
      <c r="J749" t="s">
        <v>97</v>
      </c>
      <c r="K749" t="s">
        <v>1898</v>
      </c>
      <c r="L749" t="s">
        <v>5035</v>
      </c>
      <c r="M749">
        <v>9</v>
      </c>
      <c r="N749">
        <v>4881</v>
      </c>
      <c r="O749">
        <v>0</v>
      </c>
      <c r="P749">
        <v>44274</v>
      </c>
      <c r="Q749">
        <v>43929.7</v>
      </c>
      <c r="R749">
        <v>344.3</v>
      </c>
      <c r="S749" t="s">
        <v>80</v>
      </c>
      <c r="T749" t="s">
        <v>36</v>
      </c>
      <c r="U749" t="s">
        <v>5036</v>
      </c>
      <c r="V749" t="s">
        <v>5037</v>
      </c>
      <c r="W749">
        <v>32</v>
      </c>
      <c r="X749" t="s">
        <v>53</v>
      </c>
      <c r="Y749">
        <v>0</v>
      </c>
    </row>
    <row r="750" spans="1:25" x14ac:dyDescent="0.35">
      <c r="A750" t="s">
        <v>5038</v>
      </c>
      <c r="B750" s="1">
        <v>45340</v>
      </c>
      <c r="C750" s="1">
        <v>45341</v>
      </c>
      <c r="D750" t="s">
        <v>5039</v>
      </c>
      <c r="E750" t="s">
        <v>5040</v>
      </c>
      <c r="F750" t="s">
        <v>28</v>
      </c>
      <c r="G750" t="s">
        <v>5041</v>
      </c>
      <c r="H750" t="s">
        <v>68</v>
      </c>
      <c r="I750" t="s">
        <v>31</v>
      </c>
      <c r="J750" t="s">
        <v>97</v>
      </c>
      <c r="K750" t="s">
        <v>60</v>
      </c>
      <c r="L750" t="s">
        <v>5042</v>
      </c>
      <c r="M750">
        <v>1</v>
      </c>
      <c r="N750">
        <v>2106</v>
      </c>
      <c r="O750">
        <v>20</v>
      </c>
      <c r="P750">
        <v>2029.8</v>
      </c>
      <c r="Q750">
        <v>1685.44</v>
      </c>
      <c r="R750">
        <v>344.36</v>
      </c>
      <c r="S750" t="s">
        <v>100</v>
      </c>
      <c r="T750" t="s">
        <v>89</v>
      </c>
      <c r="U750" t="s">
        <v>5043</v>
      </c>
      <c r="V750" t="s">
        <v>5044</v>
      </c>
      <c r="W750">
        <v>10</v>
      </c>
      <c r="X750" t="s">
        <v>53</v>
      </c>
      <c r="Y750">
        <v>0</v>
      </c>
    </row>
    <row r="751" spans="1:25" x14ac:dyDescent="0.35">
      <c r="A751" t="s">
        <v>5045</v>
      </c>
      <c r="B751" s="1">
        <v>45608</v>
      </c>
      <c r="C751" s="1">
        <v>45612</v>
      </c>
      <c r="D751" t="s">
        <v>5046</v>
      </c>
      <c r="E751" t="s">
        <v>5047</v>
      </c>
      <c r="F751" t="s">
        <v>28</v>
      </c>
      <c r="G751" t="s">
        <v>5048</v>
      </c>
      <c r="H751" t="s">
        <v>59</v>
      </c>
      <c r="I751" t="s">
        <v>31</v>
      </c>
      <c r="J751" t="s">
        <v>97</v>
      </c>
      <c r="K751" t="s">
        <v>482</v>
      </c>
      <c r="L751" t="s">
        <v>5049</v>
      </c>
      <c r="M751">
        <v>9</v>
      </c>
      <c r="N751">
        <v>4153</v>
      </c>
      <c r="O751">
        <v>15</v>
      </c>
      <c r="P751">
        <v>32115.45</v>
      </c>
      <c r="Q751">
        <v>31771.200000000001</v>
      </c>
      <c r="R751">
        <v>344.25</v>
      </c>
      <c r="S751" t="s">
        <v>49</v>
      </c>
      <c r="T751" t="s">
        <v>89</v>
      </c>
      <c r="U751" t="s">
        <v>5050</v>
      </c>
      <c r="V751" t="s">
        <v>5051</v>
      </c>
      <c r="W751">
        <v>3</v>
      </c>
      <c r="X751" t="s">
        <v>39</v>
      </c>
      <c r="Y751">
        <v>31</v>
      </c>
    </row>
    <row r="752" spans="1:25" x14ac:dyDescent="0.35">
      <c r="A752" t="s">
        <v>5052</v>
      </c>
      <c r="B752" s="1">
        <v>45466</v>
      </c>
      <c r="C752" s="1">
        <v>45468</v>
      </c>
      <c r="D752" t="s">
        <v>1509</v>
      </c>
      <c r="E752" t="s">
        <v>5053</v>
      </c>
      <c r="F752" t="s">
        <v>57</v>
      </c>
      <c r="G752" t="s">
        <v>5054</v>
      </c>
      <c r="H752" t="s">
        <v>154</v>
      </c>
      <c r="I752" t="s">
        <v>137</v>
      </c>
      <c r="J752" t="s">
        <v>118</v>
      </c>
      <c r="K752" t="s">
        <v>155</v>
      </c>
      <c r="L752" t="s">
        <v>4798</v>
      </c>
      <c r="M752">
        <v>10</v>
      </c>
      <c r="N752">
        <v>1159</v>
      </c>
      <c r="O752">
        <v>10</v>
      </c>
      <c r="P752">
        <v>10776</v>
      </c>
      <c r="Q752">
        <v>10431.709999999999</v>
      </c>
      <c r="R752">
        <v>344.29</v>
      </c>
      <c r="S752" t="s">
        <v>80</v>
      </c>
      <c r="T752" t="s">
        <v>89</v>
      </c>
      <c r="U752" t="s">
        <v>5055</v>
      </c>
      <c r="V752" t="s">
        <v>5056</v>
      </c>
      <c r="W752">
        <v>19</v>
      </c>
      <c r="X752" t="s">
        <v>53</v>
      </c>
      <c r="Y752">
        <v>0</v>
      </c>
    </row>
    <row r="753" spans="1:25" x14ac:dyDescent="0.35">
      <c r="A753" t="s">
        <v>5057</v>
      </c>
      <c r="B753" s="1">
        <v>45907</v>
      </c>
      <c r="C753" s="1">
        <v>45909</v>
      </c>
      <c r="D753" t="s">
        <v>4211</v>
      </c>
      <c r="E753" t="s">
        <v>5058</v>
      </c>
      <c r="F753" t="s">
        <v>95</v>
      </c>
      <c r="G753" t="s">
        <v>5059</v>
      </c>
      <c r="H753" t="s">
        <v>334</v>
      </c>
      <c r="I753" t="s">
        <v>108</v>
      </c>
      <c r="J753" t="s">
        <v>97</v>
      </c>
      <c r="K753" t="s">
        <v>466</v>
      </c>
      <c r="L753" t="s">
        <v>3061</v>
      </c>
      <c r="M753">
        <v>10</v>
      </c>
      <c r="N753">
        <v>1076</v>
      </c>
      <c r="O753">
        <v>10</v>
      </c>
      <c r="P753">
        <v>10029</v>
      </c>
      <c r="Q753">
        <v>9684.66</v>
      </c>
      <c r="R753">
        <v>344.34</v>
      </c>
      <c r="S753" t="s">
        <v>35</v>
      </c>
      <c r="T753" t="s">
        <v>89</v>
      </c>
      <c r="U753" t="s">
        <v>5060</v>
      </c>
      <c r="V753" t="s">
        <v>5061</v>
      </c>
      <c r="W753">
        <v>35</v>
      </c>
      <c r="X753" t="s">
        <v>53</v>
      </c>
      <c r="Y753">
        <v>0</v>
      </c>
    </row>
    <row r="754" spans="1:25" x14ac:dyDescent="0.35">
      <c r="A754" t="s">
        <v>5062</v>
      </c>
      <c r="B754" s="1">
        <v>45905</v>
      </c>
      <c r="C754" s="1">
        <v>45911</v>
      </c>
      <c r="D754" t="s">
        <v>5063</v>
      </c>
      <c r="E754" t="s">
        <v>5064</v>
      </c>
      <c r="F754" t="s">
        <v>28</v>
      </c>
      <c r="G754" t="s">
        <v>5065</v>
      </c>
      <c r="H754" t="s">
        <v>364</v>
      </c>
      <c r="I754" t="s">
        <v>137</v>
      </c>
      <c r="J754" t="s">
        <v>32</v>
      </c>
      <c r="K754" t="s">
        <v>47</v>
      </c>
      <c r="L754" t="s">
        <v>5066</v>
      </c>
      <c r="M754">
        <v>5</v>
      </c>
      <c r="N754">
        <v>981</v>
      </c>
      <c r="O754">
        <v>15</v>
      </c>
      <c r="P754">
        <v>4514.25</v>
      </c>
      <c r="Q754">
        <v>4170.0200000000004</v>
      </c>
      <c r="R754">
        <v>344.23</v>
      </c>
      <c r="S754" t="s">
        <v>80</v>
      </c>
      <c r="T754" t="s">
        <v>50</v>
      </c>
      <c r="U754" t="s">
        <v>5067</v>
      </c>
      <c r="V754" t="s">
        <v>5068</v>
      </c>
      <c r="W754">
        <v>34</v>
      </c>
      <c r="X754" t="s">
        <v>53</v>
      </c>
      <c r="Y754">
        <v>0</v>
      </c>
    </row>
    <row r="755" spans="1:25" x14ac:dyDescent="0.35">
      <c r="A755" t="s">
        <v>5069</v>
      </c>
      <c r="B755" s="1">
        <v>45509</v>
      </c>
      <c r="C755" s="1">
        <v>45512</v>
      </c>
      <c r="D755" t="s">
        <v>1758</v>
      </c>
      <c r="E755" t="s">
        <v>5070</v>
      </c>
      <c r="F755" t="s">
        <v>28</v>
      </c>
      <c r="G755" t="s">
        <v>5071</v>
      </c>
      <c r="H755" t="s">
        <v>320</v>
      </c>
      <c r="I755" t="s">
        <v>137</v>
      </c>
      <c r="J755" t="s">
        <v>32</v>
      </c>
      <c r="K755" t="s">
        <v>231</v>
      </c>
      <c r="L755" t="s">
        <v>5072</v>
      </c>
      <c r="M755">
        <v>9</v>
      </c>
      <c r="N755">
        <v>602</v>
      </c>
      <c r="O755">
        <v>15</v>
      </c>
      <c r="P755">
        <v>4950.3</v>
      </c>
      <c r="Q755">
        <v>4606.13</v>
      </c>
      <c r="R755">
        <v>344.17</v>
      </c>
      <c r="S755" t="s">
        <v>35</v>
      </c>
      <c r="T755" t="s">
        <v>140</v>
      </c>
      <c r="U755" t="s">
        <v>5073</v>
      </c>
      <c r="V755" t="s">
        <v>5074</v>
      </c>
      <c r="W755">
        <v>44</v>
      </c>
      <c r="X755" t="s">
        <v>53</v>
      </c>
      <c r="Y755">
        <v>0</v>
      </c>
    </row>
    <row r="756" spans="1:25" x14ac:dyDescent="0.35">
      <c r="A756" t="s">
        <v>5075</v>
      </c>
      <c r="B756" s="1">
        <v>45635</v>
      </c>
      <c r="C756" s="1">
        <v>45640</v>
      </c>
      <c r="D756" t="s">
        <v>5076</v>
      </c>
      <c r="E756" t="s">
        <v>5077</v>
      </c>
      <c r="F756" t="s">
        <v>57</v>
      </c>
      <c r="G756" t="s">
        <v>5078</v>
      </c>
      <c r="H756" t="s">
        <v>198</v>
      </c>
      <c r="I756" t="s">
        <v>31</v>
      </c>
      <c r="J756" t="s">
        <v>97</v>
      </c>
      <c r="K756" t="s">
        <v>482</v>
      </c>
      <c r="L756" t="s">
        <v>5079</v>
      </c>
      <c r="M756">
        <v>8</v>
      </c>
      <c r="N756">
        <v>752</v>
      </c>
      <c r="O756">
        <v>20</v>
      </c>
      <c r="P756">
        <v>5157.8</v>
      </c>
      <c r="Q756">
        <v>4813.45</v>
      </c>
      <c r="R756">
        <v>344.35</v>
      </c>
      <c r="S756" t="s">
        <v>49</v>
      </c>
      <c r="T756" t="s">
        <v>50</v>
      </c>
      <c r="U756" t="s">
        <v>5080</v>
      </c>
      <c r="V756" t="s">
        <v>5081</v>
      </c>
      <c r="W756">
        <v>20</v>
      </c>
      <c r="X756" t="s">
        <v>53</v>
      </c>
      <c r="Y756">
        <v>0</v>
      </c>
    </row>
    <row r="757" spans="1:25" x14ac:dyDescent="0.35">
      <c r="A757" t="s">
        <v>5082</v>
      </c>
      <c r="B757" s="1">
        <v>45374</v>
      </c>
      <c r="C757" s="1">
        <v>45376</v>
      </c>
      <c r="D757" t="s">
        <v>5083</v>
      </c>
      <c r="E757" t="s">
        <v>5084</v>
      </c>
      <c r="F757" t="s">
        <v>28</v>
      </c>
      <c r="G757" t="s">
        <v>5085</v>
      </c>
      <c r="H757" t="s">
        <v>77</v>
      </c>
      <c r="I757" t="s">
        <v>45</v>
      </c>
      <c r="J757" t="s">
        <v>97</v>
      </c>
      <c r="K757" t="s">
        <v>992</v>
      </c>
      <c r="L757" t="s">
        <v>5086</v>
      </c>
      <c r="M757">
        <v>9</v>
      </c>
      <c r="N757">
        <v>2712</v>
      </c>
      <c r="O757">
        <v>10</v>
      </c>
      <c r="P757">
        <v>22312.2</v>
      </c>
      <c r="Q757">
        <v>21967.87</v>
      </c>
      <c r="R757">
        <v>344.33</v>
      </c>
      <c r="S757" t="s">
        <v>80</v>
      </c>
      <c r="T757" t="s">
        <v>89</v>
      </c>
      <c r="U757" t="s">
        <v>5087</v>
      </c>
      <c r="V757" t="s">
        <v>5088</v>
      </c>
      <c r="W757">
        <v>13</v>
      </c>
      <c r="X757" t="s">
        <v>53</v>
      </c>
      <c r="Y757">
        <v>0</v>
      </c>
    </row>
    <row r="758" spans="1:25" x14ac:dyDescent="0.35">
      <c r="A758" t="s">
        <v>5089</v>
      </c>
      <c r="B758" s="1">
        <v>45598</v>
      </c>
      <c r="C758" s="1">
        <v>45599</v>
      </c>
      <c r="D758" t="s">
        <v>5090</v>
      </c>
      <c r="E758" t="s">
        <v>5091</v>
      </c>
      <c r="F758" t="s">
        <v>95</v>
      </c>
      <c r="G758" t="s">
        <v>5092</v>
      </c>
      <c r="H758" t="s">
        <v>198</v>
      </c>
      <c r="I758" t="s">
        <v>31</v>
      </c>
      <c r="J758" t="s">
        <v>97</v>
      </c>
      <c r="K758" t="s">
        <v>109</v>
      </c>
      <c r="L758" t="s">
        <v>5093</v>
      </c>
      <c r="M758">
        <v>4</v>
      </c>
      <c r="N758">
        <v>1431</v>
      </c>
      <c r="O758">
        <v>10</v>
      </c>
      <c r="P758">
        <v>5496.6</v>
      </c>
      <c r="Q758">
        <v>5152.49</v>
      </c>
      <c r="R758">
        <v>344.11</v>
      </c>
      <c r="S758" t="s">
        <v>49</v>
      </c>
      <c r="T758" t="s">
        <v>36</v>
      </c>
      <c r="U758" t="s">
        <v>5094</v>
      </c>
      <c r="V758" t="s">
        <v>5095</v>
      </c>
      <c r="W758">
        <v>8</v>
      </c>
      <c r="X758" t="s">
        <v>39</v>
      </c>
      <c r="Y758">
        <v>32</v>
      </c>
    </row>
    <row r="759" spans="1:25" x14ac:dyDescent="0.35">
      <c r="A759" t="s">
        <v>5096</v>
      </c>
      <c r="B759" s="1">
        <v>45378</v>
      </c>
      <c r="C759" s="1">
        <v>45379</v>
      </c>
      <c r="D759" t="s">
        <v>2467</v>
      </c>
      <c r="E759" t="s">
        <v>5097</v>
      </c>
      <c r="F759" t="s">
        <v>95</v>
      </c>
      <c r="G759" t="s">
        <v>5098</v>
      </c>
      <c r="H759" t="s">
        <v>30</v>
      </c>
      <c r="I759" t="s">
        <v>31</v>
      </c>
      <c r="J759" t="s">
        <v>32</v>
      </c>
      <c r="K759" t="s">
        <v>786</v>
      </c>
      <c r="L759" t="s">
        <v>5099</v>
      </c>
      <c r="M759">
        <v>6</v>
      </c>
      <c r="N759">
        <v>4494</v>
      </c>
      <c r="O759">
        <v>15</v>
      </c>
      <c r="P759">
        <v>23264.400000000001</v>
      </c>
      <c r="Q759">
        <v>22920.12</v>
      </c>
      <c r="R759">
        <v>344.28</v>
      </c>
      <c r="S759" t="s">
        <v>49</v>
      </c>
      <c r="T759" t="s">
        <v>140</v>
      </c>
      <c r="U759" t="s">
        <v>5100</v>
      </c>
      <c r="V759" t="s">
        <v>5101</v>
      </c>
      <c r="W759">
        <v>40</v>
      </c>
      <c r="X759" t="s">
        <v>53</v>
      </c>
      <c r="Y759">
        <v>0</v>
      </c>
    </row>
    <row r="760" spans="1:25" x14ac:dyDescent="0.35">
      <c r="A760" t="s">
        <v>5102</v>
      </c>
      <c r="B760" s="1">
        <v>45852</v>
      </c>
      <c r="C760" s="1">
        <v>45858</v>
      </c>
      <c r="D760" t="s">
        <v>5103</v>
      </c>
      <c r="E760" t="s">
        <v>5104</v>
      </c>
      <c r="F760" t="s">
        <v>57</v>
      </c>
      <c r="G760" t="s">
        <v>5105</v>
      </c>
      <c r="H760" t="s">
        <v>77</v>
      </c>
      <c r="I760" t="s">
        <v>45</v>
      </c>
      <c r="J760" t="s">
        <v>97</v>
      </c>
      <c r="K760" t="s">
        <v>524</v>
      </c>
      <c r="L760" t="s">
        <v>5106</v>
      </c>
      <c r="M760">
        <v>4</v>
      </c>
      <c r="N760">
        <v>4691</v>
      </c>
      <c r="O760">
        <v>15</v>
      </c>
      <c r="P760">
        <v>16294.4</v>
      </c>
      <c r="Q760">
        <v>15950.05</v>
      </c>
      <c r="R760">
        <v>344.35</v>
      </c>
      <c r="S760" t="s">
        <v>49</v>
      </c>
      <c r="T760" t="s">
        <v>50</v>
      </c>
      <c r="U760" t="s">
        <v>5107</v>
      </c>
      <c r="V760" t="s">
        <v>5108</v>
      </c>
      <c r="W760">
        <v>2</v>
      </c>
      <c r="X760" t="s">
        <v>39</v>
      </c>
      <c r="Y760">
        <v>41</v>
      </c>
    </row>
    <row r="761" spans="1:25" x14ac:dyDescent="0.35">
      <c r="A761" t="s">
        <v>5109</v>
      </c>
      <c r="B761" s="1">
        <v>45260</v>
      </c>
      <c r="C761" s="1">
        <v>45267</v>
      </c>
      <c r="D761" t="s">
        <v>2946</v>
      </c>
      <c r="E761" t="s">
        <v>5110</v>
      </c>
      <c r="F761" t="s">
        <v>95</v>
      </c>
      <c r="G761" t="s">
        <v>5111</v>
      </c>
      <c r="H761" t="s">
        <v>334</v>
      </c>
      <c r="I761" t="s">
        <v>108</v>
      </c>
      <c r="J761" t="s">
        <v>118</v>
      </c>
      <c r="K761" t="s">
        <v>78</v>
      </c>
      <c r="L761" t="s">
        <v>5112</v>
      </c>
      <c r="M761">
        <v>9</v>
      </c>
      <c r="N761">
        <v>513</v>
      </c>
      <c r="O761">
        <v>10</v>
      </c>
      <c r="P761">
        <v>4500.3</v>
      </c>
      <c r="Q761">
        <v>4155.99</v>
      </c>
      <c r="R761">
        <v>344.31</v>
      </c>
      <c r="S761" t="s">
        <v>100</v>
      </c>
      <c r="T761" t="s">
        <v>89</v>
      </c>
      <c r="U761" t="s">
        <v>5113</v>
      </c>
      <c r="V761" t="s">
        <v>5114</v>
      </c>
      <c r="W761">
        <v>39</v>
      </c>
      <c r="X761" t="s">
        <v>53</v>
      </c>
      <c r="Y761">
        <v>0</v>
      </c>
    </row>
    <row r="762" spans="1:25" x14ac:dyDescent="0.35">
      <c r="A762" t="s">
        <v>5115</v>
      </c>
      <c r="B762" s="1">
        <v>45882</v>
      </c>
      <c r="C762" s="1">
        <v>45888</v>
      </c>
      <c r="D762" t="s">
        <v>266</v>
      </c>
      <c r="E762" t="s">
        <v>5116</v>
      </c>
      <c r="F762" t="s">
        <v>28</v>
      </c>
      <c r="G762" t="s">
        <v>5117</v>
      </c>
      <c r="H762" t="s">
        <v>198</v>
      </c>
      <c r="I762" t="s">
        <v>31</v>
      </c>
      <c r="J762" t="s">
        <v>32</v>
      </c>
      <c r="K762" t="s">
        <v>524</v>
      </c>
      <c r="L762" t="s">
        <v>5118</v>
      </c>
      <c r="M762">
        <v>9</v>
      </c>
      <c r="N762">
        <v>1199</v>
      </c>
      <c r="O762">
        <v>5</v>
      </c>
      <c r="P762">
        <v>10596.45</v>
      </c>
      <c r="Q762">
        <v>10252.290000000001</v>
      </c>
      <c r="R762">
        <v>344.16</v>
      </c>
      <c r="S762" t="s">
        <v>100</v>
      </c>
      <c r="T762" t="s">
        <v>36</v>
      </c>
      <c r="U762" t="s">
        <v>5119</v>
      </c>
      <c r="V762" t="s">
        <v>5120</v>
      </c>
      <c r="W762">
        <v>4</v>
      </c>
      <c r="X762" t="s">
        <v>39</v>
      </c>
      <c r="Y762">
        <v>35</v>
      </c>
    </row>
    <row r="763" spans="1:25" x14ac:dyDescent="0.35">
      <c r="A763" t="s">
        <v>5121</v>
      </c>
      <c r="B763" s="1">
        <v>45607</v>
      </c>
      <c r="C763" s="1">
        <v>45609</v>
      </c>
      <c r="D763" t="s">
        <v>4447</v>
      </c>
      <c r="E763" t="s">
        <v>4827</v>
      </c>
      <c r="F763" t="s">
        <v>57</v>
      </c>
      <c r="G763" t="s">
        <v>5122</v>
      </c>
      <c r="H763" t="s">
        <v>154</v>
      </c>
      <c r="I763" t="s">
        <v>137</v>
      </c>
      <c r="J763" t="s">
        <v>118</v>
      </c>
      <c r="K763" t="s">
        <v>648</v>
      </c>
      <c r="L763" t="s">
        <v>5123</v>
      </c>
      <c r="M763">
        <v>3</v>
      </c>
      <c r="N763">
        <v>3756</v>
      </c>
      <c r="O763">
        <v>20</v>
      </c>
      <c r="P763">
        <v>9359.4</v>
      </c>
      <c r="Q763">
        <v>9015.2900000000009</v>
      </c>
      <c r="R763">
        <v>344.11</v>
      </c>
      <c r="S763" t="s">
        <v>80</v>
      </c>
      <c r="T763" t="s">
        <v>140</v>
      </c>
      <c r="U763" t="s">
        <v>5124</v>
      </c>
      <c r="V763" t="s">
        <v>5125</v>
      </c>
      <c r="W763">
        <v>10</v>
      </c>
      <c r="X763" t="s">
        <v>53</v>
      </c>
      <c r="Y763">
        <v>0</v>
      </c>
    </row>
    <row r="764" spans="1:25" x14ac:dyDescent="0.35">
      <c r="A764" t="s">
        <v>5126</v>
      </c>
      <c r="B764" s="1">
        <v>45602</v>
      </c>
      <c r="C764" s="1">
        <v>45608</v>
      </c>
      <c r="D764" t="s">
        <v>5127</v>
      </c>
      <c r="E764" t="s">
        <v>5128</v>
      </c>
      <c r="F764" t="s">
        <v>95</v>
      </c>
      <c r="G764" t="s">
        <v>5129</v>
      </c>
      <c r="H764" t="s">
        <v>44</v>
      </c>
      <c r="I764" t="s">
        <v>45</v>
      </c>
      <c r="J764" t="s">
        <v>46</v>
      </c>
      <c r="K764" t="s">
        <v>662</v>
      </c>
      <c r="L764" t="s">
        <v>5130</v>
      </c>
      <c r="M764">
        <v>4</v>
      </c>
      <c r="N764">
        <v>2208</v>
      </c>
      <c r="O764">
        <v>20</v>
      </c>
      <c r="P764">
        <v>7410.6</v>
      </c>
      <c r="Q764">
        <v>7066.45</v>
      </c>
      <c r="R764">
        <v>344.15</v>
      </c>
      <c r="S764" t="s">
        <v>49</v>
      </c>
      <c r="T764" t="s">
        <v>89</v>
      </c>
      <c r="U764" t="s">
        <v>5131</v>
      </c>
      <c r="V764" t="s">
        <v>5132</v>
      </c>
      <c r="W764">
        <v>35</v>
      </c>
      <c r="X764" t="s">
        <v>53</v>
      </c>
      <c r="Y764">
        <v>0</v>
      </c>
    </row>
    <row r="765" spans="1:25" x14ac:dyDescent="0.35">
      <c r="A765" t="s">
        <v>5133</v>
      </c>
      <c r="B765" s="1">
        <v>45799</v>
      </c>
      <c r="C765" s="1">
        <v>45802</v>
      </c>
      <c r="D765" t="s">
        <v>5134</v>
      </c>
      <c r="E765" t="s">
        <v>5135</v>
      </c>
      <c r="F765" t="s">
        <v>57</v>
      </c>
      <c r="G765" t="s">
        <v>5136</v>
      </c>
      <c r="H765" t="s">
        <v>30</v>
      </c>
      <c r="I765" t="s">
        <v>31</v>
      </c>
      <c r="J765" t="s">
        <v>32</v>
      </c>
      <c r="K765" t="s">
        <v>598</v>
      </c>
      <c r="L765" t="s">
        <v>3834</v>
      </c>
      <c r="M765">
        <v>7</v>
      </c>
      <c r="N765">
        <v>2273</v>
      </c>
      <c r="O765">
        <v>10</v>
      </c>
      <c r="P765">
        <v>14664.9</v>
      </c>
      <c r="Q765">
        <v>14320.56</v>
      </c>
      <c r="R765">
        <v>344.34</v>
      </c>
      <c r="S765" t="s">
        <v>80</v>
      </c>
      <c r="T765" t="s">
        <v>36</v>
      </c>
      <c r="U765" t="s">
        <v>5137</v>
      </c>
      <c r="V765" t="s">
        <v>5138</v>
      </c>
      <c r="W765">
        <v>24</v>
      </c>
      <c r="X765" t="s">
        <v>53</v>
      </c>
      <c r="Y765">
        <v>0</v>
      </c>
    </row>
    <row r="766" spans="1:25" x14ac:dyDescent="0.35">
      <c r="A766" t="s">
        <v>5139</v>
      </c>
      <c r="B766" s="1">
        <v>45343</v>
      </c>
      <c r="C766" s="1">
        <v>45345</v>
      </c>
      <c r="D766" t="s">
        <v>5140</v>
      </c>
      <c r="E766" t="s">
        <v>5141</v>
      </c>
      <c r="F766" t="s">
        <v>28</v>
      </c>
      <c r="G766" t="s">
        <v>5142</v>
      </c>
      <c r="H766" t="s">
        <v>364</v>
      </c>
      <c r="I766" t="s">
        <v>137</v>
      </c>
      <c r="J766" t="s">
        <v>46</v>
      </c>
      <c r="K766" t="s">
        <v>786</v>
      </c>
      <c r="L766" t="s">
        <v>5143</v>
      </c>
      <c r="M766">
        <v>7</v>
      </c>
      <c r="N766">
        <v>3339</v>
      </c>
      <c r="O766">
        <v>15</v>
      </c>
      <c r="P766">
        <v>20212.05</v>
      </c>
      <c r="Q766">
        <v>19867.68</v>
      </c>
      <c r="R766">
        <v>344.37</v>
      </c>
      <c r="S766" t="s">
        <v>35</v>
      </c>
      <c r="T766" t="s">
        <v>89</v>
      </c>
      <c r="U766" t="s">
        <v>5080</v>
      </c>
      <c r="V766" t="s">
        <v>5144</v>
      </c>
      <c r="W766">
        <v>15</v>
      </c>
      <c r="X766" t="s">
        <v>53</v>
      </c>
      <c r="Y766">
        <v>0</v>
      </c>
    </row>
    <row r="767" spans="1:25" x14ac:dyDescent="0.35">
      <c r="A767" t="s">
        <v>5145</v>
      </c>
      <c r="B767" s="1">
        <v>45883</v>
      </c>
      <c r="C767" s="1">
        <v>45887</v>
      </c>
      <c r="D767" t="s">
        <v>5146</v>
      </c>
      <c r="E767" t="s">
        <v>5147</v>
      </c>
      <c r="F767" t="s">
        <v>95</v>
      </c>
      <c r="G767" t="s">
        <v>5148</v>
      </c>
      <c r="H767" t="s">
        <v>154</v>
      </c>
      <c r="I767" t="s">
        <v>137</v>
      </c>
      <c r="J767" t="s">
        <v>118</v>
      </c>
      <c r="K767" t="s">
        <v>60</v>
      </c>
      <c r="L767" t="s">
        <v>5149</v>
      </c>
      <c r="M767">
        <v>10</v>
      </c>
      <c r="N767">
        <v>2045</v>
      </c>
      <c r="O767">
        <v>0</v>
      </c>
      <c r="P767">
        <v>20795</v>
      </c>
      <c r="Q767">
        <v>20450.87</v>
      </c>
      <c r="R767">
        <v>344.13</v>
      </c>
      <c r="S767" t="s">
        <v>80</v>
      </c>
      <c r="T767" t="s">
        <v>89</v>
      </c>
      <c r="U767" t="s">
        <v>5150</v>
      </c>
      <c r="V767" t="s">
        <v>5151</v>
      </c>
      <c r="W767">
        <v>28</v>
      </c>
      <c r="X767" t="s">
        <v>53</v>
      </c>
      <c r="Y767">
        <v>0</v>
      </c>
    </row>
    <row r="768" spans="1:25" x14ac:dyDescent="0.35">
      <c r="A768" t="s">
        <v>5152</v>
      </c>
      <c r="B768" s="1">
        <v>45376</v>
      </c>
      <c r="C768" s="1">
        <v>45379</v>
      </c>
      <c r="D768" t="s">
        <v>5153</v>
      </c>
      <c r="E768" t="s">
        <v>5154</v>
      </c>
      <c r="F768" t="s">
        <v>28</v>
      </c>
      <c r="G768" t="s">
        <v>5155</v>
      </c>
      <c r="H768" t="s">
        <v>117</v>
      </c>
      <c r="I768" t="s">
        <v>108</v>
      </c>
      <c r="J768" t="s">
        <v>32</v>
      </c>
      <c r="K768" t="s">
        <v>155</v>
      </c>
      <c r="L768" t="s">
        <v>4041</v>
      </c>
      <c r="M768">
        <v>9</v>
      </c>
      <c r="N768">
        <v>2965</v>
      </c>
      <c r="O768">
        <v>10</v>
      </c>
      <c r="P768">
        <v>24361.5</v>
      </c>
      <c r="Q768">
        <v>24017.4</v>
      </c>
      <c r="R768">
        <v>344.1</v>
      </c>
      <c r="S768" t="s">
        <v>100</v>
      </c>
      <c r="T768" t="s">
        <v>36</v>
      </c>
      <c r="U768" t="s">
        <v>5156</v>
      </c>
      <c r="V768" t="s">
        <v>5157</v>
      </c>
      <c r="W768">
        <v>45</v>
      </c>
      <c r="X768" t="s">
        <v>53</v>
      </c>
      <c r="Y768">
        <v>0</v>
      </c>
    </row>
    <row r="769" spans="1:25" x14ac:dyDescent="0.35">
      <c r="A769" t="s">
        <v>5158</v>
      </c>
      <c r="B769" s="1">
        <v>45960</v>
      </c>
      <c r="C769" s="1">
        <v>45965</v>
      </c>
      <c r="D769" t="s">
        <v>5159</v>
      </c>
      <c r="E769" t="s">
        <v>5160</v>
      </c>
      <c r="F769" t="s">
        <v>28</v>
      </c>
      <c r="G769" t="s">
        <v>5161</v>
      </c>
      <c r="H769" t="s">
        <v>117</v>
      </c>
      <c r="I769" t="s">
        <v>108</v>
      </c>
      <c r="J769" t="s">
        <v>32</v>
      </c>
      <c r="K769" t="s">
        <v>532</v>
      </c>
      <c r="L769" t="s">
        <v>5162</v>
      </c>
      <c r="M769">
        <v>6</v>
      </c>
      <c r="N769">
        <v>4671</v>
      </c>
      <c r="O769">
        <v>10</v>
      </c>
      <c r="P769">
        <v>25568.400000000001</v>
      </c>
      <c r="Q769">
        <v>25224.27</v>
      </c>
      <c r="R769">
        <v>344.13</v>
      </c>
      <c r="S769" t="s">
        <v>49</v>
      </c>
      <c r="T769" t="s">
        <v>140</v>
      </c>
      <c r="U769" t="s">
        <v>5163</v>
      </c>
      <c r="V769" t="s">
        <v>5164</v>
      </c>
      <c r="W769">
        <v>50</v>
      </c>
      <c r="X769" t="s">
        <v>53</v>
      </c>
      <c r="Y769">
        <v>0</v>
      </c>
    </row>
    <row r="770" spans="1:25" x14ac:dyDescent="0.35">
      <c r="A770" t="s">
        <v>5165</v>
      </c>
      <c r="B770" s="1">
        <v>45856</v>
      </c>
      <c r="C770" s="1">
        <v>45863</v>
      </c>
      <c r="D770" t="s">
        <v>4986</v>
      </c>
      <c r="E770" t="s">
        <v>5166</v>
      </c>
      <c r="F770" t="s">
        <v>28</v>
      </c>
      <c r="G770" t="s">
        <v>5167</v>
      </c>
      <c r="H770" t="s">
        <v>68</v>
      </c>
      <c r="I770" t="s">
        <v>31</v>
      </c>
      <c r="J770" t="s">
        <v>32</v>
      </c>
      <c r="K770" t="s">
        <v>222</v>
      </c>
      <c r="L770" t="s">
        <v>5168</v>
      </c>
      <c r="M770">
        <v>2</v>
      </c>
      <c r="N770">
        <v>2420</v>
      </c>
      <c r="O770">
        <v>5</v>
      </c>
      <c r="P770">
        <v>4943</v>
      </c>
      <c r="Q770">
        <v>4598.6899999999996</v>
      </c>
      <c r="R770">
        <v>344.31</v>
      </c>
      <c r="S770" t="s">
        <v>49</v>
      </c>
      <c r="T770" t="s">
        <v>140</v>
      </c>
      <c r="U770" t="s">
        <v>5169</v>
      </c>
      <c r="V770" t="s">
        <v>5170</v>
      </c>
      <c r="W770">
        <v>47</v>
      </c>
      <c r="X770" t="s">
        <v>53</v>
      </c>
      <c r="Y770">
        <v>0</v>
      </c>
    </row>
    <row r="771" spans="1:25" x14ac:dyDescent="0.35">
      <c r="A771" t="s">
        <v>5171</v>
      </c>
      <c r="B771" s="1">
        <v>45481</v>
      </c>
      <c r="C771" s="1">
        <v>45484</v>
      </c>
      <c r="D771" t="s">
        <v>5172</v>
      </c>
      <c r="E771" t="s">
        <v>5173</v>
      </c>
      <c r="F771" t="s">
        <v>57</v>
      </c>
      <c r="G771" t="s">
        <v>5174</v>
      </c>
      <c r="H771" t="s">
        <v>68</v>
      </c>
      <c r="I771" t="s">
        <v>31</v>
      </c>
      <c r="J771" t="s">
        <v>32</v>
      </c>
      <c r="K771" t="s">
        <v>786</v>
      </c>
      <c r="L771" t="s">
        <v>5175</v>
      </c>
      <c r="M771">
        <v>10</v>
      </c>
      <c r="N771">
        <v>1922</v>
      </c>
      <c r="O771">
        <v>0</v>
      </c>
      <c r="P771">
        <v>19565</v>
      </c>
      <c r="Q771">
        <v>19220.68</v>
      </c>
      <c r="R771">
        <v>344.32</v>
      </c>
      <c r="S771" t="s">
        <v>49</v>
      </c>
      <c r="T771" t="s">
        <v>140</v>
      </c>
      <c r="U771" t="s">
        <v>5176</v>
      </c>
      <c r="V771" t="s">
        <v>5177</v>
      </c>
      <c r="W771">
        <v>21</v>
      </c>
      <c r="X771" t="s">
        <v>53</v>
      </c>
      <c r="Y771">
        <v>0</v>
      </c>
    </row>
    <row r="772" spans="1:25" x14ac:dyDescent="0.35">
      <c r="A772" t="s">
        <v>5178</v>
      </c>
      <c r="B772" s="1">
        <v>45866</v>
      </c>
      <c r="C772" s="1">
        <v>45867</v>
      </c>
      <c r="D772" t="s">
        <v>5179</v>
      </c>
      <c r="E772" t="s">
        <v>5180</v>
      </c>
      <c r="F772" t="s">
        <v>95</v>
      </c>
      <c r="G772" t="s">
        <v>5181</v>
      </c>
      <c r="H772" t="s">
        <v>206</v>
      </c>
      <c r="I772" t="s">
        <v>31</v>
      </c>
      <c r="J772" t="s">
        <v>32</v>
      </c>
      <c r="K772" t="s">
        <v>78</v>
      </c>
      <c r="L772" t="s">
        <v>5182</v>
      </c>
      <c r="M772">
        <v>9</v>
      </c>
      <c r="N772">
        <v>466</v>
      </c>
      <c r="O772">
        <v>5</v>
      </c>
      <c r="P772">
        <v>4329.3</v>
      </c>
      <c r="Q772">
        <v>3984.95</v>
      </c>
      <c r="R772">
        <v>344.35</v>
      </c>
      <c r="S772" t="s">
        <v>49</v>
      </c>
      <c r="T772" t="s">
        <v>89</v>
      </c>
      <c r="U772" t="s">
        <v>5183</v>
      </c>
      <c r="V772" t="s">
        <v>5184</v>
      </c>
      <c r="W772">
        <v>5</v>
      </c>
      <c r="X772" t="s">
        <v>39</v>
      </c>
      <c r="Y772">
        <v>44</v>
      </c>
    </row>
    <row r="773" spans="1:25" x14ac:dyDescent="0.35">
      <c r="A773" t="s">
        <v>5185</v>
      </c>
      <c r="B773" s="1">
        <v>45239</v>
      </c>
      <c r="C773" s="1">
        <v>45242</v>
      </c>
      <c r="D773" t="s">
        <v>1301</v>
      </c>
      <c r="E773" t="s">
        <v>2145</v>
      </c>
      <c r="F773" t="s">
        <v>28</v>
      </c>
      <c r="G773" t="s">
        <v>5186</v>
      </c>
      <c r="H773" t="s">
        <v>117</v>
      </c>
      <c r="I773" t="s">
        <v>108</v>
      </c>
      <c r="J773" t="s">
        <v>118</v>
      </c>
      <c r="K773" t="s">
        <v>786</v>
      </c>
      <c r="L773" t="s">
        <v>5187</v>
      </c>
      <c r="M773">
        <v>3</v>
      </c>
      <c r="N773">
        <v>657</v>
      </c>
      <c r="O773">
        <v>20</v>
      </c>
      <c r="P773">
        <v>1921.8</v>
      </c>
      <c r="Q773">
        <v>1577.57</v>
      </c>
      <c r="R773">
        <v>344.23</v>
      </c>
      <c r="S773" t="s">
        <v>35</v>
      </c>
      <c r="T773" t="s">
        <v>89</v>
      </c>
      <c r="U773" t="s">
        <v>157</v>
      </c>
      <c r="V773" t="s">
        <v>5188</v>
      </c>
      <c r="W773">
        <v>39</v>
      </c>
      <c r="X773" t="s">
        <v>53</v>
      </c>
      <c r="Y773">
        <v>0</v>
      </c>
    </row>
    <row r="774" spans="1:25" x14ac:dyDescent="0.35">
      <c r="A774" t="s">
        <v>5189</v>
      </c>
      <c r="B774" s="1">
        <v>45720</v>
      </c>
      <c r="C774" s="1">
        <v>45723</v>
      </c>
      <c r="D774" t="s">
        <v>5190</v>
      </c>
      <c r="E774" t="s">
        <v>5191</v>
      </c>
      <c r="F774" t="s">
        <v>57</v>
      </c>
      <c r="G774" t="s">
        <v>5192</v>
      </c>
      <c r="H774" t="s">
        <v>59</v>
      </c>
      <c r="I774" t="s">
        <v>31</v>
      </c>
      <c r="J774" t="s">
        <v>32</v>
      </c>
      <c r="K774" t="s">
        <v>466</v>
      </c>
      <c r="L774" t="s">
        <v>5193</v>
      </c>
      <c r="M774">
        <v>1</v>
      </c>
      <c r="N774">
        <v>1186</v>
      </c>
      <c r="O774">
        <v>5</v>
      </c>
      <c r="P774">
        <v>1471.7</v>
      </c>
      <c r="Q774">
        <v>1127.3</v>
      </c>
      <c r="R774">
        <v>344.4</v>
      </c>
      <c r="S774" t="s">
        <v>49</v>
      </c>
      <c r="T774" t="s">
        <v>89</v>
      </c>
      <c r="U774" t="s">
        <v>5194</v>
      </c>
      <c r="V774" t="s">
        <v>5195</v>
      </c>
      <c r="W774">
        <v>18</v>
      </c>
      <c r="X774" t="s">
        <v>53</v>
      </c>
      <c r="Y774">
        <v>0</v>
      </c>
    </row>
    <row r="775" spans="1:25" x14ac:dyDescent="0.35">
      <c r="A775" t="s">
        <v>5196</v>
      </c>
      <c r="B775" s="1">
        <v>45761</v>
      </c>
      <c r="C775" s="1">
        <v>45767</v>
      </c>
      <c r="D775" t="s">
        <v>4999</v>
      </c>
      <c r="E775" t="s">
        <v>5197</v>
      </c>
      <c r="F775" t="s">
        <v>57</v>
      </c>
      <c r="G775" t="s">
        <v>5198</v>
      </c>
      <c r="H775" t="s">
        <v>189</v>
      </c>
      <c r="I775" t="s">
        <v>108</v>
      </c>
      <c r="J775" t="s">
        <v>118</v>
      </c>
      <c r="K775" t="s">
        <v>33</v>
      </c>
      <c r="L775" t="s">
        <v>5199</v>
      </c>
      <c r="M775">
        <v>9</v>
      </c>
      <c r="N775">
        <v>2507</v>
      </c>
      <c r="O775">
        <v>0</v>
      </c>
      <c r="P775">
        <v>22908</v>
      </c>
      <c r="Q775">
        <v>22563.75</v>
      </c>
      <c r="R775">
        <v>344.25</v>
      </c>
      <c r="S775" t="s">
        <v>35</v>
      </c>
      <c r="T775" t="s">
        <v>50</v>
      </c>
      <c r="U775" t="s">
        <v>5200</v>
      </c>
      <c r="V775" t="s">
        <v>5201</v>
      </c>
      <c r="W775">
        <v>14</v>
      </c>
      <c r="X775" t="s">
        <v>53</v>
      </c>
      <c r="Y775">
        <v>0</v>
      </c>
    </row>
    <row r="776" spans="1:25" x14ac:dyDescent="0.35">
      <c r="A776" t="s">
        <v>5202</v>
      </c>
      <c r="B776" s="1">
        <v>45424</v>
      </c>
      <c r="C776" s="1">
        <v>45429</v>
      </c>
      <c r="D776" t="s">
        <v>5203</v>
      </c>
      <c r="E776" t="s">
        <v>5204</v>
      </c>
      <c r="F776" t="s">
        <v>28</v>
      </c>
      <c r="G776" t="s">
        <v>5205</v>
      </c>
      <c r="H776" t="s">
        <v>127</v>
      </c>
      <c r="I776" t="s">
        <v>45</v>
      </c>
      <c r="J776" t="s">
        <v>118</v>
      </c>
      <c r="K776" t="s">
        <v>78</v>
      </c>
      <c r="L776" t="s">
        <v>5206</v>
      </c>
      <c r="M776">
        <v>10</v>
      </c>
      <c r="N776">
        <v>4002</v>
      </c>
      <c r="O776">
        <v>10</v>
      </c>
      <c r="P776">
        <v>36363</v>
      </c>
      <c r="Q776">
        <v>36018.79</v>
      </c>
      <c r="R776">
        <v>344.21</v>
      </c>
      <c r="S776" t="s">
        <v>49</v>
      </c>
      <c r="T776" t="s">
        <v>140</v>
      </c>
      <c r="U776" t="s">
        <v>5207</v>
      </c>
      <c r="V776" t="s">
        <v>5208</v>
      </c>
      <c r="W776">
        <v>24</v>
      </c>
      <c r="X776" t="s">
        <v>53</v>
      </c>
      <c r="Y776">
        <v>0</v>
      </c>
    </row>
    <row r="777" spans="1:25" x14ac:dyDescent="0.35">
      <c r="A777" t="s">
        <v>5209</v>
      </c>
      <c r="B777" s="1">
        <v>45259</v>
      </c>
      <c r="C777" s="1">
        <v>45260</v>
      </c>
      <c r="D777" t="s">
        <v>4967</v>
      </c>
      <c r="E777" t="s">
        <v>5210</v>
      </c>
      <c r="F777" t="s">
        <v>95</v>
      </c>
      <c r="G777" t="s">
        <v>5211</v>
      </c>
      <c r="H777" t="s">
        <v>68</v>
      </c>
      <c r="I777" t="s">
        <v>31</v>
      </c>
      <c r="J777" t="s">
        <v>97</v>
      </c>
      <c r="K777" t="s">
        <v>119</v>
      </c>
      <c r="L777" t="s">
        <v>5212</v>
      </c>
      <c r="M777">
        <v>4</v>
      </c>
      <c r="N777">
        <v>2377</v>
      </c>
      <c r="O777">
        <v>5</v>
      </c>
      <c r="P777">
        <v>9377.6</v>
      </c>
      <c r="Q777">
        <v>9033.41</v>
      </c>
      <c r="R777">
        <v>344.19</v>
      </c>
      <c r="S777" t="s">
        <v>35</v>
      </c>
      <c r="T777" t="s">
        <v>89</v>
      </c>
      <c r="U777" t="s">
        <v>5213</v>
      </c>
      <c r="V777" t="s">
        <v>5214</v>
      </c>
      <c r="W777">
        <v>49</v>
      </c>
      <c r="X777" t="s">
        <v>53</v>
      </c>
      <c r="Y777">
        <v>0</v>
      </c>
    </row>
    <row r="778" spans="1:25" x14ac:dyDescent="0.35">
      <c r="A778" t="s">
        <v>5215</v>
      </c>
      <c r="B778" s="1">
        <v>45474</v>
      </c>
      <c r="C778" s="1">
        <v>45480</v>
      </c>
      <c r="D778" t="s">
        <v>4967</v>
      </c>
      <c r="E778" t="s">
        <v>5216</v>
      </c>
      <c r="F778" t="s">
        <v>95</v>
      </c>
      <c r="G778" t="s">
        <v>5217</v>
      </c>
      <c r="H778" t="s">
        <v>127</v>
      </c>
      <c r="I778" t="s">
        <v>45</v>
      </c>
      <c r="J778" t="s">
        <v>32</v>
      </c>
      <c r="K778" t="s">
        <v>155</v>
      </c>
      <c r="L778" t="s">
        <v>5218</v>
      </c>
      <c r="M778">
        <v>10</v>
      </c>
      <c r="N778">
        <v>1303</v>
      </c>
      <c r="O778">
        <v>10</v>
      </c>
      <c r="P778">
        <v>12072</v>
      </c>
      <c r="Q778">
        <v>11727.68</v>
      </c>
      <c r="R778">
        <v>344.32</v>
      </c>
      <c r="S778" t="s">
        <v>35</v>
      </c>
      <c r="T778" t="s">
        <v>89</v>
      </c>
      <c r="U778" t="s">
        <v>2718</v>
      </c>
      <c r="V778" t="s">
        <v>5219</v>
      </c>
      <c r="W778">
        <v>32</v>
      </c>
      <c r="X778" t="s">
        <v>53</v>
      </c>
      <c r="Y778">
        <v>0</v>
      </c>
    </row>
    <row r="779" spans="1:25" x14ac:dyDescent="0.35">
      <c r="A779" t="s">
        <v>5220</v>
      </c>
      <c r="B779" s="1">
        <v>45376</v>
      </c>
      <c r="C779" s="1">
        <v>45380</v>
      </c>
      <c r="D779" t="s">
        <v>5221</v>
      </c>
      <c r="E779" t="s">
        <v>5222</v>
      </c>
      <c r="F779" t="s">
        <v>95</v>
      </c>
      <c r="G779" t="s">
        <v>1633</v>
      </c>
      <c r="H779" t="s">
        <v>127</v>
      </c>
      <c r="I779" t="s">
        <v>45</v>
      </c>
      <c r="J779" t="s">
        <v>97</v>
      </c>
      <c r="K779" t="s">
        <v>482</v>
      </c>
      <c r="L779" t="s">
        <v>5223</v>
      </c>
      <c r="M779">
        <v>4</v>
      </c>
      <c r="N779">
        <v>2646</v>
      </c>
      <c r="O779">
        <v>0</v>
      </c>
      <c r="P779">
        <v>10929</v>
      </c>
      <c r="Q779">
        <v>10584.78</v>
      </c>
      <c r="R779">
        <v>344.22</v>
      </c>
      <c r="S779" t="s">
        <v>35</v>
      </c>
      <c r="T779" t="s">
        <v>36</v>
      </c>
      <c r="U779" t="s">
        <v>5224</v>
      </c>
      <c r="V779" t="s">
        <v>5225</v>
      </c>
      <c r="W779">
        <v>32</v>
      </c>
      <c r="X779" t="s">
        <v>53</v>
      </c>
      <c r="Y779">
        <v>0</v>
      </c>
    </row>
    <row r="780" spans="1:25" x14ac:dyDescent="0.35">
      <c r="A780" t="s">
        <v>5226</v>
      </c>
      <c r="B780" s="1">
        <v>45728</v>
      </c>
      <c r="C780" s="1">
        <v>45730</v>
      </c>
      <c r="D780" t="s">
        <v>1100</v>
      </c>
      <c r="E780" t="s">
        <v>5227</v>
      </c>
      <c r="F780" t="s">
        <v>95</v>
      </c>
      <c r="G780" t="s">
        <v>5228</v>
      </c>
      <c r="H780" t="s">
        <v>189</v>
      </c>
      <c r="I780" t="s">
        <v>108</v>
      </c>
      <c r="J780" t="s">
        <v>32</v>
      </c>
      <c r="K780" t="s">
        <v>47</v>
      </c>
      <c r="L780" t="s">
        <v>5229</v>
      </c>
      <c r="M780">
        <v>4</v>
      </c>
      <c r="N780">
        <v>673</v>
      </c>
      <c r="O780">
        <v>20</v>
      </c>
      <c r="P780">
        <v>2498.6</v>
      </c>
      <c r="Q780">
        <v>2154.4</v>
      </c>
      <c r="R780">
        <v>344.2</v>
      </c>
      <c r="S780" t="s">
        <v>49</v>
      </c>
      <c r="T780" t="s">
        <v>89</v>
      </c>
      <c r="U780" t="s">
        <v>5230</v>
      </c>
      <c r="V780" t="s">
        <v>5231</v>
      </c>
      <c r="W780">
        <v>34</v>
      </c>
      <c r="X780" t="s">
        <v>53</v>
      </c>
      <c r="Y780">
        <v>0</v>
      </c>
    </row>
    <row r="781" spans="1:25" x14ac:dyDescent="0.35">
      <c r="A781" t="s">
        <v>5232</v>
      </c>
      <c r="B781" s="1">
        <v>45671</v>
      </c>
      <c r="C781" s="1">
        <v>45678</v>
      </c>
      <c r="D781" t="s">
        <v>2655</v>
      </c>
      <c r="E781" t="s">
        <v>5233</v>
      </c>
      <c r="F781" t="s">
        <v>57</v>
      </c>
      <c r="G781" t="s">
        <v>5234</v>
      </c>
      <c r="H781" t="s">
        <v>136</v>
      </c>
      <c r="I781" t="s">
        <v>137</v>
      </c>
      <c r="J781" t="s">
        <v>32</v>
      </c>
      <c r="K781" t="s">
        <v>138</v>
      </c>
      <c r="L781" t="s">
        <v>5235</v>
      </c>
      <c r="M781">
        <v>3</v>
      </c>
      <c r="N781">
        <v>2930</v>
      </c>
      <c r="O781">
        <v>15</v>
      </c>
      <c r="P781">
        <v>7816.5</v>
      </c>
      <c r="Q781">
        <v>7472.14</v>
      </c>
      <c r="R781">
        <v>344.36</v>
      </c>
      <c r="S781" t="s">
        <v>100</v>
      </c>
      <c r="T781" t="s">
        <v>89</v>
      </c>
      <c r="U781" t="s">
        <v>5236</v>
      </c>
      <c r="V781" t="s">
        <v>5237</v>
      </c>
      <c r="W781">
        <v>13</v>
      </c>
      <c r="X781" t="s">
        <v>53</v>
      </c>
      <c r="Y781">
        <v>0</v>
      </c>
    </row>
    <row r="782" spans="1:25" x14ac:dyDescent="0.35">
      <c r="A782" t="s">
        <v>5238</v>
      </c>
      <c r="B782" s="1">
        <v>45699</v>
      </c>
      <c r="C782" s="1">
        <v>45701</v>
      </c>
      <c r="D782" t="s">
        <v>5239</v>
      </c>
      <c r="E782" t="s">
        <v>5240</v>
      </c>
      <c r="F782" t="s">
        <v>95</v>
      </c>
      <c r="G782" t="s">
        <v>5241</v>
      </c>
      <c r="H782" t="s">
        <v>230</v>
      </c>
      <c r="I782" t="s">
        <v>137</v>
      </c>
      <c r="J782" t="s">
        <v>97</v>
      </c>
      <c r="K782" t="s">
        <v>750</v>
      </c>
      <c r="L782" t="s">
        <v>5242</v>
      </c>
      <c r="M782">
        <v>8</v>
      </c>
      <c r="N782">
        <v>2530</v>
      </c>
      <c r="O782">
        <v>10</v>
      </c>
      <c r="P782">
        <v>18561</v>
      </c>
      <c r="Q782">
        <v>18216.68</v>
      </c>
      <c r="R782">
        <v>344.32</v>
      </c>
      <c r="S782" t="s">
        <v>80</v>
      </c>
      <c r="T782" t="s">
        <v>89</v>
      </c>
      <c r="U782" t="s">
        <v>5243</v>
      </c>
      <c r="V782" t="s">
        <v>5244</v>
      </c>
      <c r="W782">
        <v>40</v>
      </c>
      <c r="X782" t="s">
        <v>53</v>
      </c>
      <c r="Y782">
        <v>0</v>
      </c>
    </row>
    <row r="783" spans="1:25" x14ac:dyDescent="0.35">
      <c r="A783" t="s">
        <v>5245</v>
      </c>
      <c r="B783" s="1">
        <v>45810</v>
      </c>
      <c r="C783" s="1">
        <v>45813</v>
      </c>
      <c r="D783" t="s">
        <v>5246</v>
      </c>
      <c r="E783" t="s">
        <v>5247</v>
      </c>
      <c r="F783" t="s">
        <v>28</v>
      </c>
      <c r="G783" t="s">
        <v>5248</v>
      </c>
      <c r="H783" t="s">
        <v>163</v>
      </c>
      <c r="I783" t="s">
        <v>108</v>
      </c>
      <c r="J783" t="s">
        <v>46</v>
      </c>
      <c r="K783" t="s">
        <v>1898</v>
      </c>
      <c r="L783" t="s">
        <v>5249</v>
      </c>
      <c r="M783">
        <v>3</v>
      </c>
      <c r="N783">
        <v>2912</v>
      </c>
      <c r="O783">
        <v>5</v>
      </c>
      <c r="P783">
        <v>8644.2000000000007</v>
      </c>
      <c r="Q783">
        <v>8299.9</v>
      </c>
      <c r="R783">
        <v>344.3</v>
      </c>
      <c r="S783" t="s">
        <v>80</v>
      </c>
      <c r="T783" t="s">
        <v>140</v>
      </c>
      <c r="U783" t="s">
        <v>5250</v>
      </c>
      <c r="V783" t="s">
        <v>5251</v>
      </c>
      <c r="W783">
        <v>27</v>
      </c>
      <c r="X783" t="s">
        <v>53</v>
      </c>
      <c r="Y783">
        <v>0</v>
      </c>
    </row>
    <row r="784" spans="1:25" x14ac:dyDescent="0.35">
      <c r="A784" t="s">
        <v>5252</v>
      </c>
      <c r="B784" s="1">
        <v>45890</v>
      </c>
      <c r="C784" s="1">
        <v>45894</v>
      </c>
      <c r="D784" t="s">
        <v>5253</v>
      </c>
      <c r="E784" t="s">
        <v>5254</v>
      </c>
      <c r="F784" t="s">
        <v>57</v>
      </c>
      <c r="G784" t="s">
        <v>5255</v>
      </c>
      <c r="H784" t="s">
        <v>283</v>
      </c>
      <c r="I784" t="s">
        <v>45</v>
      </c>
      <c r="J784" t="s">
        <v>32</v>
      </c>
      <c r="K784" t="s">
        <v>524</v>
      </c>
      <c r="L784" t="s">
        <v>5256</v>
      </c>
      <c r="M784">
        <v>3</v>
      </c>
      <c r="N784">
        <v>4252</v>
      </c>
      <c r="O784">
        <v>10</v>
      </c>
      <c r="P784">
        <v>11825.4</v>
      </c>
      <c r="Q784">
        <v>11481.24</v>
      </c>
      <c r="R784">
        <v>344.16</v>
      </c>
      <c r="S784" t="s">
        <v>49</v>
      </c>
      <c r="T784" t="s">
        <v>140</v>
      </c>
      <c r="U784" t="s">
        <v>5257</v>
      </c>
      <c r="V784" t="s">
        <v>5258</v>
      </c>
      <c r="W784">
        <v>18</v>
      </c>
      <c r="X784" t="s">
        <v>53</v>
      </c>
      <c r="Y784">
        <v>0</v>
      </c>
    </row>
    <row r="785" spans="1:25" x14ac:dyDescent="0.35">
      <c r="A785" t="s">
        <v>5259</v>
      </c>
      <c r="B785" s="1">
        <v>45567</v>
      </c>
      <c r="C785" s="1">
        <v>45573</v>
      </c>
      <c r="D785" t="s">
        <v>2110</v>
      </c>
      <c r="E785" t="s">
        <v>5260</v>
      </c>
      <c r="F785" t="s">
        <v>28</v>
      </c>
      <c r="G785" t="s">
        <v>5261</v>
      </c>
      <c r="H785" t="s">
        <v>136</v>
      </c>
      <c r="I785" t="s">
        <v>137</v>
      </c>
      <c r="J785" t="s">
        <v>97</v>
      </c>
      <c r="K785" t="s">
        <v>78</v>
      </c>
      <c r="L785" t="s">
        <v>5262</v>
      </c>
      <c r="M785">
        <v>3</v>
      </c>
      <c r="N785">
        <v>4770</v>
      </c>
      <c r="O785">
        <v>5</v>
      </c>
      <c r="P785">
        <v>13939.5</v>
      </c>
      <c r="Q785">
        <v>13595.36</v>
      </c>
      <c r="R785">
        <v>344.14</v>
      </c>
      <c r="S785" t="s">
        <v>49</v>
      </c>
      <c r="T785" t="s">
        <v>36</v>
      </c>
      <c r="U785" t="s">
        <v>5263</v>
      </c>
      <c r="V785" t="s">
        <v>5264</v>
      </c>
      <c r="W785">
        <v>33</v>
      </c>
      <c r="X785" t="s">
        <v>53</v>
      </c>
      <c r="Y785">
        <v>0</v>
      </c>
    </row>
    <row r="786" spans="1:25" x14ac:dyDescent="0.35">
      <c r="A786" t="s">
        <v>5265</v>
      </c>
      <c r="B786" s="1">
        <v>45687</v>
      </c>
      <c r="C786" s="1">
        <v>45690</v>
      </c>
      <c r="D786" t="s">
        <v>776</v>
      </c>
      <c r="E786" t="s">
        <v>5266</v>
      </c>
      <c r="F786" t="s">
        <v>28</v>
      </c>
      <c r="G786" t="s">
        <v>5267</v>
      </c>
      <c r="H786" t="s">
        <v>364</v>
      </c>
      <c r="I786" t="s">
        <v>137</v>
      </c>
      <c r="J786" t="s">
        <v>97</v>
      </c>
      <c r="K786" t="s">
        <v>524</v>
      </c>
      <c r="L786" t="s">
        <v>5268</v>
      </c>
      <c r="M786">
        <v>2</v>
      </c>
      <c r="N786">
        <v>220</v>
      </c>
      <c r="O786">
        <v>0</v>
      </c>
      <c r="P786">
        <v>785</v>
      </c>
      <c r="Q786">
        <v>440.78</v>
      </c>
      <c r="R786">
        <v>344.22</v>
      </c>
      <c r="S786" t="s">
        <v>100</v>
      </c>
      <c r="T786" t="s">
        <v>140</v>
      </c>
      <c r="U786" t="s">
        <v>5269</v>
      </c>
      <c r="V786" t="s">
        <v>5270</v>
      </c>
      <c r="W786">
        <v>11</v>
      </c>
      <c r="X786" t="s">
        <v>53</v>
      </c>
      <c r="Y786">
        <v>0</v>
      </c>
    </row>
    <row r="787" spans="1:25" x14ac:dyDescent="0.35">
      <c r="A787" t="s">
        <v>5271</v>
      </c>
      <c r="B787" s="1">
        <v>45885</v>
      </c>
      <c r="C787" s="1">
        <v>45891</v>
      </c>
      <c r="D787" t="s">
        <v>5272</v>
      </c>
      <c r="E787" t="s">
        <v>5273</v>
      </c>
      <c r="F787" t="s">
        <v>95</v>
      </c>
      <c r="G787" t="s">
        <v>5274</v>
      </c>
      <c r="H787" t="s">
        <v>206</v>
      </c>
      <c r="I787" t="s">
        <v>31</v>
      </c>
      <c r="J787" t="s">
        <v>46</v>
      </c>
      <c r="K787" t="s">
        <v>87</v>
      </c>
      <c r="L787" t="s">
        <v>5275</v>
      </c>
      <c r="M787">
        <v>7</v>
      </c>
      <c r="N787">
        <v>710</v>
      </c>
      <c r="O787">
        <v>5</v>
      </c>
      <c r="P787">
        <v>5066.5</v>
      </c>
      <c r="Q787">
        <v>4722.1400000000003</v>
      </c>
      <c r="R787">
        <v>344.36</v>
      </c>
      <c r="S787" t="s">
        <v>49</v>
      </c>
      <c r="T787" t="s">
        <v>89</v>
      </c>
      <c r="U787" t="s">
        <v>5276</v>
      </c>
      <c r="V787" t="s">
        <v>5277</v>
      </c>
      <c r="W787">
        <v>10</v>
      </c>
      <c r="X787" t="s">
        <v>53</v>
      </c>
      <c r="Y787">
        <v>0</v>
      </c>
    </row>
    <row r="788" spans="1:25" x14ac:dyDescent="0.35">
      <c r="A788" t="s">
        <v>5278</v>
      </c>
      <c r="B788" s="1">
        <v>45662</v>
      </c>
      <c r="C788" s="1">
        <v>45665</v>
      </c>
      <c r="D788" t="s">
        <v>1569</v>
      </c>
      <c r="E788" t="s">
        <v>5279</v>
      </c>
      <c r="F788" t="s">
        <v>28</v>
      </c>
      <c r="G788" t="s">
        <v>5280</v>
      </c>
      <c r="H788" t="s">
        <v>154</v>
      </c>
      <c r="I788" t="s">
        <v>137</v>
      </c>
      <c r="J788" t="s">
        <v>118</v>
      </c>
      <c r="K788" t="s">
        <v>1898</v>
      </c>
      <c r="L788" t="s">
        <v>5281</v>
      </c>
      <c r="M788">
        <v>4</v>
      </c>
      <c r="N788">
        <v>4630</v>
      </c>
      <c r="O788">
        <v>5</v>
      </c>
      <c r="P788">
        <v>17939</v>
      </c>
      <c r="Q788">
        <v>17594.88</v>
      </c>
      <c r="R788">
        <v>344.12</v>
      </c>
      <c r="S788" t="s">
        <v>80</v>
      </c>
      <c r="T788" t="s">
        <v>36</v>
      </c>
      <c r="U788" t="s">
        <v>5282</v>
      </c>
      <c r="V788" t="s">
        <v>5283</v>
      </c>
      <c r="W788">
        <v>27</v>
      </c>
      <c r="X788" t="s">
        <v>53</v>
      </c>
      <c r="Y788">
        <v>0</v>
      </c>
    </row>
    <row r="789" spans="1:25" x14ac:dyDescent="0.35">
      <c r="A789" t="s">
        <v>5284</v>
      </c>
      <c r="B789" s="1">
        <v>45510</v>
      </c>
      <c r="C789" s="1">
        <v>45515</v>
      </c>
      <c r="D789" t="s">
        <v>5285</v>
      </c>
      <c r="E789" t="s">
        <v>5286</v>
      </c>
      <c r="F789" t="s">
        <v>57</v>
      </c>
      <c r="G789" t="s">
        <v>5287</v>
      </c>
      <c r="H789" t="s">
        <v>154</v>
      </c>
      <c r="I789" t="s">
        <v>137</v>
      </c>
      <c r="J789" t="s">
        <v>118</v>
      </c>
      <c r="K789" t="s">
        <v>190</v>
      </c>
      <c r="L789" t="s">
        <v>5288</v>
      </c>
      <c r="M789">
        <v>9</v>
      </c>
      <c r="N789">
        <v>3264</v>
      </c>
      <c r="O789">
        <v>15</v>
      </c>
      <c r="P789">
        <v>25314.6</v>
      </c>
      <c r="Q789">
        <v>24970.45</v>
      </c>
      <c r="R789">
        <v>344.15</v>
      </c>
      <c r="S789" t="s">
        <v>35</v>
      </c>
      <c r="T789" t="s">
        <v>89</v>
      </c>
      <c r="U789" t="s">
        <v>5289</v>
      </c>
      <c r="V789" t="s">
        <v>5290</v>
      </c>
      <c r="W789">
        <v>29</v>
      </c>
      <c r="X789" t="s">
        <v>53</v>
      </c>
      <c r="Y789">
        <v>0</v>
      </c>
    </row>
    <row r="790" spans="1:25" x14ac:dyDescent="0.35">
      <c r="A790" t="s">
        <v>5291</v>
      </c>
      <c r="B790" s="1">
        <v>45276</v>
      </c>
      <c r="C790" s="1">
        <v>45281</v>
      </c>
      <c r="D790" t="s">
        <v>5292</v>
      </c>
      <c r="E790" t="s">
        <v>5293</v>
      </c>
      <c r="F790" t="s">
        <v>57</v>
      </c>
      <c r="G790" t="s">
        <v>5294</v>
      </c>
      <c r="H790" t="s">
        <v>107</v>
      </c>
      <c r="I790" t="s">
        <v>108</v>
      </c>
      <c r="J790" t="s">
        <v>32</v>
      </c>
      <c r="K790" t="s">
        <v>109</v>
      </c>
      <c r="L790" t="s">
        <v>5295</v>
      </c>
      <c r="M790">
        <v>3</v>
      </c>
      <c r="N790">
        <v>4888</v>
      </c>
      <c r="O790">
        <v>20</v>
      </c>
      <c r="P790">
        <v>12076.2</v>
      </c>
      <c r="Q790">
        <v>11731.8</v>
      </c>
      <c r="R790">
        <v>344.4</v>
      </c>
      <c r="S790" t="s">
        <v>80</v>
      </c>
      <c r="T790" t="s">
        <v>89</v>
      </c>
      <c r="U790" t="s">
        <v>5296</v>
      </c>
      <c r="V790" t="s">
        <v>5297</v>
      </c>
      <c r="W790">
        <v>6</v>
      </c>
      <c r="X790" t="s">
        <v>39</v>
      </c>
      <c r="Y790">
        <v>49</v>
      </c>
    </row>
    <row r="791" spans="1:25" x14ac:dyDescent="0.35">
      <c r="A791" t="s">
        <v>5298</v>
      </c>
      <c r="B791" s="1">
        <v>45792</v>
      </c>
      <c r="C791" s="1">
        <v>45796</v>
      </c>
      <c r="D791" t="s">
        <v>2474</v>
      </c>
      <c r="E791" t="s">
        <v>5299</v>
      </c>
      <c r="F791" t="s">
        <v>28</v>
      </c>
      <c r="G791" t="s">
        <v>5300</v>
      </c>
      <c r="H791" t="s">
        <v>127</v>
      </c>
      <c r="I791" t="s">
        <v>45</v>
      </c>
      <c r="J791" t="s">
        <v>118</v>
      </c>
      <c r="K791" t="s">
        <v>885</v>
      </c>
      <c r="L791" t="s">
        <v>5301</v>
      </c>
      <c r="M791">
        <v>9</v>
      </c>
      <c r="N791">
        <v>124</v>
      </c>
      <c r="O791">
        <v>5</v>
      </c>
      <c r="P791">
        <v>1405.2</v>
      </c>
      <c r="Q791">
        <v>1060.8499999999999</v>
      </c>
      <c r="R791">
        <v>344.35</v>
      </c>
      <c r="S791" t="s">
        <v>35</v>
      </c>
      <c r="T791" t="s">
        <v>50</v>
      </c>
      <c r="U791" t="s">
        <v>5302</v>
      </c>
      <c r="V791" t="s">
        <v>5303</v>
      </c>
      <c r="W791">
        <v>43</v>
      </c>
      <c r="X791" t="s">
        <v>53</v>
      </c>
      <c r="Y791">
        <v>0</v>
      </c>
    </row>
    <row r="792" spans="1:25" x14ac:dyDescent="0.35">
      <c r="A792" t="s">
        <v>5304</v>
      </c>
      <c r="B792" s="1">
        <v>45758</v>
      </c>
      <c r="C792" s="1">
        <v>45762</v>
      </c>
      <c r="D792" t="s">
        <v>2587</v>
      </c>
      <c r="E792" t="s">
        <v>5305</v>
      </c>
      <c r="F792" t="s">
        <v>57</v>
      </c>
      <c r="G792" t="s">
        <v>5306</v>
      </c>
      <c r="H792" t="s">
        <v>163</v>
      </c>
      <c r="I792" t="s">
        <v>108</v>
      </c>
      <c r="J792" t="s">
        <v>118</v>
      </c>
      <c r="K792" t="s">
        <v>222</v>
      </c>
      <c r="L792" t="s">
        <v>5307</v>
      </c>
      <c r="M792">
        <v>5</v>
      </c>
      <c r="N792">
        <v>1893</v>
      </c>
      <c r="O792">
        <v>15</v>
      </c>
      <c r="P792">
        <v>8390.25</v>
      </c>
      <c r="Q792">
        <v>8046.13</v>
      </c>
      <c r="R792">
        <v>344.12</v>
      </c>
      <c r="S792" t="s">
        <v>80</v>
      </c>
      <c r="T792" t="s">
        <v>140</v>
      </c>
      <c r="U792" t="s">
        <v>5308</v>
      </c>
      <c r="V792" t="s">
        <v>5309</v>
      </c>
      <c r="W792">
        <v>46</v>
      </c>
      <c r="X792" t="s">
        <v>53</v>
      </c>
      <c r="Y792">
        <v>0</v>
      </c>
    </row>
    <row r="793" spans="1:25" x14ac:dyDescent="0.35">
      <c r="A793" t="s">
        <v>5310</v>
      </c>
      <c r="B793" s="1">
        <v>45527</v>
      </c>
      <c r="C793" s="1">
        <v>45531</v>
      </c>
      <c r="D793" t="s">
        <v>617</v>
      </c>
      <c r="E793" t="s">
        <v>5311</v>
      </c>
      <c r="F793" t="s">
        <v>95</v>
      </c>
      <c r="G793" t="s">
        <v>171</v>
      </c>
      <c r="H793" t="s">
        <v>206</v>
      </c>
      <c r="I793" t="s">
        <v>31</v>
      </c>
      <c r="J793" t="s">
        <v>118</v>
      </c>
      <c r="K793" t="s">
        <v>885</v>
      </c>
      <c r="L793" t="s">
        <v>5312</v>
      </c>
      <c r="M793">
        <v>10</v>
      </c>
      <c r="N793">
        <v>249</v>
      </c>
      <c r="O793">
        <v>0</v>
      </c>
      <c r="P793">
        <v>2835</v>
      </c>
      <c r="Q793">
        <v>2490.66</v>
      </c>
      <c r="R793">
        <v>344.34</v>
      </c>
      <c r="S793" t="s">
        <v>35</v>
      </c>
      <c r="T793" t="s">
        <v>89</v>
      </c>
      <c r="U793" t="s">
        <v>5313</v>
      </c>
      <c r="V793" t="s">
        <v>5314</v>
      </c>
      <c r="W793">
        <v>21</v>
      </c>
      <c r="X793" t="s">
        <v>53</v>
      </c>
      <c r="Y793">
        <v>0</v>
      </c>
    </row>
    <row r="794" spans="1:25" x14ac:dyDescent="0.35">
      <c r="A794" t="s">
        <v>5315</v>
      </c>
      <c r="B794" s="1">
        <v>45767</v>
      </c>
      <c r="C794" s="1">
        <v>45770</v>
      </c>
      <c r="D794" t="s">
        <v>5316</v>
      </c>
      <c r="E794" t="s">
        <v>5317</v>
      </c>
      <c r="F794" t="s">
        <v>28</v>
      </c>
      <c r="G794" t="s">
        <v>5318</v>
      </c>
      <c r="H794" t="s">
        <v>172</v>
      </c>
      <c r="I794" t="s">
        <v>45</v>
      </c>
      <c r="J794" t="s">
        <v>46</v>
      </c>
      <c r="K794" t="s">
        <v>662</v>
      </c>
      <c r="L794" t="s">
        <v>5319</v>
      </c>
      <c r="M794">
        <v>6</v>
      </c>
      <c r="N794">
        <v>4485</v>
      </c>
      <c r="O794">
        <v>0</v>
      </c>
      <c r="P794">
        <v>27255</v>
      </c>
      <c r="Q794">
        <v>26910.880000000001</v>
      </c>
      <c r="R794">
        <v>344.12</v>
      </c>
      <c r="S794" t="s">
        <v>80</v>
      </c>
      <c r="T794" t="s">
        <v>140</v>
      </c>
      <c r="U794" t="s">
        <v>5320</v>
      </c>
      <c r="V794" t="s">
        <v>5321</v>
      </c>
      <c r="W794">
        <v>42</v>
      </c>
      <c r="X794" t="s">
        <v>53</v>
      </c>
      <c r="Y794">
        <v>0</v>
      </c>
    </row>
    <row r="795" spans="1:25" x14ac:dyDescent="0.35">
      <c r="A795" t="s">
        <v>5322</v>
      </c>
      <c r="B795" s="1">
        <v>45274</v>
      </c>
      <c r="C795" s="1">
        <v>45281</v>
      </c>
      <c r="D795" t="s">
        <v>5323</v>
      </c>
      <c r="E795" t="s">
        <v>5324</v>
      </c>
      <c r="F795" t="s">
        <v>57</v>
      </c>
      <c r="G795" t="s">
        <v>5325</v>
      </c>
      <c r="H795" t="s">
        <v>59</v>
      </c>
      <c r="I795" t="s">
        <v>31</v>
      </c>
      <c r="J795" t="s">
        <v>32</v>
      </c>
      <c r="K795" t="s">
        <v>119</v>
      </c>
      <c r="L795" t="s">
        <v>5326</v>
      </c>
      <c r="M795">
        <v>1</v>
      </c>
      <c r="N795">
        <v>2476</v>
      </c>
      <c r="O795">
        <v>10</v>
      </c>
      <c r="P795">
        <v>2573.4</v>
      </c>
      <c r="Q795">
        <v>2229.09</v>
      </c>
      <c r="R795">
        <v>344.31</v>
      </c>
      <c r="S795" t="s">
        <v>49</v>
      </c>
      <c r="T795" t="s">
        <v>140</v>
      </c>
      <c r="U795" t="s">
        <v>3275</v>
      </c>
      <c r="V795" t="s">
        <v>5327</v>
      </c>
      <c r="W795">
        <v>37</v>
      </c>
      <c r="X795" t="s">
        <v>53</v>
      </c>
      <c r="Y795">
        <v>0</v>
      </c>
    </row>
    <row r="796" spans="1:25" x14ac:dyDescent="0.35">
      <c r="A796" t="s">
        <v>5328</v>
      </c>
      <c r="B796" s="1">
        <v>45663</v>
      </c>
      <c r="C796" s="1">
        <v>45667</v>
      </c>
      <c r="D796" t="s">
        <v>1433</v>
      </c>
      <c r="E796" t="s">
        <v>5329</v>
      </c>
      <c r="F796" t="s">
        <v>95</v>
      </c>
      <c r="G796" t="s">
        <v>2059</v>
      </c>
      <c r="H796" t="s">
        <v>198</v>
      </c>
      <c r="I796" t="s">
        <v>31</v>
      </c>
      <c r="J796" t="s">
        <v>97</v>
      </c>
      <c r="K796" t="s">
        <v>199</v>
      </c>
      <c r="L796" t="s">
        <v>5330</v>
      </c>
      <c r="M796">
        <v>2</v>
      </c>
      <c r="N796">
        <v>4481</v>
      </c>
      <c r="O796">
        <v>20</v>
      </c>
      <c r="P796">
        <v>7514.6</v>
      </c>
      <c r="Q796">
        <v>7170.33</v>
      </c>
      <c r="R796">
        <v>344.27</v>
      </c>
      <c r="S796" t="s">
        <v>80</v>
      </c>
      <c r="T796" t="s">
        <v>140</v>
      </c>
      <c r="U796" t="s">
        <v>4048</v>
      </c>
      <c r="V796" t="s">
        <v>5331</v>
      </c>
      <c r="W796">
        <v>17</v>
      </c>
      <c r="X796" t="s">
        <v>53</v>
      </c>
      <c r="Y796">
        <v>0</v>
      </c>
    </row>
    <row r="797" spans="1:25" x14ac:dyDescent="0.35">
      <c r="A797" t="s">
        <v>5332</v>
      </c>
      <c r="B797" s="1">
        <v>45565</v>
      </c>
      <c r="C797" s="1">
        <v>45571</v>
      </c>
      <c r="D797" t="s">
        <v>3033</v>
      </c>
      <c r="E797" t="s">
        <v>5333</v>
      </c>
      <c r="F797" t="s">
        <v>95</v>
      </c>
      <c r="G797" t="s">
        <v>5334</v>
      </c>
      <c r="H797" t="s">
        <v>163</v>
      </c>
      <c r="I797" t="s">
        <v>108</v>
      </c>
      <c r="J797" t="s">
        <v>118</v>
      </c>
      <c r="K797" t="s">
        <v>138</v>
      </c>
      <c r="L797" t="s">
        <v>5335</v>
      </c>
      <c r="M797">
        <v>5</v>
      </c>
      <c r="N797">
        <v>2722</v>
      </c>
      <c r="O797">
        <v>20</v>
      </c>
      <c r="P797">
        <v>11233</v>
      </c>
      <c r="Q797">
        <v>10888.8</v>
      </c>
      <c r="R797">
        <v>344.2</v>
      </c>
      <c r="S797" t="s">
        <v>100</v>
      </c>
      <c r="T797" t="s">
        <v>36</v>
      </c>
      <c r="U797" t="s">
        <v>5336</v>
      </c>
      <c r="V797" t="s">
        <v>5337</v>
      </c>
      <c r="W797">
        <v>43</v>
      </c>
      <c r="X797" t="s">
        <v>53</v>
      </c>
      <c r="Y797">
        <v>0</v>
      </c>
    </row>
    <row r="798" spans="1:25" x14ac:dyDescent="0.35">
      <c r="A798" t="s">
        <v>5338</v>
      </c>
      <c r="B798" s="1">
        <v>45745</v>
      </c>
      <c r="C798" s="1">
        <v>45750</v>
      </c>
      <c r="D798" t="s">
        <v>5339</v>
      </c>
      <c r="E798" t="s">
        <v>5340</v>
      </c>
      <c r="F798" t="s">
        <v>28</v>
      </c>
      <c r="G798" t="s">
        <v>5341</v>
      </c>
      <c r="H798" t="s">
        <v>172</v>
      </c>
      <c r="I798" t="s">
        <v>45</v>
      </c>
      <c r="J798" t="s">
        <v>118</v>
      </c>
      <c r="K798" t="s">
        <v>190</v>
      </c>
      <c r="L798" t="s">
        <v>5342</v>
      </c>
      <c r="M798">
        <v>4</v>
      </c>
      <c r="N798">
        <v>1707</v>
      </c>
      <c r="O798">
        <v>0</v>
      </c>
      <c r="P798">
        <v>7173</v>
      </c>
      <c r="Q798">
        <v>6828.66</v>
      </c>
      <c r="R798">
        <v>344.34</v>
      </c>
      <c r="S798" t="s">
        <v>49</v>
      </c>
      <c r="T798" t="s">
        <v>50</v>
      </c>
      <c r="U798" t="s">
        <v>5343</v>
      </c>
      <c r="V798" t="s">
        <v>5344</v>
      </c>
      <c r="W798">
        <v>36</v>
      </c>
      <c r="X798" t="s">
        <v>53</v>
      </c>
      <c r="Y798">
        <v>0</v>
      </c>
    </row>
    <row r="799" spans="1:25" x14ac:dyDescent="0.35">
      <c r="A799" t="s">
        <v>5345</v>
      </c>
      <c r="B799" s="1">
        <v>45953</v>
      </c>
      <c r="C799" s="1">
        <v>45959</v>
      </c>
      <c r="D799" t="s">
        <v>3177</v>
      </c>
      <c r="E799" t="s">
        <v>5346</v>
      </c>
      <c r="F799" t="s">
        <v>57</v>
      </c>
      <c r="G799" t="s">
        <v>5347</v>
      </c>
      <c r="H799" t="s">
        <v>44</v>
      </c>
      <c r="I799" t="s">
        <v>45</v>
      </c>
      <c r="J799" t="s">
        <v>32</v>
      </c>
      <c r="K799" t="s">
        <v>430</v>
      </c>
      <c r="L799" t="s">
        <v>5348</v>
      </c>
      <c r="M799">
        <v>4</v>
      </c>
      <c r="N799">
        <v>4069</v>
      </c>
      <c r="O799">
        <v>15</v>
      </c>
      <c r="P799">
        <v>14179.6</v>
      </c>
      <c r="Q799">
        <v>13835.47</v>
      </c>
      <c r="R799">
        <v>344.13</v>
      </c>
      <c r="S799" t="s">
        <v>35</v>
      </c>
      <c r="T799" t="s">
        <v>140</v>
      </c>
      <c r="U799" t="s">
        <v>5349</v>
      </c>
      <c r="V799" t="s">
        <v>5350</v>
      </c>
      <c r="W799">
        <v>12</v>
      </c>
      <c r="X799" t="s">
        <v>53</v>
      </c>
      <c r="Y799">
        <v>0</v>
      </c>
    </row>
    <row r="800" spans="1:25" x14ac:dyDescent="0.35">
      <c r="A800" t="s">
        <v>5351</v>
      </c>
      <c r="B800" s="1">
        <v>45960</v>
      </c>
      <c r="C800" s="1">
        <v>45964</v>
      </c>
      <c r="D800" t="s">
        <v>5352</v>
      </c>
      <c r="E800" t="s">
        <v>1745</v>
      </c>
      <c r="F800" t="s">
        <v>95</v>
      </c>
      <c r="G800" t="s">
        <v>5353</v>
      </c>
      <c r="H800" t="s">
        <v>107</v>
      </c>
      <c r="I800" t="s">
        <v>108</v>
      </c>
      <c r="J800" t="s">
        <v>97</v>
      </c>
      <c r="K800" t="s">
        <v>400</v>
      </c>
      <c r="L800" t="s">
        <v>5354</v>
      </c>
      <c r="M800">
        <v>8</v>
      </c>
      <c r="N800">
        <v>559</v>
      </c>
      <c r="O800">
        <v>20</v>
      </c>
      <c r="P800">
        <v>3922.6</v>
      </c>
      <c r="Q800">
        <v>3578.21</v>
      </c>
      <c r="R800">
        <v>344.39</v>
      </c>
      <c r="S800" t="s">
        <v>100</v>
      </c>
      <c r="T800" t="s">
        <v>36</v>
      </c>
      <c r="U800" t="s">
        <v>5355</v>
      </c>
      <c r="V800" t="s">
        <v>5356</v>
      </c>
      <c r="W800">
        <v>12</v>
      </c>
      <c r="X800" t="s">
        <v>53</v>
      </c>
      <c r="Y800">
        <v>0</v>
      </c>
    </row>
    <row r="801" spans="1:25" x14ac:dyDescent="0.35">
      <c r="A801" t="s">
        <v>5357</v>
      </c>
      <c r="B801" s="1">
        <v>45933</v>
      </c>
      <c r="C801" s="1">
        <v>45938</v>
      </c>
      <c r="D801" t="s">
        <v>266</v>
      </c>
      <c r="E801" t="s">
        <v>5358</v>
      </c>
      <c r="F801" t="s">
        <v>28</v>
      </c>
      <c r="G801" t="s">
        <v>5359</v>
      </c>
      <c r="H801" t="s">
        <v>163</v>
      </c>
      <c r="I801" t="s">
        <v>108</v>
      </c>
      <c r="J801" t="s">
        <v>46</v>
      </c>
      <c r="K801" t="s">
        <v>562</v>
      </c>
      <c r="L801" t="s">
        <v>232</v>
      </c>
      <c r="M801">
        <v>10</v>
      </c>
      <c r="N801">
        <v>4691</v>
      </c>
      <c r="O801">
        <v>10</v>
      </c>
      <c r="P801">
        <v>42564</v>
      </c>
      <c r="Q801">
        <v>42219.76</v>
      </c>
      <c r="R801">
        <v>344.24</v>
      </c>
      <c r="S801" t="s">
        <v>49</v>
      </c>
      <c r="T801" t="s">
        <v>36</v>
      </c>
      <c r="U801" t="s">
        <v>5360</v>
      </c>
      <c r="V801" t="s">
        <v>5361</v>
      </c>
      <c r="W801">
        <v>41</v>
      </c>
      <c r="X801" t="s">
        <v>53</v>
      </c>
      <c r="Y801">
        <v>0</v>
      </c>
    </row>
    <row r="802" spans="1:25" x14ac:dyDescent="0.35">
      <c r="A802" t="s">
        <v>5362</v>
      </c>
      <c r="B802" s="1">
        <v>45856</v>
      </c>
      <c r="C802" s="1">
        <v>45859</v>
      </c>
      <c r="D802" t="s">
        <v>133</v>
      </c>
      <c r="E802" t="s">
        <v>5363</v>
      </c>
      <c r="F802" t="s">
        <v>95</v>
      </c>
      <c r="G802" t="s">
        <v>5364</v>
      </c>
      <c r="H802" t="s">
        <v>283</v>
      </c>
      <c r="I802" t="s">
        <v>45</v>
      </c>
      <c r="J802" t="s">
        <v>46</v>
      </c>
      <c r="K802" t="s">
        <v>98</v>
      </c>
      <c r="L802" t="s">
        <v>5365</v>
      </c>
      <c r="M802">
        <v>4</v>
      </c>
      <c r="N802">
        <v>941</v>
      </c>
      <c r="O802">
        <v>20</v>
      </c>
      <c r="P802">
        <v>3356.2</v>
      </c>
      <c r="Q802">
        <v>3012.03</v>
      </c>
      <c r="R802">
        <v>344.17</v>
      </c>
      <c r="S802" t="s">
        <v>80</v>
      </c>
      <c r="T802" t="s">
        <v>36</v>
      </c>
      <c r="U802" t="s">
        <v>5366</v>
      </c>
      <c r="V802" t="s">
        <v>5367</v>
      </c>
      <c r="W802">
        <v>26</v>
      </c>
      <c r="X802" t="s">
        <v>53</v>
      </c>
      <c r="Y802">
        <v>0</v>
      </c>
    </row>
    <row r="803" spans="1:25" x14ac:dyDescent="0.35">
      <c r="A803" t="s">
        <v>5368</v>
      </c>
      <c r="B803" s="1">
        <v>45543</v>
      </c>
      <c r="C803" s="1">
        <v>45550</v>
      </c>
      <c r="D803" t="s">
        <v>2573</v>
      </c>
      <c r="E803" t="s">
        <v>5369</v>
      </c>
      <c r="F803" t="s">
        <v>28</v>
      </c>
      <c r="G803" t="s">
        <v>5370</v>
      </c>
      <c r="H803" t="s">
        <v>189</v>
      </c>
      <c r="I803" t="s">
        <v>108</v>
      </c>
      <c r="J803" t="s">
        <v>97</v>
      </c>
      <c r="K803" t="s">
        <v>199</v>
      </c>
      <c r="L803" t="s">
        <v>5371</v>
      </c>
      <c r="M803">
        <v>3</v>
      </c>
      <c r="N803">
        <v>329</v>
      </c>
      <c r="O803">
        <v>10</v>
      </c>
      <c r="P803">
        <v>1233.3</v>
      </c>
      <c r="Q803">
        <v>889</v>
      </c>
      <c r="R803">
        <v>344.3</v>
      </c>
      <c r="S803" t="s">
        <v>100</v>
      </c>
      <c r="T803" t="s">
        <v>89</v>
      </c>
      <c r="U803" t="s">
        <v>5372</v>
      </c>
      <c r="V803" t="s">
        <v>5373</v>
      </c>
      <c r="W803">
        <v>28</v>
      </c>
      <c r="X803" t="s">
        <v>53</v>
      </c>
      <c r="Y803">
        <v>0</v>
      </c>
    </row>
    <row r="804" spans="1:25" x14ac:dyDescent="0.35">
      <c r="A804" t="s">
        <v>5374</v>
      </c>
      <c r="B804" s="1">
        <v>45292</v>
      </c>
      <c r="C804" s="1">
        <v>45295</v>
      </c>
      <c r="D804" t="s">
        <v>1100</v>
      </c>
      <c r="E804" t="s">
        <v>5375</v>
      </c>
      <c r="F804" t="s">
        <v>28</v>
      </c>
      <c r="G804" t="s">
        <v>5376</v>
      </c>
      <c r="H804" t="s">
        <v>44</v>
      </c>
      <c r="I804" t="s">
        <v>45</v>
      </c>
      <c r="J804" t="s">
        <v>46</v>
      </c>
      <c r="K804" t="s">
        <v>138</v>
      </c>
      <c r="L804" t="s">
        <v>5377</v>
      </c>
      <c r="M804">
        <v>5</v>
      </c>
      <c r="N804">
        <v>2480</v>
      </c>
      <c r="O804">
        <v>0</v>
      </c>
      <c r="P804">
        <v>12745</v>
      </c>
      <c r="Q804">
        <v>12400.79</v>
      </c>
      <c r="R804">
        <v>344.21</v>
      </c>
      <c r="S804" t="s">
        <v>35</v>
      </c>
      <c r="T804" t="s">
        <v>36</v>
      </c>
      <c r="U804" t="s">
        <v>5378</v>
      </c>
      <c r="V804" t="s">
        <v>5379</v>
      </c>
      <c r="W804">
        <v>31</v>
      </c>
      <c r="X804" t="s">
        <v>53</v>
      </c>
      <c r="Y804">
        <v>0</v>
      </c>
    </row>
    <row r="805" spans="1:25" x14ac:dyDescent="0.35">
      <c r="A805" t="s">
        <v>5380</v>
      </c>
      <c r="B805" s="1">
        <v>45769</v>
      </c>
      <c r="C805" s="1">
        <v>45770</v>
      </c>
      <c r="D805" t="s">
        <v>2070</v>
      </c>
      <c r="E805" t="s">
        <v>5381</v>
      </c>
      <c r="F805" t="s">
        <v>57</v>
      </c>
      <c r="G805" t="s">
        <v>5382</v>
      </c>
      <c r="H805" t="s">
        <v>320</v>
      </c>
      <c r="I805" t="s">
        <v>137</v>
      </c>
      <c r="J805" t="s">
        <v>97</v>
      </c>
      <c r="K805" t="s">
        <v>33</v>
      </c>
      <c r="L805" t="s">
        <v>5383</v>
      </c>
      <c r="M805">
        <v>5</v>
      </c>
      <c r="N805">
        <v>112</v>
      </c>
      <c r="O805">
        <v>10</v>
      </c>
      <c r="P805">
        <v>849</v>
      </c>
      <c r="Q805">
        <v>504.8</v>
      </c>
      <c r="R805">
        <v>344.2</v>
      </c>
      <c r="S805" t="s">
        <v>100</v>
      </c>
      <c r="T805" t="s">
        <v>50</v>
      </c>
      <c r="U805" t="s">
        <v>5384</v>
      </c>
      <c r="V805" t="s">
        <v>5385</v>
      </c>
      <c r="W805">
        <v>49</v>
      </c>
      <c r="X805" t="s">
        <v>53</v>
      </c>
      <c r="Y805">
        <v>0</v>
      </c>
    </row>
    <row r="806" spans="1:25" x14ac:dyDescent="0.35">
      <c r="A806" t="s">
        <v>5386</v>
      </c>
      <c r="B806" s="1">
        <v>45906</v>
      </c>
      <c r="C806" s="1">
        <v>45911</v>
      </c>
      <c r="D806" t="s">
        <v>1447</v>
      </c>
      <c r="E806" t="s">
        <v>5387</v>
      </c>
      <c r="F806" t="s">
        <v>28</v>
      </c>
      <c r="G806" t="s">
        <v>5388</v>
      </c>
      <c r="H806" t="s">
        <v>163</v>
      </c>
      <c r="I806" t="s">
        <v>108</v>
      </c>
      <c r="J806" t="s">
        <v>32</v>
      </c>
      <c r="K806" t="s">
        <v>662</v>
      </c>
      <c r="L806" t="s">
        <v>5389</v>
      </c>
      <c r="M806">
        <v>4</v>
      </c>
      <c r="N806">
        <v>3078</v>
      </c>
      <c r="O806">
        <v>15</v>
      </c>
      <c r="P806">
        <v>10810.2</v>
      </c>
      <c r="Q806">
        <v>10465.89</v>
      </c>
      <c r="R806">
        <v>344.31</v>
      </c>
      <c r="S806" t="s">
        <v>35</v>
      </c>
      <c r="T806" t="s">
        <v>50</v>
      </c>
      <c r="U806" t="s">
        <v>5390</v>
      </c>
      <c r="V806" t="s">
        <v>5391</v>
      </c>
      <c r="W806">
        <v>2</v>
      </c>
      <c r="X806" t="s">
        <v>39</v>
      </c>
      <c r="Y806">
        <v>40</v>
      </c>
    </row>
    <row r="807" spans="1:25" x14ac:dyDescent="0.35">
      <c r="A807" t="s">
        <v>5392</v>
      </c>
      <c r="B807" s="1">
        <v>45340</v>
      </c>
      <c r="C807" s="1">
        <v>45347</v>
      </c>
      <c r="D807" t="s">
        <v>2734</v>
      </c>
      <c r="E807" t="s">
        <v>5393</v>
      </c>
      <c r="F807" t="s">
        <v>28</v>
      </c>
      <c r="G807" t="s">
        <v>3028</v>
      </c>
      <c r="H807" t="s">
        <v>136</v>
      </c>
      <c r="I807" t="s">
        <v>137</v>
      </c>
      <c r="J807" t="s">
        <v>46</v>
      </c>
      <c r="K807" t="s">
        <v>524</v>
      </c>
      <c r="L807" t="s">
        <v>5394</v>
      </c>
      <c r="M807">
        <v>8</v>
      </c>
      <c r="N807">
        <v>751</v>
      </c>
      <c r="O807">
        <v>0</v>
      </c>
      <c r="P807">
        <v>6353</v>
      </c>
      <c r="Q807">
        <v>6008.8</v>
      </c>
      <c r="R807">
        <v>344.2</v>
      </c>
      <c r="S807" t="s">
        <v>49</v>
      </c>
      <c r="T807" t="s">
        <v>89</v>
      </c>
      <c r="U807" t="s">
        <v>5395</v>
      </c>
      <c r="V807" t="s">
        <v>5396</v>
      </c>
      <c r="W807">
        <v>0</v>
      </c>
      <c r="X807" t="s">
        <v>39</v>
      </c>
      <c r="Y807">
        <v>28</v>
      </c>
    </row>
    <row r="808" spans="1:25" x14ac:dyDescent="0.35">
      <c r="A808" t="s">
        <v>5397</v>
      </c>
      <c r="B808" s="1">
        <v>45339</v>
      </c>
      <c r="C808" s="1">
        <v>45340</v>
      </c>
      <c r="D808" t="s">
        <v>624</v>
      </c>
      <c r="E808" t="s">
        <v>5398</v>
      </c>
      <c r="F808" t="s">
        <v>95</v>
      </c>
      <c r="G808" t="s">
        <v>5399</v>
      </c>
      <c r="H808" t="s">
        <v>59</v>
      </c>
      <c r="I808" t="s">
        <v>31</v>
      </c>
      <c r="J808" t="s">
        <v>46</v>
      </c>
      <c r="K808" t="s">
        <v>691</v>
      </c>
      <c r="L808" t="s">
        <v>4450</v>
      </c>
      <c r="M808">
        <v>6</v>
      </c>
      <c r="N808">
        <v>2882</v>
      </c>
      <c r="O808">
        <v>5</v>
      </c>
      <c r="P808">
        <v>16772.400000000001</v>
      </c>
      <c r="Q808">
        <v>16428.240000000002</v>
      </c>
      <c r="R808">
        <v>344.16</v>
      </c>
      <c r="S808" t="s">
        <v>80</v>
      </c>
      <c r="T808" t="s">
        <v>50</v>
      </c>
      <c r="U808" t="s">
        <v>5400</v>
      </c>
      <c r="V808" t="s">
        <v>5401</v>
      </c>
      <c r="W808">
        <v>37</v>
      </c>
      <c r="X808" t="s">
        <v>53</v>
      </c>
      <c r="Y808">
        <v>0</v>
      </c>
    </row>
    <row r="809" spans="1:25" x14ac:dyDescent="0.35">
      <c r="A809" t="s">
        <v>5402</v>
      </c>
      <c r="B809" s="1">
        <v>45726</v>
      </c>
      <c r="C809" s="1">
        <v>45730</v>
      </c>
      <c r="D809" t="s">
        <v>5403</v>
      </c>
      <c r="E809" t="s">
        <v>5404</v>
      </c>
      <c r="F809" t="s">
        <v>95</v>
      </c>
      <c r="G809" t="s">
        <v>5405</v>
      </c>
      <c r="H809" t="s">
        <v>198</v>
      </c>
      <c r="I809" t="s">
        <v>31</v>
      </c>
      <c r="J809" t="s">
        <v>118</v>
      </c>
      <c r="K809" t="s">
        <v>181</v>
      </c>
      <c r="L809" t="s">
        <v>5406</v>
      </c>
      <c r="M809">
        <v>8</v>
      </c>
      <c r="N809">
        <v>173</v>
      </c>
      <c r="O809">
        <v>15</v>
      </c>
      <c r="P809">
        <v>1521.4</v>
      </c>
      <c r="Q809">
        <v>1177.03</v>
      </c>
      <c r="R809">
        <v>344.37</v>
      </c>
      <c r="S809" t="s">
        <v>100</v>
      </c>
      <c r="T809" t="s">
        <v>36</v>
      </c>
      <c r="U809" t="s">
        <v>5407</v>
      </c>
      <c r="V809" t="s">
        <v>5408</v>
      </c>
      <c r="W809">
        <v>4</v>
      </c>
      <c r="X809" t="s">
        <v>39</v>
      </c>
      <c r="Y809">
        <v>22</v>
      </c>
    </row>
    <row r="810" spans="1:25" x14ac:dyDescent="0.35">
      <c r="A810" t="s">
        <v>5409</v>
      </c>
      <c r="B810" s="1">
        <v>45688</v>
      </c>
      <c r="C810" s="1">
        <v>45695</v>
      </c>
      <c r="D810" t="s">
        <v>1050</v>
      </c>
      <c r="E810" t="s">
        <v>5410</v>
      </c>
      <c r="F810" t="s">
        <v>28</v>
      </c>
      <c r="G810" t="s">
        <v>5411</v>
      </c>
      <c r="H810" t="s">
        <v>364</v>
      </c>
      <c r="I810" t="s">
        <v>137</v>
      </c>
      <c r="J810" t="s">
        <v>32</v>
      </c>
      <c r="K810" t="s">
        <v>173</v>
      </c>
      <c r="L810" t="s">
        <v>5412</v>
      </c>
      <c r="M810">
        <v>7</v>
      </c>
      <c r="N810">
        <v>2574</v>
      </c>
      <c r="O810">
        <v>10</v>
      </c>
      <c r="P810">
        <v>16561.2</v>
      </c>
      <c r="Q810">
        <v>16217.07</v>
      </c>
      <c r="R810">
        <v>344.13</v>
      </c>
      <c r="S810" t="s">
        <v>35</v>
      </c>
      <c r="T810" t="s">
        <v>140</v>
      </c>
      <c r="U810" t="s">
        <v>5413</v>
      </c>
      <c r="V810" t="s">
        <v>5414</v>
      </c>
      <c r="W810">
        <v>0</v>
      </c>
      <c r="X810" t="s">
        <v>39</v>
      </c>
      <c r="Y810">
        <v>28</v>
      </c>
    </row>
    <row r="811" spans="1:25" x14ac:dyDescent="0.35">
      <c r="A811" t="s">
        <v>5415</v>
      </c>
      <c r="B811" s="1">
        <v>45691</v>
      </c>
      <c r="C811" s="1">
        <v>45698</v>
      </c>
      <c r="D811" t="s">
        <v>5416</v>
      </c>
      <c r="E811" t="s">
        <v>5417</v>
      </c>
      <c r="F811" t="s">
        <v>57</v>
      </c>
      <c r="G811" t="s">
        <v>5418</v>
      </c>
      <c r="H811" t="s">
        <v>154</v>
      </c>
      <c r="I811" t="s">
        <v>137</v>
      </c>
      <c r="J811" t="s">
        <v>118</v>
      </c>
      <c r="K811" t="s">
        <v>699</v>
      </c>
      <c r="L811" t="s">
        <v>5419</v>
      </c>
      <c r="M811">
        <v>9</v>
      </c>
      <c r="N811">
        <v>4508</v>
      </c>
      <c r="O811">
        <v>10</v>
      </c>
      <c r="P811">
        <v>36859.800000000003</v>
      </c>
      <c r="Q811">
        <v>36515.519999999997</v>
      </c>
      <c r="R811">
        <v>344.28</v>
      </c>
      <c r="S811" t="s">
        <v>80</v>
      </c>
      <c r="T811" t="s">
        <v>50</v>
      </c>
      <c r="U811" t="s">
        <v>5420</v>
      </c>
      <c r="V811" t="s">
        <v>5421</v>
      </c>
      <c r="W811">
        <v>25</v>
      </c>
      <c r="X811" t="s">
        <v>53</v>
      </c>
      <c r="Y811">
        <v>0</v>
      </c>
    </row>
    <row r="812" spans="1:25" x14ac:dyDescent="0.35">
      <c r="A812" t="s">
        <v>5422</v>
      </c>
      <c r="B812" s="1">
        <v>45468</v>
      </c>
      <c r="C812" s="1">
        <v>45470</v>
      </c>
      <c r="D812" t="s">
        <v>5423</v>
      </c>
      <c r="E812" t="s">
        <v>5424</v>
      </c>
      <c r="F812" t="s">
        <v>57</v>
      </c>
      <c r="G812" t="s">
        <v>5425</v>
      </c>
      <c r="H812" t="s">
        <v>117</v>
      </c>
      <c r="I812" t="s">
        <v>108</v>
      </c>
      <c r="J812" t="s">
        <v>118</v>
      </c>
      <c r="K812" t="s">
        <v>482</v>
      </c>
      <c r="L812" t="s">
        <v>5426</v>
      </c>
      <c r="M812">
        <v>4</v>
      </c>
      <c r="N812">
        <v>2088</v>
      </c>
      <c r="O812">
        <v>15</v>
      </c>
      <c r="P812">
        <v>7444.2</v>
      </c>
      <c r="Q812">
        <v>7099.92</v>
      </c>
      <c r="R812">
        <v>344.28</v>
      </c>
      <c r="S812" t="s">
        <v>49</v>
      </c>
      <c r="T812" t="s">
        <v>89</v>
      </c>
      <c r="U812" t="s">
        <v>5427</v>
      </c>
      <c r="V812" t="s">
        <v>5428</v>
      </c>
      <c r="W812">
        <v>20</v>
      </c>
      <c r="X812" t="s">
        <v>53</v>
      </c>
      <c r="Y812">
        <v>0</v>
      </c>
    </row>
    <row r="813" spans="1:25" x14ac:dyDescent="0.35">
      <c r="A813" t="s">
        <v>5429</v>
      </c>
      <c r="B813" s="1">
        <v>45387</v>
      </c>
      <c r="C813" s="1">
        <v>45393</v>
      </c>
      <c r="D813" t="s">
        <v>5430</v>
      </c>
      <c r="E813" t="s">
        <v>5431</v>
      </c>
      <c r="F813" t="s">
        <v>28</v>
      </c>
      <c r="G813" t="s">
        <v>5432</v>
      </c>
      <c r="H813" t="s">
        <v>364</v>
      </c>
      <c r="I813" t="s">
        <v>137</v>
      </c>
      <c r="J813" t="s">
        <v>46</v>
      </c>
      <c r="K813" t="s">
        <v>69</v>
      </c>
      <c r="L813" t="s">
        <v>5433</v>
      </c>
      <c r="M813">
        <v>2</v>
      </c>
      <c r="N813">
        <v>2087</v>
      </c>
      <c r="O813">
        <v>15</v>
      </c>
      <c r="P813">
        <v>3892.9</v>
      </c>
      <c r="Q813">
        <v>3548.77</v>
      </c>
      <c r="R813">
        <v>344.13</v>
      </c>
      <c r="S813" t="s">
        <v>35</v>
      </c>
      <c r="T813" t="s">
        <v>140</v>
      </c>
      <c r="U813" t="s">
        <v>5434</v>
      </c>
      <c r="V813" t="s">
        <v>5435</v>
      </c>
      <c r="W813">
        <v>46</v>
      </c>
      <c r="X813" t="s">
        <v>53</v>
      </c>
      <c r="Y813">
        <v>0</v>
      </c>
    </row>
    <row r="814" spans="1:25" x14ac:dyDescent="0.35">
      <c r="A814" t="s">
        <v>5436</v>
      </c>
      <c r="B814" s="1">
        <v>45558</v>
      </c>
      <c r="C814" s="1">
        <v>45564</v>
      </c>
      <c r="D814" t="s">
        <v>5437</v>
      </c>
      <c r="E814" t="s">
        <v>5438</v>
      </c>
      <c r="F814" t="s">
        <v>28</v>
      </c>
      <c r="G814" t="s">
        <v>5439</v>
      </c>
      <c r="H814" t="s">
        <v>163</v>
      </c>
      <c r="I814" t="s">
        <v>108</v>
      </c>
      <c r="J814" t="s">
        <v>46</v>
      </c>
      <c r="K814" t="s">
        <v>466</v>
      </c>
      <c r="L814" t="s">
        <v>5440</v>
      </c>
      <c r="M814">
        <v>7</v>
      </c>
      <c r="N814">
        <v>2870</v>
      </c>
      <c r="O814">
        <v>5</v>
      </c>
      <c r="P814">
        <v>19430.5</v>
      </c>
      <c r="Q814">
        <v>19086.400000000001</v>
      </c>
      <c r="R814">
        <v>344.1</v>
      </c>
      <c r="S814" t="s">
        <v>80</v>
      </c>
      <c r="T814" t="s">
        <v>50</v>
      </c>
      <c r="U814" t="s">
        <v>5441</v>
      </c>
      <c r="V814" t="s">
        <v>5442</v>
      </c>
      <c r="W814">
        <v>24</v>
      </c>
      <c r="X814" t="s">
        <v>53</v>
      </c>
      <c r="Y814">
        <v>0</v>
      </c>
    </row>
    <row r="815" spans="1:25" x14ac:dyDescent="0.35">
      <c r="A815" t="s">
        <v>5443</v>
      </c>
      <c r="B815" s="1">
        <v>45499</v>
      </c>
      <c r="C815" s="1">
        <v>45500</v>
      </c>
      <c r="D815" t="s">
        <v>3975</v>
      </c>
      <c r="E815" t="s">
        <v>5444</v>
      </c>
      <c r="F815" t="s">
        <v>57</v>
      </c>
      <c r="G815" t="s">
        <v>5445</v>
      </c>
      <c r="H815" t="s">
        <v>77</v>
      </c>
      <c r="I815" t="s">
        <v>45</v>
      </c>
      <c r="J815" t="s">
        <v>46</v>
      </c>
      <c r="K815" t="s">
        <v>1898</v>
      </c>
      <c r="L815" t="s">
        <v>5446</v>
      </c>
      <c r="M815">
        <v>9</v>
      </c>
      <c r="N815">
        <v>861</v>
      </c>
      <c r="O815">
        <v>0</v>
      </c>
      <c r="P815">
        <v>8094</v>
      </c>
      <c r="Q815">
        <v>7749.89</v>
      </c>
      <c r="R815">
        <v>344.11</v>
      </c>
      <c r="S815" t="s">
        <v>49</v>
      </c>
      <c r="T815" t="s">
        <v>140</v>
      </c>
      <c r="U815" t="s">
        <v>5447</v>
      </c>
      <c r="V815" t="s">
        <v>5448</v>
      </c>
      <c r="W815">
        <v>38</v>
      </c>
      <c r="X815" t="s">
        <v>53</v>
      </c>
      <c r="Y815">
        <v>0</v>
      </c>
    </row>
    <row r="816" spans="1:25" x14ac:dyDescent="0.35">
      <c r="A816" t="s">
        <v>5449</v>
      </c>
      <c r="B816" s="1">
        <v>45705</v>
      </c>
      <c r="C816" s="1">
        <v>45712</v>
      </c>
      <c r="D816" t="s">
        <v>1280</v>
      </c>
      <c r="E816" t="s">
        <v>5450</v>
      </c>
      <c r="F816" t="s">
        <v>28</v>
      </c>
      <c r="G816" t="s">
        <v>5451</v>
      </c>
      <c r="H816" t="s">
        <v>364</v>
      </c>
      <c r="I816" t="s">
        <v>137</v>
      </c>
      <c r="J816" t="s">
        <v>118</v>
      </c>
      <c r="K816" t="s">
        <v>750</v>
      </c>
      <c r="L816" t="s">
        <v>5452</v>
      </c>
      <c r="M816">
        <v>9</v>
      </c>
      <c r="N816">
        <v>3400</v>
      </c>
      <c r="O816">
        <v>20</v>
      </c>
      <c r="P816">
        <v>24825</v>
      </c>
      <c r="Q816">
        <v>24480.84</v>
      </c>
      <c r="R816">
        <v>344.16</v>
      </c>
      <c r="S816" t="s">
        <v>49</v>
      </c>
      <c r="T816" t="s">
        <v>140</v>
      </c>
      <c r="U816" t="s">
        <v>5453</v>
      </c>
      <c r="V816" t="s">
        <v>5454</v>
      </c>
      <c r="W816">
        <v>48</v>
      </c>
      <c r="X816" t="s">
        <v>53</v>
      </c>
      <c r="Y816">
        <v>0</v>
      </c>
    </row>
    <row r="817" spans="1:25" x14ac:dyDescent="0.35">
      <c r="A817" t="s">
        <v>5455</v>
      </c>
      <c r="B817" s="1">
        <v>45808</v>
      </c>
      <c r="C817" s="1">
        <v>45809</v>
      </c>
      <c r="D817" t="s">
        <v>5456</v>
      </c>
      <c r="E817" t="s">
        <v>5457</v>
      </c>
      <c r="F817" t="s">
        <v>28</v>
      </c>
      <c r="G817" t="s">
        <v>5458</v>
      </c>
      <c r="H817" t="s">
        <v>198</v>
      </c>
      <c r="I817" t="s">
        <v>31</v>
      </c>
      <c r="J817" t="s">
        <v>97</v>
      </c>
      <c r="K817" t="s">
        <v>247</v>
      </c>
      <c r="L817" t="s">
        <v>5459</v>
      </c>
      <c r="M817">
        <v>1</v>
      </c>
      <c r="N817">
        <v>3074</v>
      </c>
      <c r="O817">
        <v>15</v>
      </c>
      <c r="P817">
        <v>2957.9</v>
      </c>
      <c r="Q817">
        <v>2613.56</v>
      </c>
      <c r="R817">
        <v>344.34</v>
      </c>
      <c r="S817" t="s">
        <v>80</v>
      </c>
      <c r="T817" t="s">
        <v>89</v>
      </c>
      <c r="U817" t="s">
        <v>5460</v>
      </c>
      <c r="V817" t="s">
        <v>5461</v>
      </c>
      <c r="W817">
        <v>43</v>
      </c>
      <c r="X817" t="s">
        <v>53</v>
      </c>
      <c r="Y817">
        <v>0</v>
      </c>
    </row>
    <row r="818" spans="1:25" x14ac:dyDescent="0.35">
      <c r="A818" t="s">
        <v>5462</v>
      </c>
      <c r="B818" s="1">
        <v>45832</v>
      </c>
      <c r="C818" s="1">
        <v>45834</v>
      </c>
      <c r="D818" t="s">
        <v>5221</v>
      </c>
      <c r="E818" t="s">
        <v>5463</v>
      </c>
      <c r="F818" t="s">
        <v>57</v>
      </c>
      <c r="G818" t="s">
        <v>5464</v>
      </c>
      <c r="H818" t="s">
        <v>230</v>
      </c>
      <c r="I818" t="s">
        <v>137</v>
      </c>
      <c r="J818" t="s">
        <v>118</v>
      </c>
      <c r="K818" t="s">
        <v>138</v>
      </c>
      <c r="L818" t="s">
        <v>5465</v>
      </c>
      <c r="M818">
        <v>4</v>
      </c>
      <c r="N818">
        <v>2241</v>
      </c>
      <c r="O818">
        <v>0</v>
      </c>
      <c r="P818">
        <v>9309</v>
      </c>
      <c r="Q818">
        <v>8964.64</v>
      </c>
      <c r="R818">
        <v>344.36</v>
      </c>
      <c r="S818" t="s">
        <v>80</v>
      </c>
      <c r="T818" t="s">
        <v>89</v>
      </c>
      <c r="U818" t="s">
        <v>5466</v>
      </c>
      <c r="V818" t="s">
        <v>5467</v>
      </c>
      <c r="W818">
        <v>10</v>
      </c>
      <c r="X818" t="s">
        <v>53</v>
      </c>
      <c r="Y818">
        <v>0</v>
      </c>
    </row>
    <row r="819" spans="1:25" x14ac:dyDescent="0.35">
      <c r="A819" t="s">
        <v>5468</v>
      </c>
      <c r="B819" s="1">
        <v>45301</v>
      </c>
      <c r="C819" s="1">
        <v>45304</v>
      </c>
      <c r="D819" t="s">
        <v>3222</v>
      </c>
      <c r="E819" t="s">
        <v>5469</v>
      </c>
      <c r="F819" t="s">
        <v>95</v>
      </c>
      <c r="G819" t="s">
        <v>2261</v>
      </c>
      <c r="H819" t="s">
        <v>30</v>
      </c>
      <c r="I819" t="s">
        <v>31</v>
      </c>
      <c r="J819" t="s">
        <v>32</v>
      </c>
      <c r="K819" t="s">
        <v>598</v>
      </c>
      <c r="L819" t="s">
        <v>5470</v>
      </c>
      <c r="M819">
        <v>10</v>
      </c>
      <c r="N819">
        <v>451</v>
      </c>
      <c r="O819">
        <v>0</v>
      </c>
      <c r="P819">
        <v>4855</v>
      </c>
      <c r="Q819">
        <v>4510.78</v>
      </c>
      <c r="R819">
        <v>344.22</v>
      </c>
      <c r="S819" t="s">
        <v>80</v>
      </c>
      <c r="T819" t="s">
        <v>140</v>
      </c>
      <c r="U819" t="s">
        <v>5471</v>
      </c>
      <c r="V819" t="s">
        <v>5472</v>
      </c>
      <c r="W819">
        <v>22</v>
      </c>
      <c r="X819" t="s">
        <v>53</v>
      </c>
      <c r="Y819">
        <v>0</v>
      </c>
    </row>
    <row r="820" spans="1:25" x14ac:dyDescent="0.35">
      <c r="A820" t="s">
        <v>5473</v>
      </c>
      <c r="B820" s="1">
        <v>45378</v>
      </c>
      <c r="C820" s="1">
        <v>45380</v>
      </c>
      <c r="D820" t="s">
        <v>5474</v>
      </c>
      <c r="E820" t="s">
        <v>5475</v>
      </c>
      <c r="F820" t="s">
        <v>57</v>
      </c>
      <c r="G820" t="s">
        <v>4784</v>
      </c>
      <c r="H820" t="s">
        <v>206</v>
      </c>
      <c r="I820" t="s">
        <v>31</v>
      </c>
      <c r="J820" t="s">
        <v>118</v>
      </c>
      <c r="K820" t="s">
        <v>927</v>
      </c>
      <c r="L820" t="s">
        <v>5476</v>
      </c>
      <c r="M820">
        <v>6</v>
      </c>
      <c r="N820">
        <v>2980</v>
      </c>
      <c r="O820">
        <v>20</v>
      </c>
      <c r="P820">
        <v>14649</v>
      </c>
      <c r="Q820">
        <v>14304.69</v>
      </c>
      <c r="R820">
        <v>344.31</v>
      </c>
      <c r="S820" t="s">
        <v>80</v>
      </c>
      <c r="T820" t="s">
        <v>36</v>
      </c>
      <c r="U820" t="s">
        <v>5477</v>
      </c>
      <c r="V820" t="s">
        <v>5478</v>
      </c>
      <c r="W820">
        <v>2</v>
      </c>
      <c r="X820" t="s">
        <v>39</v>
      </c>
      <c r="Y820">
        <v>20</v>
      </c>
    </row>
    <row r="821" spans="1:25" x14ac:dyDescent="0.35">
      <c r="A821" t="s">
        <v>5479</v>
      </c>
      <c r="B821" s="1">
        <v>45611</v>
      </c>
      <c r="C821" s="1">
        <v>45614</v>
      </c>
      <c r="D821" t="s">
        <v>1488</v>
      </c>
      <c r="E821" t="s">
        <v>5480</v>
      </c>
      <c r="F821" t="s">
        <v>28</v>
      </c>
      <c r="G821" t="s">
        <v>5481</v>
      </c>
      <c r="H821" t="s">
        <v>117</v>
      </c>
      <c r="I821" t="s">
        <v>108</v>
      </c>
      <c r="J821" t="s">
        <v>32</v>
      </c>
      <c r="K821" t="s">
        <v>562</v>
      </c>
      <c r="L821" t="s">
        <v>5482</v>
      </c>
      <c r="M821">
        <v>1</v>
      </c>
      <c r="N821">
        <v>1894</v>
      </c>
      <c r="O821">
        <v>15</v>
      </c>
      <c r="P821">
        <v>1954.9</v>
      </c>
      <c r="Q821">
        <v>1610.55</v>
      </c>
      <c r="R821">
        <v>344.35</v>
      </c>
      <c r="S821" t="s">
        <v>35</v>
      </c>
      <c r="T821" t="s">
        <v>50</v>
      </c>
      <c r="U821" t="s">
        <v>5483</v>
      </c>
      <c r="V821" t="s">
        <v>5484</v>
      </c>
      <c r="W821">
        <v>14</v>
      </c>
      <c r="X821" t="s">
        <v>53</v>
      </c>
      <c r="Y821">
        <v>0</v>
      </c>
    </row>
    <row r="822" spans="1:25" x14ac:dyDescent="0.35">
      <c r="A822" t="s">
        <v>5485</v>
      </c>
      <c r="B822" s="1">
        <v>45650</v>
      </c>
      <c r="C822" s="1">
        <v>45653</v>
      </c>
      <c r="D822" t="s">
        <v>3353</v>
      </c>
      <c r="E822" t="s">
        <v>5486</v>
      </c>
      <c r="F822" t="s">
        <v>95</v>
      </c>
      <c r="G822" t="s">
        <v>5487</v>
      </c>
      <c r="H822" t="s">
        <v>172</v>
      </c>
      <c r="I822" t="s">
        <v>45</v>
      </c>
      <c r="J822" t="s">
        <v>97</v>
      </c>
      <c r="K822" t="s">
        <v>190</v>
      </c>
      <c r="L822" t="s">
        <v>5488</v>
      </c>
      <c r="M822">
        <v>4</v>
      </c>
      <c r="N822">
        <v>3499</v>
      </c>
      <c r="O822">
        <v>5</v>
      </c>
      <c r="P822">
        <v>13641.2</v>
      </c>
      <c r="Q822">
        <v>13296.84</v>
      </c>
      <c r="R822">
        <v>344.36</v>
      </c>
      <c r="S822" t="s">
        <v>80</v>
      </c>
      <c r="T822" t="s">
        <v>140</v>
      </c>
      <c r="U822" t="s">
        <v>5489</v>
      </c>
      <c r="V822" t="s">
        <v>5490</v>
      </c>
      <c r="W822">
        <v>41</v>
      </c>
      <c r="X822" t="s">
        <v>53</v>
      </c>
      <c r="Y822">
        <v>0</v>
      </c>
    </row>
    <row r="823" spans="1:25" x14ac:dyDescent="0.35">
      <c r="A823" t="s">
        <v>5491</v>
      </c>
      <c r="B823" s="1">
        <v>45667</v>
      </c>
      <c r="C823" s="1">
        <v>45673</v>
      </c>
      <c r="D823" t="s">
        <v>144</v>
      </c>
      <c r="E823" t="s">
        <v>5492</v>
      </c>
      <c r="F823" t="s">
        <v>57</v>
      </c>
      <c r="G823" t="s">
        <v>5493</v>
      </c>
      <c r="H823" t="s">
        <v>77</v>
      </c>
      <c r="I823" t="s">
        <v>45</v>
      </c>
      <c r="J823" t="s">
        <v>118</v>
      </c>
      <c r="K823" t="s">
        <v>970</v>
      </c>
      <c r="L823" t="s">
        <v>5494</v>
      </c>
      <c r="M823">
        <v>7</v>
      </c>
      <c r="N823">
        <v>2825</v>
      </c>
      <c r="O823">
        <v>15</v>
      </c>
      <c r="P823">
        <v>17153.75</v>
      </c>
      <c r="Q823">
        <v>16809.64</v>
      </c>
      <c r="R823">
        <v>344.11</v>
      </c>
      <c r="S823" t="s">
        <v>80</v>
      </c>
      <c r="T823" t="s">
        <v>140</v>
      </c>
      <c r="U823" t="s">
        <v>5495</v>
      </c>
      <c r="V823" t="s">
        <v>5496</v>
      </c>
      <c r="W823">
        <v>15</v>
      </c>
      <c r="X823" t="s">
        <v>53</v>
      </c>
      <c r="Y823">
        <v>0</v>
      </c>
    </row>
    <row r="824" spans="1:25" x14ac:dyDescent="0.35">
      <c r="A824" t="s">
        <v>5497</v>
      </c>
      <c r="B824" s="1">
        <v>45615</v>
      </c>
      <c r="C824" s="1">
        <v>45618</v>
      </c>
      <c r="D824" t="s">
        <v>5498</v>
      </c>
      <c r="E824" t="s">
        <v>5499</v>
      </c>
      <c r="F824" t="s">
        <v>57</v>
      </c>
      <c r="G824" t="s">
        <v>5500</v>
      </c>
      <c r="H824" t="s">
        <v>154</v>
      </c>
      <c r="I824" t="s">
        <v>137</v>
      </c>
      <c r="J824" t="s">
        <v>97</v>
      </c>
      <c r="K824" t="s">
        <v>312</v>
      </c>
      <c r="L824" t="s">
        <v>5501</v>
      </c>
      <c r="M824">
        <v>2</v>
      </c>
      <c r="N824">
        <v>1045</v>
      </c>
      <c r="O824">
        <v>10</v>
      </c>
      <c r="P824">
        <v>2226</v>
      </c>
      <c r="Q824">
        <v>1881.76</v>
      </c>
      <c r="R824">
        <v>344.24</v>
      </c>
      <c r="S824" t="s">
        <v>80</v>
      </c>
      <c r="T824" t="s">
        <v>89</v>
      </c>
      <c r="U824" t="s">
        <v>5502</v>
      </c>
      <c r="V824" t="s">
        <v>5503</v>
      </c>
      <c r="W824">
        <v>7</v>
      </c>
      <c r="X824" t="s">
        <v>39</v>
      </c>
      <c r="Y824">
        <v>50</v>
      </c>
    </row>
    <row r="825" spans="1:25" x14ac:dyDescent="0.35">
      <c r="A825" t="s">
        <v>5504</v>
      </c>
      <c r="B825" s="1">
        <v>45649</v>
      </c>
      <c r="C825" s="1">
        <v>45651</v>
      </c>
      <c r="D825" t="s">
        <v>946</v>
      </c>
      <c r="E825" t="s">
        <v>5505</v>
      </c>
      <c r="F825" t="s">
        <v>95</v>
      </c>
      <c r="G825" t="s">
        <v>5506</v>
      </c>
      <c r="H825" t="s">
        <v>334</v>
      </c>
      <c r="I825" t="s">
        <v>108</v>
      </c>
      <c r="J825" t="s">
        <v>46</v>
      </c>
      <c r="K825" t="s">
        <v>691</v>
      </c>
      <c r="L825" t="s">
        <v>5507</v>
      </c>
      <c r="M825">
        <v>8</v>
      </c>
      <c r="N825">
        <v>2531</v>
      </c>
      <c r="O825">
        <v>5</v>
      </c>
      <c r="P825">
        <v>19580.599999999999</v>
      </c>
      <c r="Q825">
        <v>19236.439999999999</v>
      </c>
      <c r="R825">
        <v>344.16</v>
      </c>
      <c r="S825" t="s">
        <v>80</v>
      </c>
      <c r="T825" t="s">
        <v>50</v>
      </c>
      <c r="U825" t="s">
        <v>5508</v>
      </c>
      <c r="V825" t="s">
        <v>5509</v>
      </c>
      <c r="W825">
        <v>2</v>
      </c>
      <c r="X825" t="s">
        <v>39</v>
      </c>
      <c r="Y825">
        <v>36</v>
      </c>
    </row>
    <row r="826" spans="1:25" x14ac:dyDescent="0.35">
      <c r="A826" t="s">
        <v>5510</v>
      </c>
      <c r="B826" s="1">
        <v>45589</v>
      </c>
      <c r="C826" s="1">
        <v>45594</v>
      </c>
      <c r="D826" t="s">
        <v>1569</v>
      </c>
      <c r="E826" t="s">
        <v>5511</v>
      </c>
      <c r="F826" t="s">
        <v>57</v>
      </c>
      <c r="G826" t="s">
        <v>5512</v>
      </c>
      <c r="H826" t="s">
        <v>320</v>
      </c>
      <c r="I826" t="s">
        <v>137</v>
      </c>
      <c r="J826" t="s">
        <v>118</v>
      </c>
      <c r="K826" t="s">
        <v>33</v>
      </c>
      <c r="L826" t="s">
        <v>5513</v>
      </c>
      <c r="M826">
        <v>4</v>
      </c>
      <c r="N826">
        <v>2012</v>
      </c>
      <c r="O826">
        <v>10</v>
      </c>
      <c r="P826">
        <v>7588.2</v>
      </c>
      <c r="Q826">
        <v>7244.1</v>
      </c>
      <c r="R826">
        <v>344.1</v>
      </c>
      <c r="S826" t="s">
        <v>49</v>
      </c>
      <c r="T826" t="s">
        <v>50</v>
      </c>
      <c r="U826" t="s">
        <v>5514</v>
      </c>
      <c r="V826" t="s">
        <v>5515</v>
      </c>
      <c r="W826">
        <v>10</v>
      </c>
      <c r="X826" t="s">
        <v>53</v>
      </c>
      <c r="Y826">
        <v>0</v>
      </c>
    </row>
    <row r="827" spans="1:25" x14ac:dyDescent="0.35">
      <c r="A827" t="s">
        <v>5516</v>
      </c>
      <c r="B827" s="1">
        <v>45548</v>
      </c>
      <c r="C827" s="1">
        <v>45551</v>
      </c>
      <c r="D827" t="s">
        <v>3766</v>
      </c>
      <c r="E827" t="s">
        <v>5517</v>
      </c>
      <c r="F827" t="s">
        <v>57</v>
      </c>
      <c r="G827" t="s">
        <v>5518</v>
      </c>
      <c r="H827" t="s">
        <v>44</v>
      </c>
      <c r="I827" t="s">
        <v>45</v>
      </c>
      <c r="J827" t="s">
        <v>46</v>
      </c>
      <c r="K827" t="s">
        <v>970</v>
      </c>
      <c r="L827" t="s">
        <v>5519</v>
      </c>
      <c r="M827">
        <v>5</v>
      </c>
      <c r="N827">
        <v>3632</v>
      </c>
      <c r="O827">
        <v>20</v>
      </c>
      <c r="P827">
        <v>14873</v>
      </c>
      <c r="Q827">
        <v>14528.67</v>
      </c>
      <c r="R827">
        <v>344.33</v>
      </c>
      <c r="S827" t="s">
        <v>49</v>
      </c>
      <c r="T827" t="s">
        <v>36</v>
      </c>
      <c r="U827" t="s">
        <v>5520</v>
      </c>
      <c r="V827" t="s">
        <v>5521</v>
      </c>
      <c r="W827">
        <v>27</v>
      </c>
      <c r="X827" t="s">
        <v>53</v>
      </c>
      <c r="Y827">
        <v>0</v>
      </c>
    </row>
    <row r="828" spans="1:25" x14ac:dyDescent="0.35">
      <c r="A828" t="s">
        <v>5522</v>
      </c>
      <c r="B828" s="1">
        <v>45481</v>
      </c>
      <c r="C828" s="1">
        <v>45484</v>
      </c>
      <c r="D828" t="s">
        <v>5523</v>
      </c>
      <c r="E828" t="s">
        <v>5524</v>
      </c>
      <c r="F828" t="s">
        <v>57</v>
      </c>
      <c r="G828" t="s">
        <v>5525</v>
      </c>
      <c r="H828" t="s">
        <v>59</v>
      </c>
      <c r="I828" t="s">
        <v>31</v>
      </c>
      <c r="J828" t="s">
        <v>118</v>
      </c>
      <c r="K828" t="s">
        <v>400</v>
      </c>
      <c r="L828" t="s">
        <v>5526</v>
      </c>
      <c r="M828">
        <v>2</v>
      </c>
      <c r="N828">
        <v>2188</v>
      </c>
      <c r="O828">
        <v>15</v>
      </c>
      <c r="P828">
        <v>4064.6</v>
      </c>
      <c r="Q828">
        <v>3720.42</v>
      </c>
      <c r="R828">
        <v>344.18</v>
      </c>
      <c r="S828" t="s">
        <v>35</v>
      </c>
      <c r="T828" t="s">
        <v>140</v>
      </c>
      <c r="U828" t="s">
        <v>5527</v>
      </c>
      <c r="V828" t="s">
        <v>5528</v>
      </c>
      <c r="W828">
        <v>40</v>
      </c>
      <c r="X828" t="s">
        <v>53</v>
      </c>
      <c r="Y828">
        <v>0</v>
      </c>
    </row>
    <row r="829" spans="1:25" x14ac:dyDescent="0.35">
      <c r="A829" t="s">
        <v>5529</v>
      </c>
      <c r="B829" s="1">
        <v>45750</v>
      </c>
      <c r="C829" s="1">
        <v>45752</v>
      </c>
      <c r="D829" t="s">
        <v>1447</v>
      </c>
      <c r="E829" t="s">
        <v>5530</v>
      </c>
      <c r="F829" t="s">
        <v>28</v>
      </c>
      <c r="G829" t="s">
        <v>5531</v>
      </c>
      <c r="H829" t="s">
        <v>334</v>
      </c>
      <c r="I829" t="s">
        <v>108</v>
      </c>
      <c r="J829" t="s">
        <v>46</v>
      </c>
      <c r="K829" t="s">
        <v>239</v>
      </c>
      <c r="L829" t="s">
        <v>5532</v>
      </c>
      <c r="M829">
        <v>4</v>
      </c>
      <c r="N829">
        <v>3998</v>
      </c>
      <c r="O829">
        <v>20</v>
      </c>
      <c r="P829">
        <v>13138.6</v>
      </c>
      <c r="Q829">
        <v>12794.44</v>
      </c>
      <c r="R829">
        <v>344.16</v>
      </c>
      <c r="S829" t="s">
        <v>80</v>
      </c>
      <c r="T829" t="s">
        <v>36</v>
      </c>
      <c r="U829" t="s">
        <v>5533</v>
      </c>
      <c r="V829" t="s">
        <v>5534</v>
      </c>
      <c r="W829">
        <v>45</v>
      </c>
      <c r="X829" t="s">
        <v>53</v>
      </c>
      <c r="Y829">
        <v>0</v>
      </c>
    </row>
    <row r="830" spans="1:25" x14ac:dyDescent="0.35">
      <c r="A830" t="s">
        <v>5535</v>
      </c>
      <c r="B830" s="1">
        <v>45710</v>
      </c>
      <c r="C830" s="1">
        <v>45717</v>
      </c>
      <c r="D830" t="s">
        <v>5536</v>
      </c>
      <c r="E830" t="s">
        <v>5537</v>
      </c>
      <c r="F830" t="s">
        <v>28</v>
      </c>
      <c r="G830" t="s">
        <v>5538</v>
      </c>
      <c r="H830" t="s">
        <v>68</v>
      </c>
      <c r="I830" t="s">
        <v>31</v>
      </c>
      <c r="J830" t="s">
        <v>118</v>
      </c>
      <c r="K830" t="s">
        <v>885</v>
      </c>
      <c r="L830" t="s">
        <v>5539</v>
      </c>
      <c r="M830">
        <v>9</v>
      </c>
      <c r="N830">
        <v>1741</v>
      </c>
      <c r="O830">
        <v>20</v>
      </c>
      <c r="P830">
        <v>12880.2</v>
      </c>
      <c r="Q830">
        <v>12535.82</v>
      </c>
      <c r="R830">
        <v>344.38</v>
      </c>
      <c r="S830" t="s">
        <v>100</v>
      </c>
      <c r="T830" t="s">
        <v>50</v>
      </c>
      <c r="U830" t="s">
        <v>5540</v>
      </c>
      <c r="V830" t="s">
        <v>5541</v>
      </c>
      <c r="W830">
        <v>3</v>
      </c>
      <c r="X830" t="s">
        <v>39</v>
      </c>
      <c r="Y830">
        <v>24</v>
      </c>
    </row>
    <row r="831" spans="1:25" x14ac:dyDescent="0.35">
      <c r="A831" t="s">
        <v>5542</v>
      </c>
      <c r="B831" s="1">
        <v>45700</v>
      </c>
      <c r="C831" s="1">
        <v>45705</v>
      </c>
      <c r="D831" t="s">
        <v>3982</v>
      </c>
      <c r="E831" t="s">
        <v>5543</v>
      </c>
      <c r="F831" t="s">
        <v>95</v>
      </c>
      <c r="G831" t="s">
        <v>5544</v>
      </c>
      <c r="H831" t="s">
        <v>59</v>
      </c>
      <c r="I831" t="s">
        <v>31</v>
      </c>
      <c r="J831" t="s">
        <v>32</v>
      </c>
      <c r="K831" t="s">
        <v>87</v>
      </c>
      <c r="L831" t="s">
        <v>5545</v>
      </c>
      <c r="M831">
        <v>3</v>
      </c>
      <c r="N831">
        <v>1147</v>
      </c>
      <c r="O831">
        <v>0</v>
      </c>
      <c r="P831">
        <v>3786</v>
      </c>
      <c r="Q831">
        <v>3441.63</v>
      </c>
      <c r="R831">
        <v>344.37</v>
      </c>
      <c r="S831" t="s">
        <v>100</v>
      </c>
      <c r="T831" t="s">
        <v>89</v>
      </c>
      <c r="U831" t="s">
        <v>5546</v>
      </c>
      <c r="V831" t="s">
        <v>5547</v>
      </c>
      <c r="W831">
        <v>5</v>
      </c>
      <c r="X831" t="s">
        <v>39</v>
      </c>
      <c r="Y831">
        <v>30</v>
      </c>
    </row>
    <row r="832" spans="1:25" x14ac:dyDescent="0.35">
      <c r="A832" t="s">
        <v>5548</v>
      </c>
      <c r="B832" s="1">
        <v>45586</v>
      </c>
      <c r="C832" s="1">
        <v>45588</v>
      </c>
      <c r="D832" t="s">
        <v>4211</v>
      </c>
      <c r="E832" t="s">
        <v>5549</v>
      </c>
      <c r="F832" t="s">
        <v>95</v>
      </c>
      <c r="G832" t="s">
        <v>5550</v>
      </c>
      <c r="H832" t="s">
        <v>30</v>
      </c>
      <c r="I832" t="s">
        <v>31</v>
      </c>
      <c r="J832" t="s">
        <v>32</v>
      </c>
      <c r="K832" t="s">
        <v>691</v>
      </c>
      <c r="L832" t="s">
        <v>5551</v>
      </c>
      <c r="M832">
        <v>9</v>
      </c>
      <c r="N832">
        <v>4121</v>
      </c>
      <c r="O832">
        <v>15</v>
      </c>
      <c r="P832">
        <v>31870.65</v>
      </c>
      <c r="Q832">
        <v>31526.44</v>
      </c>
      <c r="R832">
        <v>344.21</v>
      </c>
      <c r="S832" t="s">
        <v>35</v>
      </c>
      <c r="T832" t="s">
        <v>89</v>
      </c>
      <c r="U832" t="s">
        <v>5552</v>
      </c>
      <c r="V832" t="s">
        <v>5553</v>
      </c>
      <c r="W832">
        <v>44</v>
      </c>
      <c r="X832" t="s">
        <v>53</v>
      </c>
      <c r="Y832">
        <v>0</v>
      </c>
    </row>
    <row r="833" spans="1:25" x14ac:dyDescent="0.35">
      <c r="A833" t="s">
        <v>5554</v>
      </c>
      <c r="B833" s="1">
        <v>45698</v>
      </c>
      <c r="C833" s="1">
        <v>45700</v>
      </c>
      <c r="D833" t="s">
        <v>5555</v>
      </c>
      <c r="E833" t="s">
        <v>5556</v>
      </c>
      <c r="F833" t="s">
        <v>95</v>
      </c>
      <c r="G833" t="s">
        <v>5557</v>
      </c>
      <c r="H833" t="s">
        <v>334</v>
      </c>
      <c r="I833" t="s">
        <v>108</v>
      </c>
      <c r="J833" t="s">
        <v>97</v>
      </c>
      <c r="K833" t="s">
        <v>190</v>
      </c>
      <c r="L833" t="s">
        <v>5558</v>
      </c>
      <c r="M833">
        <v>5</v>
      </c>
      <c r="N833">
        <v>3728</v>
      </c>
      <c r="O833">
        <v>10</v>
      </c>
      <c r="P833">
        <v>17121</v>
      </c>
      <c r="Q833">
        <v>16776.73</v>
      </c>
      <c r="R833">
        <v>344.27</v>
      </c>
      <c r="S833" t="s">
        <v>35</v>
      </c>
      <c r="T833" t="s">
        <v>140</v>
      </c>
      <c r="U833" t="s">
        <v>5559</v>
      </c>
      <c r="V833" t="s">
        <v>5560</v>
      </c>
      <c r="W833">
        <v>41</v>
      </c>
      <c r="X833" t="s">
        <v>53</v>
      </c>
      <c r="Y833">
        <v>0</v>
      </c>
    </row>
    <row r="834" spans="1:25" x14ac:dyDescent="0.35">
      <c r="A834" t="s">
        <v>5561</v>
      </c>
      <c r="B834" s="1">
        <v>45955</v>
      </c>
      <c r="C834" s="1">
        <v>45958</v>
      </c>
      <c r="D834" t="s">
        <v>5562</v>
      </c>
      <c r="E834" t="s">
        <v>5563</v>
      </c>
      <c r="F834" t="s">
        <v>57</v>
      </c>
      <c r="G834" t="s">
        <v>5564</v>
      </c>
      <c r="H834" t="s">
        <v>198</v>
      </c>
      <c r="I834" t="s">
        <v>31</v>
      </c>
      <c r="J834" t="s">
        <v>97</v>
      </c>
      <c r="K834" t="s">
        <v>1898</v>
      </c>
      <c r="L834" t="s">
        <v>5565</v>
      </c>
      <c r="M834">
        <v>10</v>
      </c>
      <c r="N834">
        <v>392</v>
      </c>
      <c r="O834">
        <v>10</v>
      </c>
      <c r="P834">
        <v>3873</v>
      </c>
      <c r="Q834">
        <v>3528.71</v>
      </c>
      <c r="R834">
        <v>344.29</v>
      </c>
      <c r="S834" t="s">
        <v>49</v>
      </c>
      <c r="T834" t="s">
        <v>36</v>
      </c>
      <c r="U834" t="s">
        <v>5566</v>
      </c>
      <c r="V834" t="s">
        <v>5567</v>
      </c>
      <c r="W834">
        <v>14</v>
      </c>
      <c r="X834" t="s">
        <v>53</v>
      </c>
      <c r="Y834">
        <v>0</v>
      </c>
    </row>
    <row r="835" spans="1:25" x14ac:dyDescent="0.35">
      <c r="A835" t="s">
        <v>5568</v>
      </c>
      <c r="B835" s="1">
        <v>45498</v>
      </c>
      <c r="C835" s="1">
        <v>45500</v>
      </c>
      <c r="D835" t="s">
        <v>5569</v>
      </c>
      <c r="E835" t="s">
        <v>5570</v>
      </c>
      <c r="F835" t="s">
        <v>95</v>
      </c>
      <c r="G835" t="s">
        <v>5571</v>
      </c>
      <c r="H835" t="s">
        <v>77</v>
      </c>
      <c r="I835" t="s">
        <v>45</v>
      </c>
      <c r="J835" t="s">
        <v>32</v>
      </c>
      <c r="K835" t="s">
        <v>992</v>
      </c>
      <c r="L835" t="s">
        <v>5572</v>
      </c>
      <c r="M835">
        <v>10</v>
      </c>
      <c r="N835">
        <v>162</v>
      </c>
      <c r="O835">
        <v>5</v>
      </c>
      <c r="P835">
        <v>1884</v>
      </c>
      <c r="Q835">
        <v>1539.71</v>
      </c>
      <c r="R835">
        <v>344.29</v>
      </c>
      <c r="S835" t="s">
        <v>80</v>
      </c>
      <c r="T835" t="s">
        <v>36</v>
      </c>
      <c r="U835" t="s">
        <v>5573</v>
      </c>
      <c r="V835" t="s">
        <v>5574</v>
      </c>
      <c r="W835">
        <v>24</v>
      </c>
      <c r="X835" t="s">
        <v>53</v>
      </c>
      <c r="Y835">
        <v>0</v>
      </c>
    </row>
    <row r="836" spans="1:25" x14ac:dyDescent="0.35">
      <c r="A836" t="s">
        <v>5575</v>
      </c>
      <c r="B836" s="1">
        <v>45426</v>
      </c>
      <c r="C836" s="1">
        <v>45427</v>
      </c>
      <c r="D836" t="s">
        <v>3652</v>
      </c>
      <c r="E836" t="s">
        <v>5576</v>
      </c>
      <c r="F836" t="s">
        <v>57</v>
      </c>
      <c r="G836" t="s">
        <v>5577</v>
      </c>
      <c r="H836" t="s">
        <v>154</v>
      </c>
      <c r="I836" t="s">
        <v>137</v>
      </c>
      <c r="J836" t="s">
        <v>97</v>
      </c>
      <c r="K836" t="s">
        <v>119</v>
      </c>
      <c r="L836" t="s">
        <v>5578</v>
      </c>
      <c r="M836">
        <v>2</v>
      </c>
      <c r="N836">
        <v>4834</v>
      </c>
      <c r="O836">
        <v>15</v>
      </c>
      <c r="P836">
        <v>8562.7999999999993</v>
      </c>
      <c r="Q836">
        <v>8218.65</v>
      </c>
      <c r="R836">
        <v>344.15</v>
      </c>
      <c r="S836" t="s">
        <v>35</v>
      </c>
      <c r="T836" t="s">
        <v>50</v>
      </c>
      <c r="U836" t="s">
        <v>5579</v>
      </c>
      <c r="V836" t="s">
        <v>5580</v>
      </c>
      <c r="W836">
        <v>0</v>
      </c>
      <c r="X836" t="s">
        <v>39</v>
      </c>
      <c r="Y836">
        <v>39</v>
      </c>
    </row>
    <row r="837" spans="1:25" x14ac:dyDescent="0.35">
      <c r="A837" t="s">
        <v>5581</v>
      </c>
      <c r="B837" s="1">
        <v>45650</v>
      </c>
      <c r="C837" s="1">
        <v>45655</v>
      </c>
      <c r="D837" t="s">
        <v>5582</v>
      </c>
      <c r="E837" t="s">
        <v>5583</v>
      </c>
      <c r="F837" t="s">
        <v>57</v>
      </c>
      <c r="G837" t="s">
        <v>5584</v>
      </c>
      <c r="H837" t="s">
        <v>198</v>
      </c>
      <c r="I837" t="s">
        <v>31</v>
      </c>
      <c r="J837" t="s">
        <v>118</v>
      </c>
      <c r="K837" t="s">
        <v>109</v>
      </c>
      <c r="L837" t="s">
        <v>5585</v>
      </c>
      <c r="M837">
        <v>10</v>
      </c>
      <c r="N837">
        <v>1066</v>
      </c>
      <c r="O837">
        <v>20</v>
      </c>
      <c r="P837">
        <v>8873</v>
      </c>
      <c r="Q837">
        <v>8528.83</v>
      </c>
      <c r="R837">
        <v>344.17</v>
      </c>
      <c r="S837" t="s">
        <v>80</v>
      </c>
      <c r="T837" t="s">
        <v>50</v>
      </c>
      <c r="U837" t="s">
        <v>5586</v>
      </c>
      <c r="V837" t="s">
        <v>5587</v>
      </c>
      <c r="W837">
        <v>41</v>
      </c>
      <c r="X837" t="s">
        <v>53</v>
      </c>
      <c r="Y837">
        <v>0</v>
      </c>
    </row>
    <row r="838" spans="1:25" x14ac:dyDescent="0.35">
      <c r="A838" t="s">
        <v>5588</v>
      </c>
      <c r="B838" s="1">
        <v>45960</v>
      </c>
      <c r="C838" s="1">
        <v>45964</v>
      </c>
      <c r="D838" t="s">
        <v>2965</v>
      </c>
      <c r="E838" t="s">
        <v>5589</v>
      </c>
      <c r="F838" t="s">
        <v>57</v>
      </c>
      <c r="G838" t="s">
        <v>5590</v>
      </c>
      <c r="H838" t="s">
        <v>189</v>
      </c>
      <c r="I838" t="s">
        <v>108</v>
      </c>
      <c r="J838" t="s">
        <v>32</v>
      </c>
      <c r="K838" t="s">
        <v>87</v>
      </c>
      <c r="L838" t="s">
        <v>729</v>
      </c>
      <c r="M838">
        <v>6</v>
      </c>
      <c r="N838">
        <v>931</v>
      </c>
      <c r="O838">
        <v>15</v>
      </c>
      <c r="P838">
        <v>5093.1000000000004</v>
      </c>
      <c r="Q838">
        <v>4748.92</v>
      </c>
      <c r="R838">
        <v>344.18</v>
      </c>
      <c r="S838" t="s">
        <v>49</v>
      </c>
      <c r="T838" t="s">
        <v>36</v>
      </c>
      <c r="U838" t="s">
        <v>5591</v>
      </c>
      <c r="V838" t="s">
        <v>5592</v>
      </c>
      <c r="W838">
        <v>12</v>
      </c>
      <c r="X838" t="s">
        <v>53</v>
      </c>
      <c r="Y838">
        <v>0</v>
      </c>
    </row>
    <row r="839" spans="1:25" x14ac:dyDescent="0.35">
      <c r="A839" t="s">
        <v>5593</v>
      </c>
      <c r="B839" s="1">
        <v>45896</v>
      </c>
      <c r="C839" s="1">
        <v>45897</v>
      </c>
      <c r="D839" t="s">
        <v>5594</v>
      </c>
      <c r="E839" t="s">
        <v>5595</v>
      </c>
      <c r="F839" t="s">
        <v>28</v>
      </c>
      <c r="G839" t="s">
        <v>5596</v>
      </c>
      <c r="H839" t="s">
        <v>44</v>
      </c>
      <c r="I839" t="s">
        <v>45</v>
      </c>
      <c r="J839" t="s">
        <v>32</v>
      </c>
      <c r="K839" t="s">
        <v>662</v>
      </c>
      <c r="L839" t="s">
        <v>5597</v>
      </c>
      <c r="M839">
        <v>10</v>
      </c>
      <c r="N839">
        <v>2892</v>
      </c>
      <c r="O839">
        <v>20</v>
      </c>
      <c r="P839">
        <v>23481</v>
      </c>
      <c r="Q839">
        <v>23136.66</v>
      </c>
      <c r="R839">
        <v>344.34</v>
      </c>
      <c r="S839" t="s">
        <v>35</v>
      </c>
      <c r="T839" t="s">
        <v>36</v>
      </c>
      <c r="U839" t="s">
        <v>5598</v>
      </c>
      <c r="V839" t="s">
        <v>5599</v>
      </c>
      <c r="W839">
        <v>18</v>
      </c>
      <c r="X839" t="s">
        <v>53</v>
      </c>
      <c r="Y839">
        <v>0</v>
      </c>
    </row>
    <row r="840" spans="1:25" x14ac:dyDescent="0.35">
      <c r="A840" t="s">
        <v>5600</v>
      </c>
      <c r="B840" s="1">
        <v>45491</v>
      </c>
      <c r="C840" s="1">
        <v>45498</v>
      </c>
      <c r="D840" t="s">
        <v>1474</v>
      </c>
      <c r="E840" t="s">
        <v>5601</v>
      </c>
      <c r="F840" t="s">
        <v>28</v>
      </c>
      <c r="G840" t="s">
        <v>5602</v>
      </c>
      <c r="H840" t="s">
        <v>136</v>
      </c>
      <c r="I840" t="s">
        <v>137</v>
      </c>
      <c r="J840" t="s">
        <v>118</v>
      </c>
      <c r="K840" t="s">
        <v>199</v>
      </c>
      <c r="L840" t="s">
        <v>5603</v>
      </c>
      <c r="M840">
        <v>10</v>
      </c>
      <c r="N840">
        <v>1990</v>
      </c>
      <c r="O840">
        <v>5</v>
      </c>
      <c r="P840">
        <v>19250</v>
      </c>
      <c r="Q840">
        <v>18905.650000000001</v>
      </c>
      <c r="R840">
        <v>344.35</v>
      </c>
      <c r="S840" t="s">
        <v>49</v>
      </c>
      <c r="T840" t="s">
        <v>89</v>
      </c>
      <c r="U840" t="s">
        <v>5604</v>
      </c>
      <c r="V840" t="s">
        <v>5605</v>
      </c>
      <c r="W840">
        <v>43</v>
      </c>
      <c r="X840" t="s">
        <v>53</v>
      </c>
      <c r="Y840">
        <v>0</v>
      </c>
    </row>
    <row r="841" spans="1:25" x14ac:dyDescent="0.35">
      <c r="A841" t="s">
        <v>5606</v>
      </c>
      <c r="B841" s="1">
        <v>45929</v>
      </c>
      <c r="C841" s="1">
        <v>45936</v>
      </c>
      <c r="D841" t="s">
        <v>5006</v>
      </c>
      <c r="E841" t="s">
        <v>5607</v>
      </c>
      <c r="F841" t="s">
        <v>95</v>
      </c>
      <c r="G841" t="s">
        <v>4948</v>
      </c>
      <c r="H841" t="s">
        <v>198</v>
      </c>
      <c r="I841" t="s">
        <v>31</v>
      </c>
      <c r="J841" t="s">
        <v>118</v>
      </c>
      <c r="K841" t="s">
        <v>430</v>
      </c>
      <c r="L841" t="s">
        <v>5608</v>
      </c>
      <c r="M841">
        <v>9</v>
      </c>
      <c r="N841">
        <v>2672</v>
      </c>
      <c r="O841">
        <v>10</v>
      </c>
      <c r="P841">
        <v>21988.2</v>
      </c>
      <c r="Q841">
        <v>21644.05</v>
      </c>
      <c r="R841">
        <v>344.15</v>
      </c>
      <c r="S841" t="s">
        <v>35</v>
      </c>
      <c r="T841" t="s">
        <v>140</v>
      </c>
      <c r="U841" t="s">
        <v>5609</v>
      </c>
      <c r="V841" t="s">
        <v>5610</v>
      </c>
      <c r="W841">
        <v>39</v>
      </c>
      <c r="X841" t="s">
        <v>53</v>
      </c>
      <c r="Y841">
        <v>0</v>
      </c>
    </row>
    <row r="842" spans="1:25" x14ac:dyDescent="0.35">
      <c r="A842" t="s">
        <v>5611</v>
      </c>
      <c r="B842" s="1">
        <v>45377</v>
      </c>
      <c r="C842" s="1">
        <v>45382</v>
      </c>
      <c r="D842" t="s">
        <v>5612</v>
      </c>
      <c r="E842" t="s">
        <v>5613</v>
      </c>
      <c r="F842" t="s">
        <v>95</v>
      </c>
      <c r="G842" t="s">
        <v>5614</v>
      </c>
      <c r="H842" t="s">
        <v>30</v>
      </c>
      <c r="I842" t="s">
        <v>31</v>
      </c>
      <c r="J842" t="s">
        <v>118</v>
      </c>
      <c r="K842" t="s">
        <v>482</v>
      </c>
      <c r="L842" t="s">
        <v>5615</v>
      </c>
      <c r="M842">
        <v>7</v>
      </c>
      <c r="N842">
        <v>3426</v>
      </c>
      <c r="O842">
        <v>15</v>
      </c>
      <c r="P842">
        <v>20729.7</v>
      </c>
      <c r="Q842">
        <v>20385.439999999999</v>
      </c>
      <c r="R842">
        <v>344.26</v>
      </c>
      <c r="S842" t="s">
        <v>80</v>
      </c>
      <c r="T842" t="s">
        <v>50</v>
      </c>
      <c r="U842" t="s">
        <v>5616</v>
      </c>
      <c r="V842" t="s">
        <v>5617</v>
      </c>
      <c r="W842">
        <v>18</v>
      </c>
      <c r="X842" t="s">
        <v>53</v>
      </c>
      <c r="Y842">
        <v>0</v>
      </c>
    </row>
    <row r="843" spans="1:25" x14ac:dyDescent="0.35">
      <c r="A843" t="s">
        <v>5618</v>
      </c>
      <c r="B843" s="1">
        <v>45534</v>
      </c>
      <c r="C843" s="1">
        <v>45536</v>
      </c>
      <c r="D843" t="s">
        <v>2845</v>
      </c>
      <c r="E843" t="s">
        <v>5619</v>
      </c>
      <c r="F843" t="s">
        <v>57</v>
      </c>
      <c r="G843" t="s">
        <v>5620</v>
      </c>
      <c r="H843" t="s">
        <v>320</v>
      </c>
      <c r="I843" t="s">
        <v>137</v>
      </c>
      <c r="J843" t="s">
        <v>97</v>
      </c>
      <c r="K843" t="s">
        <v>155</v>
      </c>
      <c r="L843" t="s">
        <v>4591</v>
      </c>
      <c r="M843">
        <v>8</v>
      </c>
      <c r="N843">
        <v>346</v>
      </c>
      <c r="O843">
        <v>0</v>
      </c>
      <c r="P843">
        <v>3113</v>
      </c>
      <c r="Q843">
        <v>2768.85</v>
      </c>
      <c r="R843">
        <v>344.15</v>
      </c>
      <c r="S843" t="s">
        <v>100</v>
      </c>
      <c r="T843" t="s">
        <v>89</v>
      </c>
      <c r="U843" t="s">
        <v>5621</v>
      </c>
      <c r="V843" t="s">
        <v>5622</v>
      </c>
      <c r="W843">
        <v>10</v>
      </c>
      <c r="X843" t="s">
        <v>53</v>
      </c>
      <c r="Y843">
        <v>0</v>
      </c>
    </row>
    <row r="844" spans="1:25" x14ac:dyDescent="0.35">
      <c r="A844" t="s">
        <v>5623</v>
      </c>
      <c r="B844" s="1">
        <v>45673</v>
      </c>
      <c r="C844" s="1">
        <v>45677</v>
      </c>
      <c r="D844" t="s">
        <v>4376</v>
      </c>
      <c r="E844" t="s">
        <v>5624</v>
      </c>
      <c r="F844" t="s">
        <v>57</v>
      </c>
      <c r="G844" t="s">
        <v>5625</v>
      </c>
      <c r="H844" t="s">
        <v>206</v>
      </c>
      <c r="I844" t="s">
        <v>31</v>
      </c>
      <c r="J844" t="s">
        <v>32</v>
      </c>
      <c r="K844" t="s">
        <v>349</v>
      </c>
      <c r="L844" t="s">
        <v>5626</v>
      </c>
      <c r="M844">
        <v>2</v>
      </c>
      <c r="N844">
        <v>4378</v>
      </c>
      <c r="O844">
        <v>0</v>
      </c>
      <c r="P844">
        <v>9101</v>
      </c>
      <c r="Q844">
        <v>8756.8700000000008</v>
      </c>
      <c r="R844">
        <v>344.13</v>
      </c>
      <c r="S844" t="s">
        <v>100</v>
      </c>
      <c r="T844" t="s">
        <v>36</v>
      </c>
      <c r="U844" t="s">
        <v>5627</v>
      </c>
      <c r="V844" t="s">
        <v>5628</v>
      </c>
      <c r="W844">
        <v>28</v>
      </c>
      <c r="X844" t="s">
        <v>53</v>
      </c>
      <c r="Y844">
        <v>0</v>
      </c>
    </row>
    <row r="845" spans="1:25" x14ac:dyDescent="0.35">
      <c r="A845" t="s">
        <v>5629</v>
      </c>
      <c r="B845" s="1">
        <v>45537</v>
      </c>
      <c r="C845" s="1">
        <v>45539</v>
      </c>
      <c r="D845" t="s">
        <v>5456</v>
      </c>
      <c r="E845" t="s">
        <v>5630</v>
      </c>
      <c r="F845" t="s">
        <v>57</v>
      </c>
      <c r="G845" t="s">
        <v>5631</v>
      </c>
      <c r="H845" t="s">
        <v>334</v>
      </c>
      <c r="I845" t="s">
        <v>108</v>
      </c>
      <c r="J845" t="s">
        <v>118</v>
      </c>
      <c r="K845" t="s">
        <v>662</v>
      </c>
      <c r="L845" t="s">
        <v>5632</v>
      </c>
      <c r="M845">
        <v>6</v>
      </c>
      <c r="N845">
        <v>4638</v>
      </c>
      <c r="O845">
        <v>10</v>
      </c>
      <c r="P845">
        <v>25390.2</v>
      </c>
      <c r="Q845">
        <v>25045.99</v>
      </c>
      <c r="R845">
        <v>344.21</v>
      </c>
      <c r="S845" t="s">
        <v>80</v>
      </c>
      <c r="T845" t="s">
        <v>36</v>
      </c>
      <c r="U845" t="s">
        <v>5633</v>
      </c>
      <c r="V845" t="s">
        <v>5634</v>
      </c>
      <c r="W845">
        <v>50</v>
      </c>
      <c r="X845" t="s">
        <v>53</v>
      </c>
      <c r="Y845">
        <v>0</v>
      </c>
    </row>
    <row r="846" spans="1:25" x14ac:dyDescent="0.35">
      <c r="A846" t="s">
        <v>5635</v>
      </c>
      <c r="B846" s="1">
        <v>45489</v>
      </c>
      <c r="C846" s="1">
        <v>45492</v>
      </c>
      <c r="D846" t="s">
        <v>5636</v>
      </c>
      <c r="E846" t="s">
        <v>5637</v>
      </c>
      <c r="F846" t="s">
        <v>28</v>
      </c>
      <c r="G846" t="s">
        <v>5638</v>
      </c>
      <c r="H846" t="s">
        <v>107</v>
      </c>
      <c r="I846" t="s">
        <v>108</v>
      </c>
      <c r="J846" t="s">
        <v>118</v>
      </c>
      <c r="K846" t="s">
        <v>562</v>
      </c>
      <c r="L846" t="s">
        <v>5639</v>
      </c>
      <c r="M846">
        <v>10</v>
      </c>
      <c r="N846">
        <v>884</v>
      </c>
      <c r="O846">
        <v>10</v>
      </c>
      <c r="P846">
        <v>8301</v>
      </c>
      <c r="Q846">
        <v>7956.84</v>
      </c>
      <c r="R846">
        <v>344.16</v>
      </c>
      <c r="S846" t="s">
        <v>35</v>
      </c>
      <c r="T846" t="s">
        <v>50</v>
      </c>
      <c r="U846" t="s">
        <v>5640</v>
      </c>
      <c r="V846" t="s">
        <v>5641</v>
      </c>
      <c r="W846">
        <v>22</v>
      </c>
      <c r="X846" t="s">
        <v>53</v>
      </c>
      <c r="Y846">
        <v>0</v>
      </c>
    </row>
    <row r="847" spans="1:25" x14ac:dyDescent="0.35">
      <c r="A847" t="s">
        <v>5642</v>
      </c>
      <c r="B847" s="1">
        <v>45640</v>
      </c>
      <c r="C847" s="1">
        <v>45642</v>
      </c>
      <c r="D847" t="s">
        <v>1301</v>
      </c>
      <c r="E847" t="s">
        <v>5643</v>
      </c>
      <c r="F847" t="s">
        <v>95</v>
      </c>
      <c r="G847" t="s">
        <v>5644</v>
      </c>
      <c r="H847" t="s">
        <v>77</v>
      </c>
      <c r="I847" t="s">
        <v>45</v>
      </c>
      <c r="J847" t="s">
        <v>97</v>
      </c>
      <c r="K847" t="s">
        <v>992</v>
      </c>
      <c r="L847" t="s">
        <v>5645</v>
      </c>
      <c r="M847">
        <v>4</v>
      </c>
      <c r="N847">
        <v>2878</v>
      </c>
      <c r="O847">
        <v>0</v>
      </c>
      <c r="P847">
        <v>11857</v>
      </c>
      <c r="Q847">
        <v>11512.67</v>
      </c>
      <c r="R847">
        <v>344.33</v>
      </c>
      <c r="S847" t="s">
        <v>80</v>
      </c>
      <c r="T847" t="s">
        <v>36</v>
      </c>
      <c r="U847" t="s">
        <v>5646</v>
      </c>
      <c r="V847" t="s">
        <v>5647</v>
      </c>
      <c r="W847">
        <v>12</v>
      </c>
      <c r="X847" t="s">
        <v>53</v>
      </c>
      <c r="Y847">
        <v>0</v>
      </c>
    </row>
    <row r="848" spans="1:25" x14ac:dyDescent="0.35">
      <c r="A848" t="s">
        <v>5648</v>
      </c>
      <c r="B848" s="1">
        <v>45537</v>
      </c>
      <c r="C848" s="1">
        <v>45538</v>
      </c>
      <c r="D848" t="s">
        <v>1050</v>
      </c>
      <c r="E848" t="s">
        <v>5649</v>
      </c>
      <c r="F848" t="s">
        <v>28</v>
      </c>
      <c r="G848" t="s">
        <v>5650</v>
      </c>
      <c r="H848" t="s">
        <v>68</v>
      </c>
      <c r="I848" t="s">
        <v>31</v>
      </c>
      <c r="J848" t="s">
        <v>32</v>
      </c>
      <c r="K848" t="s">
        <v>482</v>
      </c>
      <c r="L848" t="s">
        <v>5651</v>
      </c>
      <c r="M848">
        <v>10</v>
      </c>
      <c r="N848">
        <v>2498</v>
      </c>
      <c r="O848">
        <v>0</v>
      </c>
      <c r="P848">
        <v>25325</v>
      </c>
      <c r="Q848">
        <v>24980.83</v>
      </c>
      <c r="R848">
        <v>344.17</v>
      </c>
      <c r="S848" t="s">
        <v>49</v>
      </c>
      <c r="T848" t="s">
        <v>36</v>
      </c>
      <c r="U848" t="s">
        <v>5652</v>
      </c>
      <c r="V848" t="s">
        <v>5653</v>
      </c>
      <c r="W848">
        <v>40</v>
      </c>
      <c r="X848" t="s">
        <v>53</v>
      </c>
      <c r="Y848">
        <v>0</v>
      </c>
    </row>
    <row r="849" spans="1:25" x14ac:dyDescent="0.35">
      <c r="A849" t="s">
        <v>5654</v>
      </c>
      <c r="B849" s="1">
        <v>45438</v>
      </c>
      <c r="C849" s="1">
        <v>45442</v>
      </c>
      <c r="D849" t="s">
        <v>5352</v>
      </c>
      <c r="E849" t="s">
        <v>5655</v>
      </c>
      <c r="F849" t="s">
        <v>95</v>
      </c>
      <c r="G849" t="s">
        <v>5656</v>
      </c>
      <c r="H849" t="s">
        <v>283</v>
      </c>
      <c r="I849" t="s">
        <v>45</v>
      </c>
      <c r="J849" t="s">
        <v>118</v>
      </c>
      <c r="K849" t="s">
        <v>927</v>
      </c>
      <c r="L849" t="s">
        <v>5657</v>
      </c>
      <c r="M849">
        <v>8</v>
      </c>
      <c r="N849">
        <v>995</v>
      </c>
      <c r="O849">
        <v>10</v>
      </c>
      <c r="P849">
        <v>7509</v>
      </c>
      <c r="Q849">
        <v>7164.73</v>
      </c>
      <c r="R849">
        <v>344.27</v>
      </c>
      <c r="S849" t="s">
        <v>49</v>
      </c>
      <c r="T849" t="s">
        <v>89</v>
      </c>
      <c r="U849" t="s">
        <v>5658</v>
      </c>
      <c r="V849" t="s">
        <v>5659</v>
      </c>
      <c r="W849">
        <v>45</v>
      </c>
      <c r="X849" t="s">
        <v>53</v>
      </c>
      <c r="Y849">
        <v>0</v>
      </c>
    </row>
    <row r="850" spans="1:25" x14ac:dyDescent="0.35">
      <c r="A850" t="s">
        <v>5660</v>
      </c>
      <c r="B850" s="1">
        <v>45450</v>
      </c>
      <c r="C850" s="1">
        <v>45451</v>
      </c>
      <c r="D850" t="s">
        <v>5661</v>
      </c>
      <c r="E850" t="s">
        <v>5662</v>
      </c>
      <c r="F850" t="s">
        <v>28</v>
      </c>
      <c r="G850" t="s">
        <v>5663</v>
      </c>
      <c r="H850" t="s">
        <v>364</v>
      </c>
      <c r="I850" t="s">
        <v>137</v>
      </c>
      <c r="J850" t="s">
        <v>46</v>
      </c>
      <c r="K850" t="s">
        <v>706</v>
      </c>
      <c r="L850" t="s">
        <v>5664</v>
      </c>
      <c r="M850">
        <v>10</v>
      </c>
      <c r="N850">
        <v>4680</v>
      </c>
      <c r="O850">
        <v>5</v>
      </c>
      <c r="P850">
        <v>44805</v>
      </c>
      <c r="Q850">
        <v>44460.61</v>
      </c>
      <c r="R850">
        <v>344.39</v>
      </c>
      <c r="S850" t="s">
        <v>49</v>
      </c>
      <c r="T850" t="s">
        <v>89</v>
      </c>
      <c r="U850" t="s">
        <v>5665</v>
      </c>
      <c r="V850" t="s">
        <v>5666</v>
      </c>
      <c r="W850">
        <v>29</v>
      </c>
      <c r="X850" t="s">
        <v>53</v>
      </c>
      <c r="Y850">
        <v>0</v>
      </c>
    </row>
    <row r="851" spans="1:25" x14ac:dyDescent="0.35">
      <c r="A851" t="s">
        <v>5667</v>
      </c>
      <c r="B851" s="1">
        <v>45501</v>
      </c>
      <c r="C851" s="1">
        <v>45508</v>
      </c>
      <c r="D851" t="s">
        <v>1536</v>
      </c>
      <c r="E851" t="s">
        <v>5668</v>
      </c>
      <c r="F851" t="s">
        <v>57</v>
      </c>
      <c r="G851" t="s">
        <v>4468</v>
      </c>
      <c r="H851" t="s">
        <v>107</v>
      </c>
      <c r="I851" t="s">
        <v>108</v>
      </c>
      <c r="J851" t="s">
        <v>32</v>
      </c>
      <c r="K851" t="s">
        <v>128</v>
      </c>
      <c r="L851" t="s">
        <v>5669</v>
      </c>
      <c r="M851">
        <v>9</v>
      </c>
      <c r="N851">
        <v>4590</v>
      </c>
      <c r="O851">
        <v>10</v>
      </c>
      <c r="P851">
        <v>37524</v>
      </c>
      <c r="Q851">
        <v>37179.61</v>
      </c>
      <c r="R851">
        <v>344.39</v>
      </c>
      <c r="S851" t="s">
        <v>100</v>
      </c>
      <c r="T851" t="s">
        <v>36</v>
      </c>
      <c r="U851" t="s">
        <v>5670</v>
      </c>
      <c r="V851" t="s">
        <v>5671</v>
      </c>
      <c r="W851">
        <v>48</v>
      </c>
      <c r="X851" t="s">
        <v>53</v>
      </c>
      <c r="Y851">
        <v>0</v>
      </c>
    </row>
    <row r="852" spans="1:25" x14ac:dyDescent="0.35">
      <c r="A852" t="s">
        <v>5672</v>
      </c>
      <c r="B852" s="1">
        <v>45320</v>
      </c>
      <c r="C852" s="1">
        <v>45321</v>
      </c>
      <c r="D852" t="s">
        <v>1329</v>
      </c>
      <c r="E852" t="s">
        <v>5673</v>
      </c>
      <c r="F852" t="s">
        <v>95</v>
      </c>
      <c r="G852" t="s">
        <v>5674</v>
      </c>
      <c r="H852" t="s">
        <v>364</v>
      </c>
      <c r="I852" t="s">
        <v>137</v>
      </c>
      <c r="J852" t="s">
        <v>118</v>
      </c>
      <c r="K852" t="s">
        <v>69</v>
      </c>
      <c r="L852" t="s">
        <v>5675</v>
      </c>
      <c r="M852">
        <v>2</v>
      </c>
      <c r="N852">
        <v>1633</v>
      </c>
      <c r="O852">
        <v>15</v>
      </c>
      <c r="P852">
        <v>3121.1</v>
      </c>
      <c r="Q852">
        <v>2776.89</v>
      </c>
      <c r="R852">
        <v>344.21</v>
      </c>
      <c r="S852" t="s">
        <v>80</v>
      </c>
      <c r="T852" t="s">
        <v>89</v>
      </c>
      <c r="U852" t="s">
        <v>5676</v>
      </c>
      <c r="V852" t="s">
        <v>5677</v>
      </c>
      <c r="W852">
        <v>44</v>
      </c>
      <c r="X852" t="s">
        <v>53</v>
      </c>
      <c r="Y852">
        <v>0</v>
      </c>
    </row>
    <row r="853" spans="1:25" x14ac:dyDescent="0.35">
      <c r="A853" t="s">
        <v>5678</v>
      </c>
      <c r="B853" s="1">
        <v>45409</v>
      </c>
      <c r="C853" s="1">
        <v>45413</v>
      </c>
      <c r="D853" t="s">
        <v>5285</v>
      </c>
      <c r="E853" t="s">
        <v>362</v>
      </c>
      <c r="F853" t="s">
        <v>57</v>
      </c>
      <c r="G853" t="s">
        <v>5679</v>
      </c>
      <c r="H853" t="s">
        <v>198</v>
      </c>
      <c r="I853" t="s">
        <v>31</v>
      </c>
      <c r="J853" t="s">
        <v>97</v>
      </c>
      <c r="K853" t="s">
        <v>128</v>
      </c>
      <c r="L853" t="s">
        <v>5680</v>
      </c>
      <c r="M853">
        <v>4</v>
      </c>
      <c r="N853">
        <v>858</v>
      </c>
      <c r="O853">
        <v>20</v>
      </c>
      <c r="P853">
        <v>3090.6</v>
      </c>
      <c r="Q853">
        <v>2746.35</v>
      </c>
      <c r="R853">
        <v>344.25</v>
      </c>
      <c r="S853" t="s">
        <v>80</v>
      </c>
      <c r="T853" t="s">
        <v>140</v>
      </c>
      <c r="U853" t="s">
        <v>5681</v>
      </c>
      <c r="V853" t="s">
        <v>5682</v>
      </c>
      <c r="W853">
        <v>42</v>
      </c>
      <c r="X853" t="s">
        <v>53</v>
      </c>
      <c r="Y853">
        <v>0</v>
      </c>
    </row>
    <row r="854" spans="1:25" x14ac:dyDescent="0.35">
      <c r="A854" t="s">
        <v>5683</v>
      </c>
      <c r="B854" s="1">
        <v>45849</v>
      </c>
      <c r="C854" s="1">
        <v>45852</v>
      </c>
      <c r="D854" t="s">
        <v>3456</v>
      </c>
      <c r="E854" t="s">
        <v>5684</v>
      </c>
      <c r="F854" t="s">
        <v>28</v>
      </c>
      <c r="G854" t="s">
        <v>5685</v>
      </c>
      <c r="H854" t="s">
        <v>30</v>
      </c>
      <c r="I854" t="s">
        <v>31</v>
      </c>
      <c r="J854" t="s">
        <v>118</v>
      </c>
      <c r="K854" t="s">
        <v>662</v>
      </c>
      <c r="L854" t="s">
        <v>5686</v>
      </c>
      <c r="M854">
        <v>10</v>
      </c>
      <c r="N854">
        <v>802</v>
      </c>
      <c r="O854">
        <v>10</v>
      </c>
      <c r="P854">
        <v>7563</v>
      </c>
      <c r="Q854">
        <v>7218.62</v>
      </c>
      <c r="R854">
        <v>344.38</v>
      </c>
      <c r="S854" t="s">
        <v>100</v>
      </c>
      <c r="T854" t="s">
        <v>36</v>
      </c>
      <c r="U854" t="s">
        <v>5687</v>
      </c>
      <c r="V854" t="s">
        <v>5688</v>
      </c>
      <c r="W854">
        <v>41</v>
      </c>
      <c r="X854" t="s">
        <v>53</v>
      </c>
      <c r="Y854">
        <v>0</v>
      </c>
    </row>
    <row r="855" spans="1:25" x14ac:dyDescent="0.35">
      <c r="A855" t="s">
        <v>5689</v>
      </c>
      <c r="B855" s="1">
        <v>45447</v>
      </c>
      <c r="C855" s="1">
        <v>45452</v>
      </c>
      <c r="D855" t="s">
        <v>5690</v>
      </c>
      <c r="E855" t="s">
        <v>5691</v>
      </c>
      <c r="F855" t="s">
        <v>95</v>
      </c>
      <c r="G855" t="s">
        <v>5692</v>
      </c>
      <c r="H855" t="s">
        <v>334</v>
      </c>
      <c r="I855" t="s">
        <v>108</v>
      </c>
      <c r="J855" t="s">
        <v>118</v>
      </c>
      <c r="K855" t="s">
        <v>349</v>
      </c>
      <c r="L855" t="s">
        <v>5693</v>
      </c>
      <c r="M855">
        <v>4</v>
      </c>
      <c r="N855">
        <v>606</v>
      </c>
      <c r="O855">
        <v>0</v>
      </c>
      <c r="P855">
        <v>2769</v>
      </c>
      <c r="Q855">
        <v>2424.86</v>
      </c>
      <c r="R855">
        <v>344.14</v>
      </c>
      <c r="S855" t="s">
        <v>80</v>
      </c>
      <c r="T855" t="s">
        <v>36</v>
      </c>
      <c r="U855" t="s">
        <v>5694</v>
      </c>
      <c r="V855" t="s">
        <v>5695</v>
      </c>
      <c r="W855">
        <v>33</v>
      </c>
      <c r="X855" t="s">
        <v>53</v>
      </c>
      <c r="Y855">
        <v>0</v>
      </c>
    </row>
    <row r="856" spans="1:25" x14ac:dyDescent="0.35">
      <c r="A856" t="s">
        <v>5696</v>
      </c>
      <c r="B856" s="1">
        <v>45355</v>
      </c>
      <c r="C856" s="1">
        <v>45358</v>
      </c>
      <c r="D856" t="s">
        <v>5697</v>
      </c>
      <c r="E856" t="s">
        <v>5698</v>
      </c>
      <c r="F856" t="s">
        <v>95</v>
      </c>
      <c r="G856" t="s">
        <v>5699</v>
      </c>
      <c r="H856" t="s">
        <v>189</v>
      </c>
      <c r="I856" t="s">
        <v>108</v>
      </c>
      <c r="J856" t="s">
        <v>118</v>
      </c>
      <c r="K856" t="s">
        <v>312</v>
      </c>
      <c r="L856" t="s">
        <v>5700</v>
      </c>
      <c r="M856">
        <v>7</v>
      </c>
      <c r="N856">
        <v>957</v>
      </c>
      <c r="O856">
        <v>0</v>
      </c>
      <c r="P856">
        <v>7044</v>
      </c>
      <c r="Q856">
        <v>6699.64</v>
      </c>
      <c r="R856">
        <v>344.36</v>
      </c>
      <c r="S856" t="s">
        <v>100</v>
      </c>
      <c r="T856" t="s">
        <v>50</v>
      </c>
      <c r="U856" t="s">
        <v>5701</v>
      </c>
      <c r="V856" t="s">
        <v>5702</v>
      </c>
      <c r="W856">
        <v>0</v>
      </c>
      <c r="X856" t="s">
        <v>39</v>
      </c>
      <c r="Y856">
        <v>22</v>
      </c>
    </row>
    <row r="857" spans="1:25" x14ac:dyDescent="0.35">
      <c r="A857" t="s">
        <v>5703</v>
      </c>
      <c r="B857" s="1">
        <v>45499</v>
      </c>
      <c r="C857" s="1">
        <v>45504</v>
      </c>
      <c r="D857" t="s">
        <v>5704</v>
      </c>
      <c r="E857" t="s">
        <v>5705</v>
      </c>
      <c r="F857" t="s">
        <v>57</v>
      </c>
      <c r="G857" t="s">
        <v>5706</v>
      </c>
      <c r="H857" t="s">
        <v>230</v>
      </c>
      <c r="I857" t="s">
        <v>137</v>
      </c>
      <c r="J857" t="s">
        <v>46</v>
      </c>
      <c r="K857" t="s">
        <v>69</v>
      </c>
      <c r="L857" t="s">
        <v>5707</v>
      </c>
      <c r="M857">
        <v>8</v>
      </c>
      <c r="N857">
        <v>3463</v>
      </c>
      <c r="O857">
        <v>15</v>
      </c>
      <c r="P857">
        <v>23893.4</v>
      </c>
      <c r="Q857">
        <v>23549.23</v>
      </c>
      <c r="R857">
        <v>344.17</v>
      </c>
      <c r="S857" t="s">
        <v>100</v>
      </c>
      <c r="T857" t="s">
        <v>89</v>
      </c>
      <c r="U857" t="s">
        <v>5708</v>
      </c>
      <c r="V857" t="s">
        <v>5709</v>
      </c>
      <c r="W857">
        <v>38</v>
      </c>
      <c r="X857" t="s">
        <v>53</v>
      </c>
      <c r="Y857">
        <v>0</v>
      </c>
    </row>
    <row r="858" spans="1:25" x14ac:dyDescent="0.35">
      <c r="A858" t="s">
        <v>5710</v>
      </c>
      <c r="B858" s="1">
        <v>45340</v>
      </c>
      <c r="C858" s="1">
        <v>45347</v>
      </c>
      <c r="D858" t="s">
        <v>5711</v>
      </c>
      <c r="E858" t="s">
        <v>5712</v>
      </c>
      <c r="F858" t="s">
        <v>28</v>
      </c>
      <c r="G858" t="s">
        <v>5713</v>
      </c>
      <c r="H858" t="s">
        <v>117</v>
      </c>
      <c r="I858" t="s">
        <v>108</v>
      </c>
      <c r="J858" t="s">
        <v>118</v>
      </c>
      <c r="K858" t="s">
        <v>87</v>
      </c>
      <c r="L858" t="s">
        <v>5714</v>
      </c>
      <c r="M858">
        <v>8</v>
      </c>
      <c r="N858">
        <v>2435</v>
      </c>
      <c r="O858">
        <v>0</v>
      </c>
      <c r="P858">
        <v>19825</v>
      </c>
      <c r="Q858">
        <v>19480.900000000001</v>
      </c>
      <c r="R858">
        <v>344.1</v>
      </c>
      <c r="S858" t="s">
        <v>80</v>
      </c>
      <c r="T858" t="s">
        <v>89</v>
      </c>
      <c r="U858" t="s">
        <v>5715</v>
      </c>
      <c r="V858" t="s">
        <v>5716</v>
      </c>
      <c r="W858">
        <v>43</v>
      </c>
      <c r="X858" t="s">
        <v>53</v>
      </c>
      <c r="Y858">
        <v>0</v>
      </c>
    </row>
    <row r="859" spans="1:25" x14ac:dyDescent="0.35">
      <c r="A859" t="s">
        <v>5717</v>
      </c>
      <c r="B859" s="1">
        <v>45295</v>
      </c>
      <c r="C859" s="1">
        <v>45297</v>
      </c>
      <c r="D859" t="s">
        <v>5718</v>
      </c>
      <c r="E859" t="s">
        <v>5719</v>
      </c>
      <c r="F859" t="s">
        <v>95</v>
      </c>
      <c r="G859" t="s">
        <v>5720</v>
      </c>
      <c r="H859" t="s">
        <v>320</v>
      </c>
      <c r="I859" t="s">
        <v>137</v>
      </c>
      <c r="J859" t="s">
        <v>118</v>
      </c>
      <c r="K859" t="s">
        <v>231</v>
      </c>
      <c r="L859" t="s">
        <v>5721</v>
      </c>
      <c r="M859">
        <v>7</v>
      </c>
      <c r="N859">
        <v>3132</v>
      </c>
      <c r="O859">
        <v>0</v>
      </c>
      <c r="P859">
        <v>22269</v>
      </c>
      <c r="Q859">
        <v>21924.87</v>
      </c>
      <c r="R859">
        <v>344.13</v>
      </c>
      <c r="S859" t="s">
        <v>80</v>
      </c>
      <c r="T859" t="s">
        <v>36</v>
      </c>
      <c r="U859" t="s">
        <v>5722</v>
      </c>
      <c r="V859" t="s">
        <v>5723</v>
      </c>
      <c r="W859">
        <v>8</v>
      </c>
      <c r="X859" t="s">
        <v>39</v>
      </c>
      <c r="Y859">
        <v>22</v>
      </c>
    </row>
    <row r="860" spans="1:25" x14ac:dyDescent="0.35">
      <c r="A860" t="s">
        <v>5724</v>
      </c>
      <c r="B860" s="1">
        <v>45388</v>
      </c>
      <c r="C860" s="1">
        <v>45391</v>
      </c>
      <c r="D860" t="s">
        <v>5725</v>
      </c>
      <c r="E860" t="s">
        <v>5726</v>
      </c>
      <c r="F860" t="s">
        <v>57</v>
      </c>
      <c r="G860" t="s">
        <v>5727</v>
      </c>
      <c r="H860" t="s">
        <v>334</v>
      </c>
      <c r="I860" t="s">
        <v>108</v>
      </c>
      <c r="J860" t="s">
        <v>32</v>
      </c>
      <c r="K860" t="s">
        <v>430</v>
      </c>
      <c r="L860" t="s">
        <v>5728</v>
      </c>
      <c r="M860">
        <v>4</v>
      </c>
      <c r="N860">
        <v>1785</v>
      </c>
      <c r="O860">
        <v>20</v>
      </c>
      <c r="P860">
        <v>6057</v>
      </c>
      <c r="Q860">
        <v>5712.84</v>
      </c>
      <c r="R860">
        <v>344.16</v>
      </c>
      <c r="S860" t="s">
        <v>49</v>
      </c>
      <c r="T860" t="s">
        <v>36</v>
      </c>
      <c r="U860" t="s">
        <v>5729</v>
      </c>
      <c r="V860" t="s">
        <v>5730</v>
      </c>
      <c r="W860">
        <v>21</v>
      </c>
      <c r="X860" t="s">
        <v>53</v>
      </c>
      <c r="Y860">
        <v>0</v>
      </c>
    </row>
    <row r="861" spans="1:25" x14ac:dyDescent="0.35">
      <c r="A861" t="s">
        <v>5731</v>
      </c>
      <c r="B861" s="1">
        <v>45680</v>
      </c>
      <c r="C861" s="1">
        <v>45686</v>
      </c>
      <c r="D861" t="s">
        <v>3470</v>
      </c>
      <c r="E861" t="s">
        <v>5732</v>
      </c>
      <c r="F861" t="s">
        <v>95</v>
      </c>
      <c r="G861" t="s">
        <v>5733</v>
      </c>
      <c r="H861" t="s">
        <v>117</v>
      </c>
      <c r="I861" t="s">
        <v>108</v>
      </c>
      <c r="J861" t="s">
        <v>118</v>
      </c>
      <c r="K861" t="s">
        <v>47</v>
      </c>
      <c r="L861" t="s">
        <v>5734</v>
      </c>
      <c r="M861">
        <v>5</v>
      </c>
      <c r="N861">
        <v>1326</v>
      </c>
      <c r="O861">
        <v>20</v>
      </c>
      <c r="P861">
        <v>5649</v>
      </c>
      <c r="Q861">
        <v>5304.62</v>
      </c>
      <c r="R861">
        <v>344.38</v>
      </c>
      <c r="S861" t="s">
        <v>100</v>
      </c>
      <c r="T861" t="s">
        <v>50</v>
      </c>
      <c r="U861" t="s">
        <v>5735</v>
      </c>
      <c r="V861" t="s">
        <v>5736</v>
      </c>
      <c r="W861">
        <v>25</v>
      </c>
      <c r="X861" t="s">
        <v>53</v>
      </c>
      <c r="Y861">
        <v>0</v>
      </c>
    </row>
    <row r="862" spans="1:25" x14ac:dyDescent="0.35">
      <c r="A862" t="s">
        <v>5737</v>
      </c>
      <c r="B862" s="1">
        <v>45344</v>
      </c>
      <c r="C862" s="1">
        <v>45345</v>
      </c>
      <c r="D862" t="s">
        <v>5738</v>
      </c>
      <c r="E862" t="s">
        <v>2494</v>
      </c>
      <c r="F862" t="s">
        <v>57</v>
      </c>
      <c r="G862" t="s">
        <v>1788</v>
      </c>
      <c r="H862" t="s">
        <v>163</v>
      </c>
      <c r="I862" t="s">
        <v>108</v>
      </c>
      <c r="J862" t="s">
        <v>32</v>
      </c>
      <c r="K862" t="s">
        <v>222</v>
      </c>
      <c r="L862" t="s">
        <v>5739</v>
      </c>
      <c r="M862">
        <v>7</v>
      </c>
      <c r="N862">
        <v>1901</v>
      </c>
      <c r="O862">
        <v>5</v>
      </c>
      <c r="P862">
        <v>12986.65</v>
      </c>
      <c r="Q862">
        <v>12642.47</v>
      </c>
      <c r="R862">
        <v>344.18</v>
      </c>
      <c r="S862" t="s">
        <v>80</v>
      </c>
      <c r="T862" t="s">
        <v>89</v>
      </c>
      <c r="U862" t="s">
        <v>5740</v>
      </c>
      <c r="V862" t="s">
        <v>5741</v>
      </c>
      <c r="W862">
        <v>17</v>
      </c>
      <c r="X862" t="s">
        <v>53</v>
      </c>
      <c r="Y862">
        <v>0</v>
      </c>
    </row>
    <row r="863" spans="1:25" x14ac:dyDescent="0.35">
      <c r="A863" t="s">
        <v>5742</v>
      </c>
      <c r="B863" s="1">
        <v>45562</v>
      </c>
      <c r="C863" s="1">
        <v>45563</v>
      </c>
      <c r="D863" t="s">
        <v>5743</v>
      </c>
      <c r="E863" t="s">
        <v>5744</v>
      </c>
      <c r="F863" t="s">
        <v>28</v>
      </c>
      <c r="G863" t="s">
        <v>5745</v>
      </c>
      <c r="H863" t="s">
        <v>198</v>
      </c>
      <c r="I863" t="s">
        <v>31</v>
      </c>
      <c r="J863" t="s">
        <v>46</v>
      </c>
      <c r="K863" t="s">
        <v>699</v>
      </c>
      <c r="L863" t="s">
        <v>5746</v>
      </c>
      <c r="M863">
        <v>10</v>
      </c>
      <c r="N863">
        <v>2558</v>
      </c>
      <c r="O863">
        <v>20</v>
      </c>
      <c r="P863">
        <v>20809</v>
      </c>
      <c r="Q863">
        <v>20464.84</v>
      </c>
      <c r="R863">
        <v>344.16</v>
      </c>
      <c r="S863" t="s">
        <v>80</v>
      </c>
      <c r="T863" t="s">
        <v>140</v>
      </c>
      <c r="U863" t="s">
        <v>5747</v>
      </c>
      <c r="V863" t="s">
        <v>5748</v>
      </c>
      <c r="W863">
        <v>40</v>
      </c>
      <c r="X863" t="s">
        <v>53</v>
      </c>
      <c r="Y863">
        <v>0</v>
      </c>
    </row>
    <row r="864" spans="1:25" x14ac:dyDescent="0.35">
      <c r="A864" t="s">
        <v>5749</v>
      </c>
      <c r="B864" s="1">
        <v>45809</v>
      </c>
      <c r="C864" s="1">
        <v>45810</v>
      </c>
      <c r="D864" t="s">
        <v>1050</v>
      </c>
      <c r="E864" t="s">
        <v>5750</v>
      </c>
      <c r="F864" t="s">
        <v>28</v>
      </c>
      <c r="G864" t="s">
        <v>2286</v>
      </c>
      <c r="H864" t="s">
        <v>198</v>
      </c>
      <c r="I864" t="s">
        <v>31</v>
      </c>
      <c r="J864" t="s">
        <v>32</v>
      </c>
      <c r="K864" t="s">
        <v>992</v>
      </c>
      <c r="L864" t="s">
        <v>5751</v>
      </c>
      <c r="M864">
        <v>2</v>
      </c>
      <c r="N864">
        <v>894</v>
      </c>
      <c r="O864">
        <v>5</v>
      </c>
      <c r="P864">
        <v>2043.6</v>
      </c>
      <c r="Q864">
        <v>1699.31</v>
      </c>
      <c r="R864">
        <v>344.29</v>
      </c>
      <c r="S864" t="s">
        <v>100</v>
      </c>
      <c r="T864" t="s">
        <v>36</v>
      </c>
      <c r="U864" t="s">
        <v>5752</v>
      </c>
      <c r="V864" t="s">
        <v>5753</v>
      </c>
      <c r="W864">
        <v>30</v>
      </c>
      <c r="X864" t="s">
        <v>53</v>
      </c>
      <c r="Y864">
        <v>0</v>
      </c>
    </row>
    <row r="865" spans="1:25" x14ac:dyDescent="0.35">
      <c r="A865" t="s">
        <v>5754</v>
      </c>
      <c r="B865" s="1">
        <v>45494</v>
      </c>
      <c r="C865" s="1">
        <v>45499</v>
      </c>
      <c r="D865" t="s">
        <v>5755</v>
      </c>
      <c r="E865" t="s">
        <v>5756</v>
      </c>
      <c r="F865" t="s">
        <v>57</v>
      </c>
      <c r="G865" t="s">
        <v>5757</v>
      </c>
      <c r="H865" t="s">
        <v>136</v>
      </c>
      <c r="I865" t="s">
        <v>137</v>
      </c>
      <c r="J865" t="s">
        <v>118</v>
      </c>
      <c r="K865" t="s">
        <v>247</v>
      </c>
      <c r="L865" t="s">
        <v>5758</v>
      </c>
      <c r="M865">
        <v>6</v>
      </c>
      <c r="N865">
        <v>136</v>
      </c>
      <c r="O865">
        <v>15</v>
      </c>
      <c r="P865">
        <v>1038.5999999999999</v>
      </c>
      <c r="Q865">
        <v>694.23</v>
      </c>
      <c r="R865">
        <v>344.37</v>
      </c>
      <c r="S865" t="s">
        <v>100</v>
      </c>
      <c r="T865" t="s">
        <v>89</v>
      </c>
      <c r="U865" t="s">
        <v>5759</v>
      </c>
      <c r="V865" t="s">
        <v>5760</v>
      </c>
      <c r="W865">
        <v>33</v>
      </c>
      <c r="X865" t="s">
        <v>53</v>
      </c>
      <c r="Y865">
        <v>0</v>
      </c>
    </row>
    <row r="866" spans="1:25" x14ac:dyDescent="0.35">
      <c r="A866" t="s">
        <v>5761</v>
      </c>
      <c r="B866" s="1">
        <v>45459</v>
      </c>
      <c r="C866" s="1">
        <v>45464</v>
      </c>
      <c r="D866" t="s">
        <v>4403</v>
      </c>
      <c r="E866" t="s">
        <v>5762</v>
      </c>
      <c r="F866" t="s">
        <v>28</v>
      </c>
      <c r="G866" t="s">
        <v>5763</v>
      </c>
      <c r="H866" t="s">
        <v>172</v>
      </c>
      <c r="I866" t="s">
        <v>45</v>
      </c>
      <c r="J866" t="s">
        <v>32</v>
      </c>
      <c r="K866" t="s">
        <v>524</v>
      </c>
      <c r="L866" t="s">
        <v>5764</v>
      </c>
      <c r="M866">
        <v>7</v>
      </c>
      <c r="N866">
        <v>573</v>
      </c>
      <c r="O866">
        <v>10</v>
      </c>
      <c r="P866">
        <v>3954.9</v>
      </c>
      <c r="Q866">
        <v>3610.72</v>
      </c>
      <c r="R866">
        <v>344.18</v>
      </c>
      <c r="S866" t="s">
        <v>35</v>
      </c>
      <c r="T866" t="s">
        <v>140</v>
      </c>
      <c r="U866" t="s">
        <v>5765</v>
      </c>
      <c r="V866" t="s">
        <v>5766</v>
      </c>
      <c r="W866">
        <v>48</v>
      </c>
      <c r="X866" t="s">
        <v>53</v>
      </c>
      <c r="Y866">
        <v>0</v>
      </c>
    </row>
    <row r="867" spans="1:25" x14ac:dyDescent="0.35">
      <c r="A867" t="s">
        <v>5767</v>
      </c>
      <c r="B867" s="1">
        <v>45487</v>
      </c>
      <c r="C867" s="1">
        <v>45494</v>
      </c>
      <c r="D867" t="s">
        <v>681</v>
      </c>
      <c r="E867" t="s">
        <v>5768</v>
      </c>
      <c r="F867" t="s">
        <v>28</v>
      </c>
      <c r="G867" t="s">
        <v>5769</v>
      </c>
      <c r="H867" t="s">
        <v>364</v>
      </c>
      <c r="I867" t="s">
        <v>137</v>
      </c>
      <c r="J867" t="s">
        <v>32</v>
      </c>
      <c r="K867" t="s">
        <v>207</v>
      </c>
      <c r="L867" t="s">
        <v>5770</v>
      </c>
      <c r="M867">
        <v>7</v>
      </c>
      <c r="N867">
        <v>1236</v>
      </c>
      <c r="O867">
        <v>20</v>
      </c>
      <c r="P867">
        <v>7266.6</v>
      </c>
      <c r="Q867">
        <v>6922.41</v>
      </c>
      <c r="R867">
        <v>344.19</v>
      </c>
      <c r="S867" t="s">
        <v>35</v>
      </c>
      <c r="T867" t="s">
        <v>140</v>
      </c>
      <c r="U867" t="s">
        <v>5771</v>
      </c>
      <c r="V867" t="s">
        <v>5772</v>
      </c>
      <c r="W867">
        <v>6</v>
      </c>
      <c r="X867" t="s">
        <v>39</v>
      </c>
      <c r="Y867">
        <v>45</v>
      </c>
    </row>
    <row r="868" spans="1:25" x14ac:dyDescent="0.35">
      <c r="A868" t="s">
        <v>5773</v>
      </c>
      <c r="B868" s="1">
        <v>45656</v>
      </c>
      <c r="C868" s="1">
        <v>45657</v>
      </c>
      <c r="D868" t="s">
        <v>5774</v>
      </c>
      <c r="E868" t="s">
        <v>5775</v>
      </c>
      <c r="F868" t="s">
        <v>95</v>
      </c>
      <c r="G868" t="s">
        <v>5776</v>
      </c>
      <c r="H868" t="s">
        <v>154</v>
      </c>
      <c r="I868" t="s">
        <v>137</v>
      </c>
      <c r="J868" t="s">
        <v>118</v>
      </c>
      <c r="K868" t="s">
        <v>349</v>
      </c>
      <c r="L868" t="s">
        <v>5777</v>
      </c>
      <c r="M868">
        <v>7</v>
      </c>
      <c r="N868">
        <v>2156</v>
      </c>
      <c r="O868">
        <v>10</v>
      </c>
      <c r="P868">
        <v>13927.8</v>
      </c>
      <c r="Q868">
        <v>13583.44</v>
      </c>
      <c r="R868">
        <v>344.36</v>
      </c>
      <c r="S868" t="s">
        <v>35</v>
      </c>
      <c r="T868" t="s">
        <v>36</v>
      </c>
      <c r="U868" t="s">
        <v>5778</v>
      </c>
      <c r="V868" t="s">
        <v>5779</v>
      </c>
      <c r="W868">
        <v>27</v>
      </c>
      <c r="X868" t="s">
        <v>53</v>
      </c>
      <c r="Y868">
        <v>0</v>
      </c>
    </row>
    <row r="869" spans="1:25" x14ac:dyDescent="0.35">
      <c r="A869" t="s">
        <v>5780</v>
      </c>
      <c r="B869" s="1">
        <v>45761</v>
      </c>
      <c r="C869" s="1">
        <v>45765</v>
      </c>
      <c r="D869" t="s">
        <v>55</v>
      </c>
      <c r="E869" t="s">
        <v>5781</v>
      </c>
      <c r="F869" t="s">
        <v>28</v>
      </c>
      <c r="G869" t="s">
        <v>5782</v>
      </c>
      <c r="H869" t="s">
        <v>206</v>
      </c>
      <c r="I869" t="s">
        <v>31</v>
      </c>
      <c r="J869" t="s">
        <v>118</v>
      </c>
      <c r="K869" t="s">
        <v>992</v>
      </c>
      <c r="L869" t="s">
        <v>5783</v>
      </c>
      <c r="M869">
        <v>10</v>
      </c>
      <c r="N869">
        <v>507</v>
      </c>
      <c r="O869">
        <v>10</v>
      </c>
      <c r="P869">
        <v>4908</v>
      </c>
      <c r="Q869">
        <v>4563.8500000000004</v>
      </c>
      <c r="R869">
        <v>344.15</v>
      </c>
      <c r="S869" t="s">
        <v>80</v>
      </c>
      <c r="T869" t="s">
        <v>50</v>
      </c>
      <c r="U869" t="s">
        <v>5784</v>
      </c>
      <c r="V869" t="s">
        <v>5785</v>
      </c>
      <c r="W869">
        <v>10</v>
      </c>
      <c r="X869" t="s">
        <v>53</v>
      </c>
      <c r="Y869">
        <v>0</v>
      </c>
    </row>
    <row r="870" spans="1:25" x14ac:dyDescent="0.35">
      <c r="A870" t="s">
        <v>5786</v>
      </c>
      <c r="B870" s="1">
        <v>45404</v>
      </c>
      <c r="C870" s="1">
        <v>45405</v>
      </c>
      <c r="D870" t="s">
        <v>5787</v>
      </c>
      <c r="E870" t="s">
        <v>5788</v>
      </c>
      <c r="F870" t="s">
        <v>57</v>
      </c>
      <c r="G870" t="s">
        <v>5789</v>
      </c>
      <c r="H870" t="s">
        <v>127</v>
      </c>
      <c r="I870" t="s">
        <v>45</v>
      </c>
      <c r="J870" t="s">
        <v>118</v>
      </c>
      <c r="K870" t="s">
        <v>349</v>
      </c>
      <c r="L870" t="s">
        <v>5790</v>
      </c>
      <c r="M870">
        <v>5</v>
      </c>
      <c r="N870">
        <v>271</v>
      </c>
      <c r="O870">
        <v>15</v>
      </c>
      <c r="P870">
        <v>1496.75</v>
      </c>
      <c r="Q870">
        <v>1152.48</v>
      </c>
      <c r="R870">
        <v>344.27</v>
      </c>
      <c r="S870" t="s">
        <v>49</v>
      </c>
      <c r="T870" t="s">
        <v>140</v>
      </c>
      <c r="U870" t="s">
        <v>5791</v>
      </c>
      <c r="V870" t="s">
        <v>5792</v>
      </c>
      <c r="W870">
        <v>13</v>
      </c>
      <c r="X870" t="s">
        <v>53</v>
      </c>
      <c r="Y870">
        <v>0</v>
      </c>
    </row>
    <row r="871" spans="1:25" x14ac:dyDescent="0.35">
      <c r="A871" t="s">
        <v>5793</v>
      </c>
      <c r="B871" s="1">
        <v>45371</v>
      </c>
      <c r="C871" s="1">
        <v>45373</v>
      </c>
      <c r="D871" t="s">
        <v>1017</v>
      </c>
      <c r="E871" t="s">
        <v>5794</v>
      </c>
      <c r="F871" t="s">
        <v>57</v>
      </c>
      <c r="G871" t="s">
        <v>5795</v>
      </c>
      <c r="H871" t="s">
        <v>154</v>
      </c>
      <c r="I871" t="s">
        <v>137</v>
      </c>
      <c r="J871" t="s">
        <v>118</v>
      </c>
      <c r="K871" t="s">
        <v>714</v>
      </c>
      <c r="L871" t="s">
        <v>5796</v>
      </c>
      <c r="M871">
        <v>6</v>
      </c>
      <c r="N871">
        <v>2434</v>
      </c>
      <c r="O871">
        <v>10</v>
      </c>
      <c r="P871">
        <v>13710.6</v>
      </c>
      <c r="Q871">
        <v>13144.32</v>
      </c>
      <c r="R871">
        <v>566.28</v>
      </c>
      <c r="S871" t="s">
        <v>100</v>
      </c>
      <c r="T871" t="s">
        <v>36</v>
      </c>
      <c r="U871" t="s">
        <v>5797</v>
      </c>
      <c r="V871" t="s">
        <v>5798</v>
      </c>
      <c r="W871">
        <v>19</v>
      </c>
      <c r="X871" t="s">
        <v>53</v>
      </c>
      <c r="Y871">
        <v>0</v>
      </c>
    </row>
    <row r="872" spans="1:25" x14ac:dyDescent="0.35">
      <c r="A872" t="s">
        <v>5799</v>
      </c>
      <c r="B872" s="1">
        <v>45618</v>
      </c>
      <c r="C872" s="1">
        <v>45619</v>
      </c>
      <c r="D872" t="s">
        <v>989</v>
      </c>
      <c r="E872" t="s">
        <v>5800</v>
      </c>
      <c r="F872" t="s">
        <v>95</v>
      </c>
      <c r="G872" t="s">
        <v>5801</v>
      </c>
      <c r="H872" t="s">
        <v>163</v>
      </c>
      <c r="I872" t="s">
        <v>108</v>
      </c>
      <c r="J872" t="s">
        <v>32</v>
      </c>
      <c r="K872" t="s">
        <v>547</v>
      </c>
      <c r="L872" t="s">
        <v>5802</v>
      </c>
      <c r="M872">
        <v>2</v>
      </c>
      <c r="N872">
        <v>4611</v>
      </c>
      <c r="O872">
        <v>10</v>
      </c>
      <c r="P872">
        <v>8866.7999999999993</v>
      </c>
      <c r="Q872">
        <v>8300.48</v>
      </c>
      <c r="R872">
        <v>566.32000000000005</v>
      </c>
      <c r="S872" t="s">
        <v>100</v>
      </c>
      <c r="T872" t="s">
        <v>89</v>
      </c>
      <c r="U872" t="s">
        <v>4048</v>
      </c>
      <c r="V872" t="s">
        <v>5803</v>
      </c>
      <c r="W872">
        <v>5</v>
      </c>
      <c r="X872" t="s">
        <v>39</v>
      </c>
      <c r="Y872">
        <v>44</v>
      </c>
    </row>
    <row r="873" spans="1:25" x14ac:dyDescent="0.35">
      <c r="A873" t="s">
        <v>5804</v>
      </c>
      <c r="B873" s="1">
        <v>45488</v>
      </c>
      <c r="C873" s="1">
        <v>45489</v>
      </c>
      <c r="D873" t="s">
        <v>5805</v>
      </c>
      <c r="E873" t="s">
        <v>5806</v>
      </c>
      <c r="F873" t="s">
        <v>28</v>
      </c>
      <c r="G873" t="s">
        <v>5807</v>
      </c>
      <c r="H873" t="s">
        <v>198</v>
      </c>
      <c r="I873" t="s">
        <v>31</v>
      </c>
      <c r="J873" t="s">
        <v>97</v>
      </c>
      <c r="K873" t="s">
        <v>33</v>
      </c>
      <c r="L873" t="s">
        <v>5808</v>
      </c>
      <c r="M873">
        <v>2</v>
      </c>
      <c r="N873">
        <v>3499</v>
      </c>
      <c r="O873">
        <v>20</v>
      </c>
      <c r="P873">
        <v>6165.4</v>
      </c>
      <c r="Q873">
        <v>5599.21</v>
      </c>
      <c r="R873">
        <v>566.19000000000005</v>
      </c>
      <c r="S873" t="s">
        <v>35</v>
      </c>
      <c r="T873" t="s">
        <v>89</v>
      </c>
      <c r="U873" t="s">
        <v>5809</v>
      </c>
      <c r="V873" t="s">
        <v>5810</v>
      </c>
      <c r="W873">
        <v>45</v>
      </c>
      <c r="X873" t="s">
        <v>53</v>
      </c>
      <c r="Y873">
        <v>0</v>
      </c>
    </row>
    <row r="874" spans="1:25" x14ac:dyDescent="0.35">
      <c r="A874" t="s">
        <v>5811</v>
      </c>
      <c r="B874" s="1">
        <v>45736</v>
      </c>
      <c r="C874" s="1">
        <v>45738</v>
      </c>
      <c r="D874" t="s">
        <v>5569</v>
      </c>
      <c r="E874" t="s">
        <v>5812</v>
      </c>
      <c r="F874" t="s">
        <v>95</v>
      </c>
      <c r="G874" t="s">
        <v>5813</v>
      </c>
      <c r="H874" t="s">
        <v>59</v>
      </c>
      <c r="I874" t="s">
        <v>31</v>
      </c>
      <c r="J874" t="s">
        <v>97</v>
      </c>
      <c r="K874" t="s">
        <v>239</v>
      </c>
      <c r="L874" t="s">
        <v>5814</v>
      </c>
      <c r="M874">
        <v>6</v>
      </c>
      <c r="N874">
        <v>1324</v>
      </c>
      <c r="O874">
        <v>0</v>
      </c>
      <c r="P874">
        <v>8511</v>
      </c>
      <c r="Q874">
        <v>7944.84</v>
      </c>
      <c r="R874">
        <v>566.16</v>
      </c>
      <c r="S874" t="s">
        <v>100</v>
      </c>
      <c r="T874" t="s">
        <v>89</v>
      </c>
      <c r="U874" t="s">
        <v>5815</v>
      </c>
      <c r="V874" t="s">
        <v>5816</v>
      </c>
      <c r="W874">
        <v>50</v>
      </c>
      <c r="X874" t="s">
        <v>53</v>
      </c>
      <c r="Y874">
        <v>0</v>
      </c>
    </row>
    <row r="875" spans="1:25" x14ac:dyDescent="0.35">
      <c r="A875" t="s">
        <v>5817</v>
      </c>
      <c r="B875" s="1">
        <v>45607</v>
      </c>
      <c r="C875" s="1">
        <v>45608</v>
      </c>
      <c r="D875" t="s">
        <v>3379</v>
      </c>
      <c r="E875" t="s">
        <v>5818</v>
      </c>
      <c r="F875" t="s">
        <v>57</v>
      </c>
      <c r="G875" t="s">
        <v>5819</v>
      </c>
      <c r="H875" t="s">
        <v>189</v>
      </c>
      <c r="I875" t="s">
        <v>108</v>
      </c>
      <c r="J875" t="s">
        <v>118</v>
      </c>
      <c r="K875" t="s">
        <v>87</v>
      </c>
      <c r="L875" t="s">
        <v>5820</v>
      </c>
      <c r="M875">
        <v>5</v>
      </c>
      <c r="N875">
        <v>3463</v>
      </c>
      <c r="O875">
        <v>0</v>
      </c>
      <c r="P875">
        <v>17882</v>
      </c>
      <c r="Q875">
        <v>17315.740000000002</v>
      </c>
      <c r="R875">
        <v>566.26</v>
      </c>
      <c r="S875" t="s">
        <v>35</v>
      </c>
      <c r="T875" t="s">
        <v>36</v>
      </c>
      <c r="U875" t="s">
        <v>5821</v>
      </c>
      <c r="V875" t="s">
        <v>5822</v>
      </c>
      <c r="W875">
        <v>11</v>
      </c>
      <c r="X875" t="s">
        <v>53</v>
      </c>
      <c r="Y875">
        <v>0</v>
      </c>
    </row>
    <row r="876" spans="1:25" x14ac:dyDescent="0.35">
      <c r="A876" t="s">
        <v>5823</v>
      </c>
      <c r="B876" s="1">
        <v>45393</v>
      </c>
      <c r="C876" s="1">
        <v>45395</v>
      </c>
      <c r="D876" t="s">
        <v>3715</v>
      </c>
      <c r="E876" t="s">
        <v>5824</v>
      </c>
      <c r="F876" t="s">
        <v>57</v>
      </c>
      <c r="G876" t="s">
        <v>5825</v>
      </c>
      <c r="H876" t="s">
        <v>117</v>
      </c>
      <c r="I876" t="s">
        <v>108</v>
      </c>
      <c r="J876" t="s">
        <v>46</v>
      </c>
      <c r="K876" t="s">
        <v>181</v>
      </c>
      <c r="L876" t="s">
        <v>5826</v>
      </c>
      <c r="M876">
        <v>6</v>
      </c>
      <c r="N876">
        <v>4104</v>
      </c>
      <c r="O876">
        <v>0</v>
      </c>
      <c r="P876">
        <v>25191</v>
      </c>
      <c r="Q876">
        <v>24624.89</v>
      </c>
      <c r="R876">
        <v>566.11</v>
      </c>
      <c r="S876" t="s">
        <v>80</v>
      </c>
      <c r="T876" t="s">
        <v>50</v>
      </c>
      <c r="U876" t="s">
        <v>5827</v>
      </c>
      <c r="V876" t="s">
        <v>5828</v>
      </c>
      <c r="W876">
        <v>31</v>
      </c>
      <c r="X876" t="s">
        <v>53</v>
      </c>
      <c r="Y876">
        <v>0</v>
      </c>
    </row>
    <row r="877" spans="1:25" x14ac:dyDescent="0.35">
      <c r="A877" t="s">
        <v>5829</v>
      </c>
      <c r="B877" s="1">
        <v>45324</v>
      </c>
      <c r="C877" s="1">
        <v>45327</v>
      </c>
      <c r="D877" t="s">
        <v>4051</v>
      </c>
      <c r="E877" t="s">
        <v>5830</v>
      </c>
      <c r="F877" t="s">
        <v>28</v>
      </c>
      <c r="G877" t="s">
        <v>414</v>
      </c>
      <c r="H877" t="s">
        <v>320</v>
      </c>
      <c r="I877" t="s">
        <v>137</v>
      </c>
      <c r="J877" t="s">
        <v>97</v>
      </c>
      <c r="K877" t="s">
        <v>349</v>
      </c>
      <c r="L877" t="s">
        <v>5831</v>
      </c>
      <c r="M877">
        <v>3</v>
      </c>
      <c r="N877">
        <v>693</v>
      </c>
      <c r="O877">
        <v>15</v>
      </c>
      <c r="P877">
        <v>2334.15</v>
      </c>
      <c r="Q877">
        <v>1767.9</v>
      </c>
      <c r="R877">
        <v>566.25</v>
      </c>
      <c r="S877" t="s">
        <v>35</v>
      </c>
      <c r="T877" t="s">
        <v>140</v>
      </c>
      <c r="U877" t="s">
        <v>5832</v>
      </c>
      <c r="V877" t="s">
        <v>5833</v>
      </c>
      <c r="W877">
        <v>47</v>
      </c>
      <c r="X877" t="s">
        <v>53</v>
      </c>
      <c r="Y877">
        <v>0</v>
      </c>
    </row>
    <row r="878" spans="1:25" x14ac:dyDescent="0.35">
      <c r="A878" t="s">
        <v>5834</v>
      </c>
      <c r="B878" s="1">
        <v>45654</v>
      </c>
      <c r="C878" s="1">
        <v>45656</v>
      </c>
      <c r="D878" t="s">
        <v>5026</v>
      </c>
      <c r="E878" t="s">
        <v>5835</v>
      </c>
      <c r="F878" t="s">
        <v>95</v>
      </c>
      <c r="G878" t="s">
        <v>5836</v>
      </c>
      <c r="H878" t="s">
        <v>189</v>
      </c>
      <c r="I878" t="s">
        <v>108</v>
      </c>
      <c r="J878" t="s">
        <v>118</v>
      </c>
      <c r="K878" t="s">
        <v>648</v>
      </c>
      <c r="L878" t="s">
        <v>5837</v>
      </c>
      <c r="M878">
        <v>6</v>
      </c>
      <c r="N878">
        <v>4660</v>
      </c>
      <c r="O878">
        <v>10</v>
      </c>
      <c r="P878">
        <v>25731</v>
      </c>
      <c r="Q878">
        <v>25164.66</v>
      </c>
      <c r="R878">
        <v>566.34</v>
      </c>
      <c r="S878" t="s">
        <v>80</v>
      </c>
      <c r="T878" t="s">
        <v>36</v>
      </c>
      <c r="U878" t="s">
        <v>5838</v>
      </c>
      <c r="V878" t="s">
        <v>5839</v>
      </c>
      <c r="W878">
        <v>24</v>
      </c>
      <c r="X878" t="s">
        <v>53</v>
      </c>
      <c r="Y878">
        <v>0</v>
      </c>
    </row>
    <row r="879" spans="1:25" x14ac:dyDescent="0.35">
      <c r="A879" t="s">
        <v>5840</v>
      </c>
      <c r="B879" s="1">
        <v>45892</v>
      </c>
      <c r="C879" s="1">
        <v>45895</v>
      </c>
      <c r="D879" t="s">
        <v>1440</v>
      </c>
      <c r="E879" t="s">
        <v>5841</v>
      </c>
      <c r="F879" t="s">
        <v>95</v>
      </c>
      <c r="G879" t="s">
        <v>5842</v>
      </c>
      <c r="H879" t="s">
        <v>206</v>
      </c>
      <c r="I879" t="s">
        <v>31</v>
      </c>
      <c r="J879" t="s">
        <v>97</v>
      </c>
      <c r="K879" t="s">
        <v>87</v>
      </c>
      <c r="L879" t="s">
        <v>5843</v>
      </c>
      <c r="M879">
        <v>2</v>
      </c>
      <c r="N879">
        <v>4017</v>
      </c>
      <c r="O879">
        <v>5</v>
      </c>
      <c r="P879">
        <v>8199.2999999999993</v>
      </c>
      <c r="Q879">
        <v>7632.98</v>
      </c>
      <c r="R879">
        <v>566.32000000000005</v>
      </c>
      <c r="S879" t="s">
        <v>35</v>
      </c>
      <c r="T879" t="s">
        <v>50</v>
      </c>
      <c r="U879" t="s">
        <v>5844</v>
      </c>
      <c r="V879" t="s">
        <v>5845</v>
      </c>
      <c r="W879">
        <v>5</v>
      </c>
      <c r="X879" t="s">
        <v>39</v>
      </c>
      <c r="Y879">
        <v>42</v>
      </c>
    </row>
    <row r="880" spans="1:25" x14ac:dyDescent="0.35">
      <c r="A880" t="s">
        <v>5846</v>
      </c>
      <c r="B880" s="1">
        <v>45825</v>
      </c>
      <c r="C880" s="1">
        <v>45832</v>
      </c>
      <c r="D880" t="s">
        <v>5847</v>
      </c>
      <c r="E880" t="s">
        <v>5848</v>
      </c>
      <c r="F880" t="s">
        <v>28</v>
      </c>
      <c r="G880" t="s">
        <v>5849</v>
      </c>
      <c r="H880" t="s">
        <v>230</v>
      </c>
      <c r="I880" t="s">
        <v>137</v>
      </c>
      <c r="J880" t="s">
        <v>32</v>
      </c>
      <c r="K880" t="s">
        <v>885</v>
      </c>
      <c r="L880" t="s">
        <v>5850</v>
      </c>
      <c r="M880">
        <v>3</v>
      </c>
      <c r="N880">
        <v>4492</v>
      </c>
      <c r="O880">
        <v>10</v>
      </c>
      <c r="P880">
        <v>12695.4</v>
      </c>
      <c r="Q880">
        <v>12129.21</v>
      </c>
      <c r="R880">
        <v>566.19000000000005</v>
      </c>
      <c r="S880" t="s">
        <v>35</v>
      </c>
      <c r="T880" t="s">
        <v>50</v>
      </c>
      <c r="U880" t="s">
        <v>5851</v>
      </c>
      <c r="V880" t="s">
        <v>5852</v>
      </c>
      <c r="W880">
        <v>37</v>
      </c>
      <c r="X880" t="s">
        <v>53</v>
      </c>
      <c r="Y880">
        <v>0</v>
      </c>
    </row>
    <row r="881" spans="1:25" x14ac:dyDescent="0.35">
      <c r="A881" t="s">
        <v>5853</v>
      </c>
      <c r="B881" s="1">
        <v>45378</v>
      </c>
      <c r="C881" s="1">
        <v>45383</v>
      </c>
      <c r="D881" t="s">
        <v>5704</v>
      </c>
      <c r="E881" t="s">
        <v>2872</v>
      </c>
      <c r="F881" t="s">
        <v>57</v>
      </c>
      <c r="G881" t="s">
        <v>2227</v>
      </c>
      <c r="H881" t="s">
        <v>136</v>
      </c>
      <c r="I881" t="s">
        <v>137</v>
      </c>
      <c r="J881" t="s">
        <v>118</v>
      </c>
      <c r="K881" t="s">
        <v>119</v>
      </c>
      <c r="L881" t="s">
        <v>5854</v>
      </c>
      <c r="M881">
        <v>10</v>
      </c>
      <c r="N881">
        <v>262</v>
      </c>
      <c r="O881">
        <v>0</v>
      </c>
      <c r="P881">
        <v>3187</v>
      </c>
      <c r="Q881">
        <v>2620.63</v>
      </c>
      <c r="R881">
        <v>566.37</v>
      </c>
      <c r="S881" t="s">
        <v>49</v>
      </c>
      <c r="T881" t="s">
        <v>140</v>
      </c>
      <c r="U881" t="s">
        <v>5855</v>
      </c>
      <c r="V881" t="s">
        <v>5856</v>
      </c>
      <c r="W881">
        <v>20</v>
      </c>
      <c r="X881" t="s">
        <v>53</v>
      </c>
      <c r="Y881">
        <v>0</v>
      </c>
    </row>
    <row r="882" spans="1:25" x14ac:dyDescent="0.35">
      <c r="A882" t="s">
        <v>5857</v>
      </c>
      <c r="B882" s="1">
        <v>45566</v>
      </c>
      <c r="C882" s="1">
        <v>45570</v>
      </c>
      <c r="D882" t="s">
        <v>5858</v>
      </c>
      <c r="E882" t="s">
        <v>5859</v>
      </c>
      <c r="F882" t="s">
        <v>95</v>
      </c>
      <c r="G882" t="s">
        <v>5860</v>
      </c>
      <c r="H882" t="s">
        <v>154</v>
      </c>
      <c r="I882" t="s">
        <v>137</v>
      </c>
      <c r="J882" t="s">
        <v>46</v>
      </c>
      <c r="K882" t="s">
        <v>466</v>
      </c>
      <c r="L882" t="s">
        <v>5861</v>
      </c>
      <c r="M882">
        <v>5</v>
      </c>
      <c r="N882">
        <v>1769</v>
      </c>
      <c r="O882">
        <v>10</v>
      </c>
      <c r="P882">
        <v>8527.5</v>
      </c>
      <c r="Q882">
        <v>7961.15</v>
      </c>
      <c r="R882">
        <v>566.35</v>
      </c>
      <c r="S882" t="s">
        <v>100</v>
      </c>
      <c r="T882" t="s">
        <v>89</v>
      </c>
      <c r="U882" t="s">
        <v>5862</v>
      </c>
      <c r="V882" t="s">
        <v>5863</v>
      </c>
      <c r="W882">
        <v>4</v>
      </c>
      <c r="X882" t="s">
        <v>39</v>
      </c>
      <c r="Y882">
        <v>20</v>
      </c>
    </row>
    <row r="883" spans="1:25" x14ac:dyDescent="0.35">
      <c r="A883" t="s">
        <v>5864</v>
      </c>
      <c r="B883" s="1">
        <v>45817</v>
      </c>
      <c r="C883" s="1">
        <v>45820</v>
      </c>
      <c r="D883" t="s">
        <v>747</v>
      </c>
      <c r="E883" t="s">
        <v>5865</v>
      </c>
      <c r="F883" t="s">
        <v>57</v>
      </c>
      <c r="G883" t="s">
        <v>5866</v>
      </c>
      <c r="H883" t="s">
        <v>59</v>
      </c>
      <c r="I883" t="s">
        <v>31</v>
      </c>
      <c r="J883" t="s">
        <v>97</v>
      </c>
      <c r="K883" t="s">
        <v>173</v>
      </c>
      <c r="L883" t="s">
        <v>5867</v>
      </c>
      <c r="M883">
        <v>1</v>
      </c>
      <c r="N883">
        <v>2123</v>
      </c>
      <c r="O883">
        <v>10</v>
      </c>
      <c r="P883">
        <v>2477.6999999999998</v>
      </c>
      <c r="Q883">
        <v>1911.49</v>
      </c>
      <c r="R883">
        <v>566.21</v>
      </c>
      <c r="S883" t="s">
        <v>49</v>
      </c>
      <c r="T883" t="s">
        <v>89</v>
      </c>
      <c r="U883" t="s">
        <v>5868</v>
      </c>
      <c r="V883" t="s">
        <v>5869</v>
      </c>
      <c r="W883">
        <v>23</v>
      </c>
      <c r="X883" t="s">
        <v>53</v>
      </c>
      <c r="Y883">
        <v>0</v>
      </c>
    </row>
    <row r="884" spans="1:25" x14ac:dyDescent="0.35">
      <c r="A884" t="s">
        <v>5870</v>
      </c>
      <c r="B884" s="1">
        <v>45531</v>
      </c>
      <c r="C884" s="1">
        <v>45533</v>
      </c>
      <c r="D884" t="s">
        <v>3962</v>
      </c>
      <c r="E884" t="s">
        <v>5871</v>
      </c>
      <c r="F884" t="s">
        <v>28</v>
      </c>
      <c r="G884" t="s">
        <v>3114</v>
      </c>
      <c r="H884" t="s">
        <v>198</v>
      </c>
      <c r="I884" t="s">
        <v>31</v>
      </c>
      <c r="J884" t="s">
        <v>46</v>
      </c>
      <c r="K884" t="s">
        <v>714</v>
      </c>
      <c r="L884" t="s">
        <v>5872</v>
      </c>
      <c r="M884">
        <v>3</v>
      </c>
      <c r="N884">
        <v>659</v>
      </c>
      <c r="O884">
        <v>20</v>
      </c>
      <c r="P884">
        <v>2148.6</v>
      </c>
      <c r="Q884">
        <v>1582.26</v>
      </c>
      <c r="R884">
        <v>566.34</v>
      </c>
      <c r="S884" t="s">
        <v>35</v>
      </c>
      <c r="T884" t="s">
        <v>36</v>
      </c>
      <c r="U884" t="s">
        <v>5873</v>
      </c>
      <c r="V884" t="s">
        <v>5874</v>
      </c>
      <c r="W884">
        <v>9</v>
      </c>
      <c r="X884" t="s">
        <v>39</v>
      </c>
      <c r="Y884">
        <v>22</v>
      </c>
    </row>
    <row r="885" spans="1:25" x14ac:dyDescent="0.35">
      <c r="A885" t="s">
        <v>5875</v>
      </c>
      <c r="B885" s="1">
        <v>45496</v>
      </c>
      <c r="C885" s="1">
        <v>45499</v>
      </c>
      <c r="D885" t="s">
        <v>4197</v>
      </c>
      <c r="E885" t="s">
        <v>5876</v>
      </c>
      <c r="F885" t="s">
        <v>28</v>
      </c>
      <c r="G885" t="s">
        <v>5877</v>
      </c>
      <c r="H885" t="s">
        <v>154</v>
      </c>
      <c r="I885" t="s">
        <v>137</v>
      </c>
      <c r="J885" t="s">
        <v>32</v>
      </c>
      <c r="K885" t="s">
        <v>885</v>
      </c>
      <c r="L885" t="s">
        <v>5878</v>
      </c>
      <c r="M885">
        <v>4</v>
      </c>
      <c r="N885">
        <v>2846</v>
      </c>
      <c r="O885">
        <v>10</v>
      </c>
      <c r="P885">
        <v>10812.6</v>
      </c>
      <c r="Q885">
        <v>10246.219999999999</v>
      </c>
      <c r="R885">
        <v>566.38</v>
      </c>
      <c r="S885" t="s">
        <v>35</v>
      </c>
      <c r="T885" t="s">
        <v>89</v>
      </c>
      <c r="U885" t="s">
        <v>5879</v>
      </c>
      <c r="V885" t="s">
        <v>5880</v>
      </c>
      <c r="W885">
        <v>0</v>
      </c>
      <c r="X885" t="s">
        <v>39</v>
      </c>
      <c r="Y885">
        <v>49</v>
      </c>
    </row>
    <row r="886" spans="1:25" x14ac:dyDescent="0.35">
      <c r="A886" t="s">
        <v>5881</v>
      </c>
      <c r="B886" s="1">
        <v>45787</v>
      </c>
      <c r="C886" s="1">
        <v>45788</v>
      </c>
      <c r="D886" t="s">
        <v>5882</v>
      </c>
      <c r="E886" t="s">
        <v>5883</v>
      </c>
      <c r="F886" t="s">
        <v>28</v>
      </c>
      <c r="G886" t="s">
        <v>5884</v>
      </c>
      <c r="H886" t="s">
        <v>117</v>
      </c>
      <c r="I886" t="s">
        <v>108</v>
      </c>
      <c r="J886" t="s">
        <v>118</v>
      </c>
      <c r="K886" t="s">
        <v>1088</v>
      </c>
      <c r="L886" t="s">
        <v>5885</v>
      </c>
      <c r="M886">
        <v>9</v>
      </c>
      <c r="N886">
        <v>3603</v>
      </c>
      <c r="O886">
        <v>15</v>
      </c>
      <c r="P886">
        <v>28129.95</v>
      </c>
      <c r="Q886">
        <v>27563.84</v>
      </c>
      <c r="R886">
        <v>566.11</v>
      </c>
      <c r="S886" t="s">
        <v>49</v>
      </c>
      <c r="T886" t="s">
        <v>140</v>
      </c>
      <c r="U886" t="s">
        <v>5886</v>
      </c>
      <c r="V886" t="s">
        <v>5887</v>
      </c>
      <c r="W886">
        <v>17</v>
      </c>
      <c r="X886" t="s">
        <v>53</v>
      </c>
      <c r="Y886">
        <v>0</v>
      </c>
    </row>
    <row r="887" spans="1:25" x14ac:dyDescent="0.35">
      <c r="A887" t="s">
        <v>5888</v>
      </c>
      <c r="B887" s="1">
        <v>45393</v>
      </c>
      <c r="C887" s="1">
        <v>45397</v>
      </c>
      <c r="D887" t="s">
        <v>114</v>
      </c>
      <c r="E887" t="s">
        <v>5889</v>
      </c>
      <c r="F887" t="s">
        <v>95</v>
      </c>
      <c r="G887" t="s">
        <v>3704</v>
      </c>
      <c r="H887" t="s">
        <v>44</v>
      </c>
      <c r="I887" t="s">
        <v>45</v>
      </c>
      <c r="J887" t="s">
        <v>118</v>
      </c>
      <c r="K887" t="s">
        <v>750</v>
      </c>
      <c r="L887" t="s">
        <v>5890</v>
      </c>
      <c r="M887">
        <v>8</v>
      </c>
      <c r="N887">
        <v>3937</v>
      </c>
      <c r="O887">
        <v>0</v>
      </c>
      <c r="P887">
        <v>32063</v>
      </c>
      <c r="Q887">
        <v>31496.61</v>
      </c>
      <c r="R887">
        <v>566.39</v>
      </c>
      <c r="S887" t="s">
        <v>100</v>
      </c>
      <c r="T887" t="s">
        <v>140</v>
      </c>
      <c r="U887" t="s">
        <v>5891</v>
      </c>
      <c r="V887" t="s">
        <v>5892</v>
      </c>
      <c r="W887">
        <v>12</v>
      </c>
      <c r="X887" t="s">
        <v>53</v>
      </c>
      <c r="Y887">
        <v>0</v>
      </c>
    </row>
    <row r="888" spans="1:25" x14ac:dyDescent="0.35">
      <c r="A888" t="s">
        <v>5893</v>
      </c>
      <c r="B888" s="1">
        <v>45285</v>
      </c>
      <c r="C888" s="1">
        <v>45290</v>
      </c>
      <c r="D888" t="s">
        <v>5894</v>
      </c>
      <c r="E888" t="s">
        <v>5895</v>
      </c>
      <c r="F888" t="s">
        <v>57</v>
      </c>
      <c r="G888" t="s">
        <v>5896</v>
      </c>
      <c r="H888" t="s">
        <v>154</v>
      </c>
      <c r="I888" t="s">
        <v>137</v>
      </c>
      <c r="J888" t="s">
        <v>46</v>
      </c>
      <c r="K888" t="s">
        <v>691</v>
      </c>
      <c r="L888" t="s">
        <v>5897</v>
      </c>
      <c r="M888">
        <v>7</v>
      </c>
      <c r="N888">
        <v>3872</v>
      </c>
      <c r="O888">
        <v>10</v>
      </c>
      <c r="P888">
        <v>24960.6</v>
      </c>
      <c r="Q888">
        <v>24394.29</v>
      </c>
      <c r="R888">
        <v>566.30999999999995</v>
      </c>
      <c r="S888" t="s">
        <v>80</v>
      </c>
      <c r="T888" t="s">
        <v>36</v>
      </c>
      <c r="U888" t="s">
        <v>5898</v>
      </c>
      <c r="V888" t="s">
        <v>5899</v>
      </c>
      <c r="W888">
        <v>19</v>
      </c>
      <c r="X888" t="s">
        <v>53</v>
      </c>
      <c r="Y888">
        <v>0</v>
      </c>
    </row>
    <row r="889" spans="1:25" x14ac:dyDescent="0.35">
      <c r="A889" t="s">
        <v>5900</v>
      </c>
      <c r="B889" s="1">
        <v>45883</v>
      </c>
      <c r="C889" s="1">
        <v>45884</v>
      </c>
      <c r="D889" t="s">
        <v>3982</v>
      </c>
      <c r="E889" t="s">
        <v>5901</v>
      </c>
      <c r="F889" t="s">
        <v>95</v>
      </c>
      <c r="G889" t="s">
        <v>5902</v>
      </c>
      <c r="H889" t="s">
        <v>68</v>
      </c>
      <c r="I889" t="s">
        <v>31</v>
      </c>
      <c r="J889" t="s">
        <v>32</v>
      </c>
      <c r="K889" t="s">
        <v>786</v>
      </c>
      <c r="L889" t="s">
        <v>5903</v>
      </c>
      <c r="M889">
        <v>6</v>
      </c>
      <c r="N889">
        <v>407</v>
      </c>
      <c r="O889">
        <v>20</v>
      </c>
      <c r="P889">
        <v>2520.6</v>
      </c>
      <c r="Q889">
        <v>1954.49</v>
      </c>
      <c r="R889">
        <v>566.11</v>
      </c>
      <c r="S889" t="s">
        <v>35</v>
      </c>
      <c r="T889" t="s">
        <v>36</v>
      </c>
      <c r="U889" t="s">
        <v>5904</v>
      </c>
      <c r="V889" t="s">
        <v>5905</v>
      </c>
      <c r="W889">
        <v>34</v>
      </c>
      <c r="X889" t="s">
        <v>53</v>
      </c>
      <c r="Y889">
        <v>0</v>
      </c>
    </row>
    <row r="890" spans="1:25" x14ac:dyDescent="0.35">
      <c r="A890" t="s">
        <v>5906</v>
      </c>
      <c r="B890" s="1">
        <v>45554</v>
      </c>
      <c r="C890" s="1">
        <v>45561</v>
      </c>
      <c r="D890" t="s">
        <v>1280</v>
      </c>
      <c r="E890" t="s">
        <v>5907</v>
      </c>
      <c r="F890" t="s">
        <v>95</v>
      </c>
      <c r="G890" t="s">
        <v>5908</v>
      </c>
      <c r="H890" t="s">
        <v>334</v>
      </c>
      <c r="I890" t="s">
        <v>108</v>
      </c>
      <c r="J890" t="s">
        <v>46</v>
      </c>
      <c r="K890" t="s">
        <v>970</v>
      </c>
      <c r="L890" t="s">
        <v>5909</v>
      </c>
      <c r="M890">
        <v>10</v>
      </c>
      <c r="N890">
        <v>2424</v>
      </c>
      <c r="O890">
        <v>5</v>
      </c>
      <c r="P890">
        <v>23595</v>
      </c>
      <c r="Q890">
        <v>23028.77</v>
      </c>
      <c r="R890">
        <v>566.23</v>
      </c>
      <c r="S890" t="s">
        <v>35</v>
      </c>
      <c r="T890" t="s">
        <v>36</v>
      </c>
      <c r="U890" t="s">
        <v>4091</v>
      </c>
      <c r="V890" t="s">
        <v>5910</v>
      </c>
      <c r="W890">
        <v>41</v>
      </c>
      <c r="X890" t="s">
        <v>53</v>
      </c>
      <c r="Y890">
        <v>0</v>
      </c>
    </row>
    <row r="891" spans="1:25" x14ac:dyDescent="0.35">
      <c r="A891" t="s">
        <v>5911</v>
      </c>
      <c r="B891" s="1">
        <v>45548</v>
      </c>
      <c r="C891" s="1">
        <v>45553</v>
      </c>
      <c r="D891" t="s">
        <v>5026</v>
      </c>
      <c r="E891" t="s">
        <v>5912</v>
      </c>
      <c r="F891" t="s">
        <v>57</v>
      </c>
      <c r="G891" t="s">
        <v>5913</v>
      </c>
      <c r="H891" t="s">
        <v>77</v>
      </c>
      <c r="I891" t="s">
        <v>45</v>
      </c>
      <c r="J891" t="s">
        <v>118</v>
      </c>
      <c r="K891" t="s">
        <v>927</v>
      </c>
      <c r="L891" t="s">
        <v>5914</v>
      </c>
      <c r="M891">
        <v>6</v>
      </c>
      <c r="N891">
        <v>1035</v>
      </c>
      <c r="O891">
        <v>20</v>
      </c>
      <c r="P891">
        <v>5535</v>
      </c>
      <c r="Q891">
        <v>4968.72</v>
      </c>
      <c r="R891">
        <v>566.28</v>
      </c>
      <c r="S891" t="s">
        <v>100</v>
      </c>
      <c r="T891" t="s">
        <v>89</v>
      </c>
      <c r="U891" t="s">
        <v>5915</v>
      </c>
      <c r="V891" t="s">
        <v>5916</v>
      </c>
      <c r="W891">
        <v>23</v>
      </c>
      <c r="X891" t="s">
        <v>53</v>
      </c>
      <c r="Y891">
        <v>0</v>
      </c>
    </row>
    <row r="892" spans="1:25" x14ac:dyDescent="0.35">
      <c r="A892" t="s">
        <v>5917</v>
      </c>
      <c r="B892" s="1">
        <v>45539</v>
      </c>
      <c r="C892" s="1">
        <v>45540</v>
      </c>
      <c r="D892" t="s">
        <v>5918</v>
      </c>
      <c r="E892" t="s">
        <v>5919</v>
      </c>
      <c r="F892" t="s">
        <v>95</v>
      </c>
      <c r="G892" t="s">
        <v>5920</v>
      </c>
      <c r="H892" t="s">
        <v>68</v>
      </c>
      <c r="I892" t="s">
        <v>31</v>
      </c>
      <c r="J892" t="s">
        <v>97</v>
      </c>
      <c r="K892" t="s">
        <v>181</v>
      </c>
      <c r="L892" t="s">
        <v>5921</v>
      </c>
      <c r="M892">
        <v>5</v>
      </c>
      <c r="N892">
        <v>2608</v>
      </c>
      <c r="O892">
        <v>20</v>
      </c>
      <c r="P892">
        <v>10999</v>
      </c>
      <c r="Q892">
        <v>10432.700000000001</v>
      </c>
      <c r="R892">
        <v>566.29999999999995</v>
      </c>
      <c r="S892" t="s">
        <v>100</v>
      </c>
      <c r="T892" t="s">
        <v>140</v>
      </c>
      <c r="U892" t="s">
        <v>5922</v>
      </c>
      <c r="V892" t="s">
        <v>5923</v>
      </c>
      <c r="W892">
        <v>25</v>
      </c>
      <c r="X892" t="s">
        <v>53</v>
      </c>
      <c r="Y892">
        <v>0</v>
      </c>
    </row>
    <row r="893" spans="1:25" x14ac:dyDescent="0.35">
      <c r="A893" t="s">
        <v>5924</v>
      </c>
      <c r="B893" s="1">
        <v>45805</v>
      </c>
      <c r="C893" s="1">
        <v>45806</v>
      </c>
      <c r="D893" t="s">
        <v>3567</v>
      </c>
      <c r="E893" t="s">
        <v>5925</v>
      </c>
      <c r="F893" t="s">
        <v>57</v>
      </c>
      <c r="G893" t="s">
        <v>5926</v>
      </c>
      <c r="H893" t="s">
        <v>68</v>
      </c>
      <c r="I893" t="s">
        <v>31</v>
      </c>
      <c r="J893" t="s">
        <v>46</v>
      </c>
      <c r="K893" t="s">
        <v>706</v>
      </c>
      <c r="L893" t="s">
        <v>5927</v>
      </c>
      <c r="M893">
        <v>7</v>
      </c>
      <c r="N893">
        <v>3727</v>
      </c>
      <c r="O893">
        <v>0</v>
      </c>
      <c r="P893">
        <v>26656</v>
      </c>
      <c r="Q893">
        <v>26089.65</v>
      </c>
      <c r="R893">
        <v>566.35</v>
      </c>
      <c r="S893" t="s">
        <v>35</v>
      </c>
      <c r="T893" t="s">
        <v>89</v>
      </c>
      <c r="U893" t="s">
        <v>5928</v>
      </c>
      <c r="V893" t="s">
        <v>5929</v>
      </c>
      <c r="W893">
        <v>11</v>
      </c>
      <c r="X893" t="s">
        <v>53</v>
      </c>
      <c r="Y893">
        <v>0</v>
      </c>
    </row>
    <row r="894" spans="1:25" x14ac:dyDescent="0.35">
      <c r="A894" t="s">
        <v>5930</v>
      </c>
      <c r="B894" s="1">
        <v>45483</v>
      </c>
      <c r="C894" s="1">
        <v>45485</v>
      </c>
      <c r="D894" t="s">
        <v>5931</v>
      </c>
      <c r="E894" t="s">
        <v>5932</v>
      </c>
      <c r="F894" t="s">
        <v>28</v>
      </c>
      <c r="G894" t="s">
        <v>5933</v>
      </c>
      <c r="H894" t="s">
        <v>154</v>
      </c>
      <c r="I894" t="s">
        <v>137</v>
      </c>
      <c r="J894" t="s">
        <v>32</v>
      </c>
      <c r="K894" t="s">
        <v>47</v>
      </c>
      <c r="L894" t="s">
        <v>5934</v>
      </c>
      <c r="M894">
        <v>6</v>
      </c>
      <c r="N894">
        <v>3113</v>
      </c>
      <c r="O894">
        <v>15</v>
      </c>
      <c r="P894">
        <v>16443.3</v>
      </c>
      <c r="Q894">
        <v>15877.05</v>
      </c>
      <c r="R894">
        <v>566.25</v>
      </c>
      <c r="S894" t="s">
        <v>35</v>
      </c>
      <c r="T894" t="s">
        <v>50</v>
      </c>
      <c r="U894" t="s">
        <v>5935</v>
      </c>
      <c r="V894" t="s">
        <v>5936</v>
      </c>
      <c r="W894">
        <v>21</v>
      </c>
      <c r="X894" t="s">
        <v>53</v>
      </c>
      <c r="Y894">
        <v>0</v>
      </c>
    </row>
    <row r="895" spans="1:25" x14ac:dyDescent="0.35">
      <c r="A895" t="s">
        <v>5937</v>
      </c>
      <c r="B895" s="1">
        <v>45752</v>
      </c>
      <c r="C895" s="1">
        <v>45753</v>
      </c>
      <c r="D895" t="s">
        <v>4607</v>
      </c>
      <c r="E895" t="s">
        <v>5938</v>
      </c>
      <c r="F895" t="s">
        <v>57</v>
      </c>
      <c r="G895" t="s">
        <v>5939</v>
      </c>
      <c r="H895" t="s">
        <v>230</v>
      </c>
      <c r="I895" t="s">
        <v>137</v>
      </c>
      <c r="J895" t="s">
        <v>118</v>
      </c>
      <c r="K895" t="s">
        <v>430</v>
      </c>
      <c r="L895" t="s">
        <v>5940</v>
      </c>
      <c r="M895">
        <v>6</v>
      </c>
      <c r="N895">
        <v>1262</v>
      </c>
      <c r="O895">
        <v>20</v>
      </c>
      <c r="P895">
        <v>6624.6</v>
      </c>
      <c r="Q895">
        <v>6058.44</v>
      </c>
      <c r="R895">
        <v>566.16</v>
      </c>
      <c r="S895" t="s">
        <v>35</v>
      </c>
      <c r="T895" t="s">
        <v>50</v>
      </c>
      <c r="U895" t="s">
        <v>5941</v>
      </c>
      <c r="V895" t="s">
        <v>5942</v>
      </c>
      <c r="W895">
        <v>40</v>
      </c>
      <c r="X895" t="s">
        <v>53</v>
      </c>
      <c r="Y895">
        <v>0</v>
      </c>
    </row>
    <row r="896" spans="1:25" x14ac:dyDescent="0.35">
      <c r="A896" t="s">
        <v>5943</v>
      </c>
      <c r="B896" s="1">
        <v>45884</v>
      </c>
      <c r="C896" s="1">
        <v>45889</v>
      </c>
      <c r="D896" t="s">
        <v>1705</v>
      </c>
      <c r="E896" t="s">
        <v>5944</v>
      </c>
      <c r="F896" t="s">
        <v>28</v>
      </c>
      <c r="G896" t="s">
        <v>5945</v>
      </c>
      <c r="H896" t="s">
        <v>136</v>
      </c>
      <c r="I896" t="s">
        <v>137</v>
      </c>
      <c r="J896" t="s">
        <v>97</v>
      </c>
      <c r="K896" t="s">
        <v>466</v>
      </c>
      <c r="L896" t="s">
        <v>5946</v>
      </c>
      <c r="M896">
        <v>1</v>
      </c>
      <c r="N896">
        <v>4994</v>
      </c>
      <c r="O896">
        <v>15</v>
      </c>
      <c r="P896">
        <v>4811.8999999999996</v>
      </c>
      <c r="Q896">
        <v>4245.6099999999997</v>
      </c>
      <c r="R896">
        <v>566.29</v>
      </c>
      <c r="S896" t="s">
        <v>49</v>
      </c>
      <c r="T896" t="s">
        <v>50</v>
      </c>
      <c r="U896" t="s">
        <v>5947</v>
      </c>
      <c r="V896" t="s">
        <v>5948</v>
      </c>
      <c r="W896">
        <v>10</v>
      </c>
      <c r="X896" t="s">
        <v>53</v>
      </c>
      <c r="Y896">
        <v>0</v>
      </c>
    </row>
    <row r="897" spans="1:25" x14ac:dyDescent="0.35">
      <c r="A897" t="s">
        <v>5949</v>
      </c>
      <c r="B897" s="1">
        <v>45555</v>
      </c>
      <c r="C897" s="1">
        <v>45559</v>
      </c>
      <c r="D897" t="s">
        <v>890</v>
      </c>
      <c r="E897" t="s">
        <v>5950</v>
      </c>
      <c r="F897" t="s">
        <v>28</v>
      </c>
      <c r="G897" t="s">
        <v>5951</v>
      </c>
      <c r="H897" t="s">
        <v>334</v>
      </c>
      <c r="I897" t="s">
        <v>108</v>
      </c>
      <c r="J897" t="s">
        <v>46</v>
      </c>
      <c r="K897" t="s">
        <v>648</v>
      </c>
      <c r="L897" t="s">
        <v>5952</v>
      </c>
      <c r="M897">
        <v>7</v>
      </c>
      <c r="N897">
        <v>4849</v>
      </c>
      <c r="O897">
        <v>20</v>
      </c>
      <c r="P897">
        <v>27721.4</v>
      </c>
      <c r="Q897">
        <v>27155.27</v>
      </c>
      <c r="R897">
        <v>566.13</v>
      </c>
      <c r="S897" t="s">
        <v>49</v>
      </c>
      <c r="T897" t="s">
        <v>36</v>
      </c>
      <c r="U897" t="s">
        <v>5953</v>
      </c>
      <c r="V897" t="s">
        <v>5954</v>
      </c>
      <c r="W897">
        <v>40</v>
      </c>
      <c r="X897" t="s">
        <v>53</v>
      </c>
      <c r="Y897">
        <v>0</v>
      </c>
    </row>
    <row r="898" spans="1:25" x14ac:dyDescent="0.35">
      <c r="A898" t="s">
        <v>5955</v>
      </c>
      <c r="B898" s="1">
        <v>45739</v>
      </c>
      <c r="C898" s="1">
        <v>45743</v>
      </c>
      <c r="D898" t="s">
        <v>5956</v>
      </c>
      <c r="E898" t="s">
        <v>5957</v>
      </c>
      <c r="F898" t="s">
        <v>28</v>
      </c>
      <c r="G898" t="s">
        <v>5958</v>
      </c>
      <c r="H898" t="s">
        <v>68</v>
      </c>
      <c r="I898" t="s">
        <v>31</v>
      </c>
      <c r="J898" t="s">
        <v>32</v>
      </c>
      <c r="K898" t="s">
        <v>786</v>
      </c>
      <c r="L898" t="s">
        <v>5959</v>
      </c>
      <c r="M898">
        <v>4</v>
      </c>
      <c r="N898">
        <v>3011</v>
      </c>
      <c r="O898">
        <v>20</v>
      </c>
      <c r="P898">
        <v>10202.200000000001</v>
      </c>
      <c r="Q898">
        <v>9636.0499999999993</v>
      </c>
      <c r="R898">
        <v>566.15</v>
      </c>
      <c r="S898" t="s">
        <v>80</v>
      </c>
      <c r="T898" t="s">
        <v>36</v>
      </c>
      <c r="U898" t="s">
        <v>5960</v>
      </c>
      <c r="V898" t="s">
        <v>5961</v>
      </c>
      <c r="W898">
        <v>27</v>
      </c>
      <c r="X898" t="s">
        <v>53</v>
      </c>
      <c r="Y898">
        <v>0</v>
      </c>
    </row>
    <row r="899" spans="1:25" x14ac:dyDescent="0.35">
      <c r="A899" t="s">
        <v>5962</v>
      </c>
      <c r="B899" s="1">
        <v>45752</v>
      </c>
      <c r="C899" s="1">
        <v>45753</v>
      </c>
      <c r="D899" t="s">
        <v>2838</v>
      </c>
      <c r="E899" t="s">
        <v>5963</v>
      </c>
      <c r="F899" t="s">
        <v>57</v>
      </c>
      <c r="G899" t="s">
        <v>5964</v>
      </c>
      <c r="H899" t="s">
        <v>107</v>
      </c>
      <c r="I899" t="s">
        <v>108</v>
      </c>
      <c r="J899" t="s">
        <v>32</v>
      </c>
      <c r="K899" t="s">
        <v>466</v>
      </c>
      <c r="L899" t="s">
        <v>5693</v>
      </c>
      <c r="M899">
        <v>4</v>
      </c>
      <c r="N899">
        <v>4418</v>
      </c>
      <c r="O899">
        <v>0</v>
      </c>
      <c r="P899">
        <v>18239</v>
      </c>
      <c r="Q899">
        <v>17672.87</v>
      </c>
      <c r="R899">
        <v>566.13</v>
      </c>
      <c r="S899" t="s">
        <v>100</v>
      </c>
      <c r="T899" t="s">
        <v>50</v>
      </c>
      <c r="U899" t="s">
        <v>5965</v>
      </c>
      <c r="V899" t="s">
        <v>5966</v>
      </c>
      <c r="W899">
        <v>10</v>
      </c>
      <c r="X899" t="s">
        <v>53</v>
      </c>
      <c r="Y899">
        <v>0</v>
      </c>
    </row>
    <row r="900" spans="1:25" x14ac:dyDescent="0.35">
      <c r="A900" t="s">
        <v>5967</v>
      </c>
      <c r="B900" s="1">
        <v>45511</v>
      </c>
      <c r="C900" s="1">
        <v>45516</v>
      </c>
      <c r="D900" t="s">
        <v>2057</v>
      </c>
      <c r="E900" t="s">
        <v>5968</v>
      </c>
      <c r="F900" t="s">
        <v>28</v>
      </c>
      <c r="G900" t="s">
        <v>5969</v>
      </c>
      <c r="H900" t="s">
        <v>117</v>
      </c>
      <c r="I900" t="s">
        <v>108</v>
      </c>
      <c r="J900" t="s">
        <v>97</v>
      </c>
      <c r="K900" t="s">
        <v>138</v>
      </c>
      <c r="L900" t="s">
        <v>5970</v>
      </c>
      <c r="M900">
        <v>7</v>
      </c>
      <c r="N900">
        <v>3994</v>
      </c>
      <c r="O900">
        <v>5</v>
      </c>
      <c r="P900">
        <v>27127.1</v>
      </c>
      <c r="Q900">
        <v>26560.95</v>
      </c>
      <c r="R900">
        <v>566.15</v>
      </c>
      <c r="S900" t="s">
        <v>35</v>
      </c>
      <c r="T900" t="s">
        <v>36</v>
      </c>
      <c r="U900" t="s">
        <v>5971</v>
      </c>
      <c r="V900" t="s">
        <v>5972</v>
      </c>
      <c r="W900">
        <v>6</v>
      </c>
      <c r="X900" t="s">
        <v>39</v>
      </c>
      <c r="Y900">
        <v>25</v>
      </c>
    </row>
    <row r="901" spans="1:25" x14ac:dyDescent="0.35">
      <c r="A901" t="s">
        <v>5973</v>
      </c>
      <c r="B901" s="1">
        <v>45534</v>
      </c>
      <c r="C901" s="1">
        <v>45539</v>
      </c>
      <c r="D901" t="s">
        <v>5974</v>
      </c>
      <c r="E901" t="s">
        <v>5975</v>
      </c>
      <c r="F901" t="s">
        <v>95</v>
      </c>
      <c r="G901" t="s">
        <v>5976</v>
      </c>
      <c r="H901" t="s">
        <v>320</v>
      </c>
      <c r="I901" t="s">
        <v>137</v>
      </c>
      <c r="J901" t="s">
        <v>97</v>
      </c>
      <c r="K901" t="s">
        <v>69</v>
      </c>
      <c r="L901" t="s">
        <v>5977</v>
      </c>
      <c r="M901">
        <v>4</v>
      </c>
      <c r="N901">
        <v>500</v>
      </c>
      <c r="O901">
        <v>15</v>
      </c>
      <c r="P901">
        <v>2267</v>
      </c>
      <c r="Q901">
        <v>1700.6</v>
      </c>
      <c r="R901">
        <v>566.4</v>
      </c>
      <c r="S901" t="s">
        <v>49</v>
      </c>
      <c r="T901" t="s">
        <v>89</v>
      </c>
      <c r="U901" t="s">
        <v>5978</v>
      </c>
      <c r="V901" t="s">
        <v>5979</v>
      </c>
      <c r="W901">
        <v>11</v>
      </c>
      <c r="X901" t="s">
        <v>53</v>
      </c>
      <c r="Y901">
        <v>0</v>
      </c>
    </row>
    <row r="902" spans="1:25" x14ac:dyDescent="0.35">
      <c r="A902" t="s">
        <v>5980</v>
      </c>
      <c r="B902" s="1">
        <v>45750</v>
      </c>
      <c r="C902" s="1">
        <v>45757</v>
      </c>
      <c r="D902" t="s">
        <v>4447</v>
      </c>
      <c r="E902" t="s">
        <v>5981</v>
      </c>
      <c r="F902" t="s">
        <v>95</v>
      </c>
      <c r="G902" t="s">
        <v>5982</v>
      </c>
      <c r="H902" t="s">
        <v>107</v>
      </c>
      <c r="I902" t="s">
        <v>108</v>
      </c>
      <c r="J902" t="s">
        <v>97</v>
      </c>
      <c r="K902" t="s">
        <v>190</v>
      </c>
      <c r="L902" t="s">
        <v>5983</v>
      </c>
      <c r="M902">
        <v>4</v>
      </c>
      <c r="N902">
        <v>4165</v>
      </c>
      <c r="O902">
        <v>10</v>
      </c>
      <c r="P902">
        <v>15561</v>
      </c>
      <c r="Q902">
        <v>14994.71</v>
      </c>
      <c r="R902">
        <v>566.29</v>
      </c>
      <c r="S902" t="s">
        <v>80</v>
      </c>
      <c r="T902" t="s">
        <v>36</v>
      </c>
      <c r="U902" t="s">
        <v>5984</v>
      </c>
      <c r="V902" t="s">
        <v>5985</v>
      </c>
      <c r="W902">
        <v>14</v>
      </c>
      <c r="X902" t="s">
        <v>53</v>
      </c>
      <c r="Y902">
        <v>0</v>
      </c>
    </row>
    <row r="903" spans="1:25" x14ac:dyDescent="0.35">
      <c r="A903" t="s">
        <v>5986</v>
      </c>
      <c r="B903" s="1">
        <v>45405</v>
      </c>
      <c r="C903" s="1">
        <v>45410</v>
      </c>
      <c r="D903" t="s">
        <v>463</v>
      </c>
      <c r="E903" t="s">
        <v>5987</v>
      </c>
      <c r="F903" t="s">
        <v>95</v>
      </c>
      <c r="G903" t="s">
        <v>5988</v>
      </c>
      <c r="H903" t="s">
        <v>320</v>
      </c>
      <c r="I903" t="s">
        <v>137</v>
      </c>
      <c r="J903" t="s">
        <v>46</v>
      </c>
      <c r="K903" t="s">
        <v>87</v>
      </c>
      <c r="L903" t="s">
        <v>5989</v>
      </c>
      <c r="M903">
        <v>6</v>
      </c>
      <c r="N903">
        <v>1239</v>
      </c>
      <c r="O903">
        <v>0</v>
      </c>
      <c r="P903">
        <v>8001</v>
      </c>
      <c r="Q903">
        <v>7434.75</v>
      </c>
      <c r="R903">
        <v>566.25</v>
      </c>
      <c r="S903" t="s">
        <v>100</v>
      </c>
      <c r="T903" t="s">
        <v>140</v>
      </c>
      <c r="U903" t="s">
        <v>5990</v>
      </c>
      <c r="V903" t="s">
        <v>5991</v>
      </c>
      <c r="W903">
        <v>37</v>
      </c>
      <c r="X903" t="s">
        <v>53</v>
      </c>
      <c r="Y903">
        <v>0</v>
      </c>
    </row>
    <row r="904" spans="1:25" x14ac:dyDescent="0.35">
      <c r="A904" t="s">
        <v>5992</v>
      </c>
      <c r="B904" s="1">
        <v>45666</v>
      </c>
      <c r="C904" s="1">
        <v>45667</v>
      </c>
      <c r="D904" t="s">
        <v>5993</v>
      </c>
      <c r="E904" t="s">
        <v>5994</v>
      </c>
      <c r="F904" t="s">
        <v>57</v>
      </c>
      <c r="G904" t="s">
        <v>5995</v>
      </c>
      <c r="H904" t="s">
        <v>364</v>
      </c>
      <c r="I904" t="s">
        <v>137</v>
      </c>
      <c r="J904" t="s">
        <v>32</v>
      </c>
      <c r="K904" t="s">
        <v>750</v>
      </c>
      <c r="L904" t="s">
        <v>5996</v>
      </c>
      <c r="M904">
        <v>7</v>
      </c>
      <c r="N904">
        <v>3861</v>
      </c>
      <c r="O904">
        <v>10</v>
      </c>
      <c r="P904">
        <v>24891.3</v>
      </c>
      <c r="Q904">
        <v>24324.93</v>
      </c>
      <c r="R904">
        <v>566.37</v>
      </c>
      <c r="S904" t="s">
        <v>35</v>
      </c>
      <c r="T904" t="s">
        <v>140</v>
      </c>
      <c r="U904" t="s">
        <v>5997</v>
      </c>
      <c r="V904" t="s">
        <v>5998</v>
      </c>
      <c r="W904">
        <v>45</v>
      </c>
      <c r="X904" t="s">
        <v>53</v>
      </c>
      <c r="Y904">
        <v>0</v>
      </c>
    </row>
    <row r="905" spans="1:25" x14ac:dyDescent="0.35">
      <c r="A905" t="s">
        <v>5999</v>
      </c>
      <c r="B905" s="1">
        <v>45958</v>
      </c>
      <c r="C905" s="1">
        <v>45960</v>
      </c>
      <c r="D905" t="s">
        <v>6000</v>
      </c>
      <c r="E905" t="s">
        <v>6001</v>
      </c>
      <c r="F905" t="s">
        <v>95</v>
      </c>
      <c r="G905" t="s">
        <v>6002</v>
      </c>
      <c r="H905" t="s">
        <v>117</v>
      </c>
      <c r="I905" t="s">
        <v>108</v>
      </c>
      <c r="J905" t="s">
        <v>32</v>
      </c>
      <c r="K905" t="s">
        <v>691</v>
      </c>
      <c r="L905" t="s">
        <v>6003</v>
      </c>
      <c r="M905">
        <v>6</v>
      </c>
      <c r="N905">
        <v>1801</v>
      </c>
      <c r="O905">
        <v>15</v>
      </c>
      <c r="P905">
        <v>9752.1</v>
      </c>
      <c r="Q905">
        <v>9185.94</v>
      </c>
      <c r="R905">
        <v>566.16</v>
      </c>
      <c r="S905" t="s">
        <v>100</v>
      </c>
      <c r="T905" t="s">
        <v>36</v>
      </c>
      <c r="U905" t="s">
        <v>6004</v>
      </c>
      <c r="V905" t="s">
        <v>6005</v>
      </c>
      <c r="W905">
        <v>32</v>
      </c>
      <c r="X905" t="s">
        <v>53</v>
      </c>
      <c r="Y905">
        <v>0</v>
      </c>
    </row>
    <row r="906" spans="1:25" x14ac:dyDescent="0.35">
      <c r="A906" t="s">
        <v>6006</v>
      </c>
      <c r="B906" s="1">
        <v>45638</v>
      </c>
      <c r="C906" s="1">
        <v>45642</v>
      </c>
      <c r="D906" t="s">
        <v>1370</v>
      </c>
      <c r="E906" t="s">
        <v>6007</v>
      </c>
      <c r="F906" t="s">
        <v>28</v>
      </c>
      <c r="G906" t="s">
        <v>6008</v>
      </c>
      <c r="H906" t="s">
        <v>68</v>
      </c>
      <c r="I906" t="s">
        <v>31</v>
      </c>
      <c r="J906" t="s">
        <v>118</v>
      </c>
      <c r="K906" t="s">
        <v>155</v>
      </c>
      <c r="L906" t="s">
        <v>6009</v>
      </c>
      <c r="M906">
        <v>2</v>
      </c>
      <c r="N906">
        <v>1188</v>
      </c>
      <c r="O906">
        <v>15</v>
      </c>
      <c r="P906">
        <v>2586.6</v>
      </c>
      <c r="Q906">
        <v>2020.41</v>
      </c>
      <c r="R906">
        <v>566.19000000000005</v>
      </c>
      <c r="S906" t="s">
        <v>35</v>
      </c>
      <c r="T906" t="s">
        <v>36</v>
      </c>
      <c r="U906" t="s">
        <v>6010</v>
      </c>
      <c r="V906" t="s">
        <v>6011</v>
      </c>
      <c r="W906">
        <v>16</v>
      </c>
      <c r="X906" t="s">
        <v>53</v>
      </c>
      <c r="Y906">
        <v>0</v>
      </c>
    </row>
    <row r="907" spans="1:25" x14ac:dyDescent="0.35">
      <c r="A907" t="s">
        <v>6012</v>
      </c>
      <c r="B907" s="1">
        <v>45688</v>
      </c>
      <c r="C907" s="1">
        <v>45689</v>
      </c>
      <c r="D907" t="s">
        <v>5172</v>
      </c>
      <c r="E907" t="s">
        <v>6013</v>
      </c>
      <c r="F907" t="s">
        <v>95</v>
      </c>
      <c r="G907" t="s">
        <v>6014</v>
      </c>
      <c r="H907" t="s">
        <v>320</v>
      </c>
      <c r="I907" t="s">
        <v>137</v>
      </c>
      <c r="J907" t="s">
        <v>32</v>
      </c>
      <c r="K907" t="s">
        <v>648</v>
      </c>
      <c r="L907" t="s">
        <v>6015</v>
      </c>
      <c r="M907">
        <v>5</v>
      </c>
      <c r="N907">
        <v>1334</v>
      </c>
      <c r="O907">
        <v>5</v>
      </c>
      <c r="P907">
        <v>6903.5</v>
      </c>
      <c r="Q907">
        <v>6337.35</v>
      </c>
      <c r="R907">
        <v>566.15</v>
      </c>
      <c r="S907" t="s">
        <v>49</v>
      </c>
      <c r="T907" t="s">
        <v>50</v>
      </c>
      <c r="U907" t="s">
        <v>6016</v>
      </c>
      <c r="V907" t="s">
        <v>6017</v>
      </c>
      <c r="W907">
        <v>7</v>
      </c>
      <c r="X907" t="s">
        <v>39</v>
      </c>
      <c r="Y907">
        <v>44</v>
      </c>
    </row>
    <row r="908" spans="1:25" x14ac:dyDescent="0.35">
      <c r="A908" t="s">
        <v>6018</v>
      </c>
      <c r="B908" s="1">
        <v>45555</v>
      </c>
      <c r="C908" s="1">
        <v>45560</v>
      </c>
      <c r="D908" t="s">
        <v>6019</v>
      </c>
      <c r="E908" t="s">
        <v>6020</v>
      </c>
      <c r="F908" t="s">
        <v>28</v>
      </c>
      <c r="G908" t="s">
        <v>6021</v>
      </c>
      <c r="H908" t="s">
        <v>206</v>
      </c>
      <c r="I908" t="s">
        <v>31</v>
      </c>
      <c r="J908" t="s">
        <v>97</v>
      </c>
      <c r="K908" t="s">
        <v>532</v>
      </c>
      <c r="L908" t="s">
        <v>6022</v>
      </c>
      <c r="M908">
        <v>1</v>
      </c>
      <c r="N908">
        <v>4637</v>
      </c>
      <c r="O908">
        <v>5</v>
      </c>
      <c r="P908">
        <v>4972.1499999999996</v>
      </c>
      <c r="Q908">
        <v>4405.78</v>
      </c>
      <c r="R908">
        <v>566.37</v>
      </c>
      <c r="S908" t="s">
        <v>100</v>
      </c>
      <c r="T908" t="s">
        <v>36</v>
      </c>
      <c r="U908" t="s">
        <v>6023</v>
      </c>
      <c r="V908" t="s">
        <v>6024</v>
      </c>
      <c r="W908">
        <v>19</v>
      </c>
      <c r="X908" t="s">
        <v>53</v>
      </c>
      <c r="Y908">
        <v>0</v>
      </c>
    </row>
    <row r="909" spans="1:25" x14ac:dyDescent="0.35">
      <c r="A909" t="s">
        <v>6025</v>
      </c>
      <c r="B909" s="1">
        <v>45755</v>
      </c>
      <c r="C909" s="1">
        <v>45757</v>
      </c>
      <c r="D909" t="s">
        <v>4031</v>
      </c>
      <c r="E909" t="s">
        <v>6026</v>
      </c>
      <c r="F909" t="s">
        <v>57</v>
      </c>
      <c r="G909" t="s">
        <v>4020</v>
      </c>
      <c r="H909" t="s">
        <v>230</v>
      </c>
      <c r="I909" t="s">
        <v>137</v>
      </c>
      <c r="J909" t="s">
        <v>118</v>
      </c>
      <c r="K909" t="s">
        <v>98</v>
      </c>
      <c r="L909" t="s">
        <v>6027</v>
      </c>
      <c r="M909">
        <v>10</v>
      </c>
      <c r="N909">
        <v>4921</v>
      </c>
      <c r="O909">
        <v>15</v>
      </c>
      <c r="P909">
        <v>42395.5</v>
      </c>
      <c r="Q909">
        <v>41829.230000000003</v>
      </c>
      <c r="R909">
        <v>566.27</v>
      </c>
      <c r="S909" t="s">
        <v>35</v>
      </c>
      <c r="T909" t="s">
        <v>140</v>
      </c>
      <c r="U909" t="s">
        <v>6028</v>
      </c>
      <c r="V909" t="s">
        <v>6029</v>
      </c>
      <c r="W909">
        <v>21</v>
      </c>
      <c r="X909" t="s">
        <v>53</v>
      </c>
      <c r="Y909">
        <v>0</v>
      </c>
    </row>
    <row r="910" spans="1:25" x14ac:dyDescent="0.35">
      <c r="A910" t="s">
        <v>6030</v>
      </c>
      <c r="B910" s="1">
        <v>45381</v>
      </c>
      <c r="C910" s="1">
        <v>45382</v>
      </c>
      <c r="D910" t="s">
        <v>1197</v>
      </c>
      <c r="E910" t="s">
        <v>6031</v>
      </c>
      <c r="F910" t="s">
        <v>95</v>
      </c>
      <c r="G910" t="s">
        <v>6032</v>
      </c>
      <c r="H910" t="s">
        <v>77</v>
      </c>
      <c r="I910" t="s">
        <v>45</v>
      </c>
      <c r="J910" t="s">
        <v>118</v>
      </c>
      <c r="K910" t="s">
        <v>706</v>
      </c>
      <c r="L910" t="s">
        <v>6033</v>
      </c>
      <c r="M910">
        <v>8</v>
      </c>
      <c r="N910">
        <v>1817</v>
      </c>
      <c r="O910">
        <v>5</v>
      </c>
      <c r="P910">
        <v>14376.2</v>
      </c>
      <c r="Q910">
        <v>13810.01</v>
      </c>
      <c r="R910">
        <v>566.19000000000005</v>
      </c>
      <c r="S910" t="s">
        <v>80</v>
      </c>
      <c r="T910" t="s">
        <v>89</v>
      </c>
      <c r="U910" t="s">
        <v>6034</v>
      </c>
      <c r="V910" t="s">
        <v>6035</v>
      </c>
      <c r="W910">
        <v>39</v>
      </c>
      <c r="X910" t="s">
        <v>53</v>
      </c>
      <c r="Y910">
        <v>0</v>
      </c>
    </row>
    <row r="911" spans="1:25" x14ac:dyDescent="0.35">
      <c r="A911" t="s">
        <v>6036</v>
      </c>
      <c r="B911" s="1">
        <v>45820</v>
      </c>
      <c r="C911" s="1">
        <v>45827</v>
      </c>
      <c r="D911" t="s">
        <v>6037</v>
      </c>
      <c r="E911" t="s">
        <v>6038</v>
      </c>
      <c r="F911" t="s">
        <v>57</v>
      </c>
      <c r="G911" t="s">
        <v>6039</v>
      </c>
      <c r="H911" t="s">
        <v>163</v>
      </c>
      <c r="I911" t="s">
        <v>108</v>
      </c>
      <c r="J911" t="s">
        <v>97</v>
      </c>
      <c r="K911" t="s">
        <v>992</v>
      </c>
      <c r="L911" t="s">
        <v>6040</v>
      </c>
      <c r="M911">
        <v>3</v>
      </c>
      <c r="N911">
        <v>3987</v>
      </c>
      <c r="O911">
        <v>15</v>
      </c>
      <c r="P911">
        <v>10733.85</v>
      </c>
      <c r="Q911">
        <v>10167.620000000001</v>
      </c>
      <c r="R911">
        <v>566.23</v>
      </c>
      <c r="S911" t="s">
        <v>49</v>
      </c>
      <c r="T911" t="s">
        <v>36</v>
      </c>
      <c r="U911" t="s">
        <v>6041</v>
      </c>
      <c r="V911" t="s">
        <v>6042</v>
      </c>
      <c r="W911">
        <v>10</v>
      </c>
      <c r="X911" t="s">
        <v>53</v>
      </c>
      <c r="Y911">
        <v>0</v>
      </c>
    </row>
    <row r="912" spans="1:25" x14ac:dyDescent="0.35">
      <c r="A912" t="s">
        <v>6043</v>
      </c>
      <c r="B912" s="1">
        <v>45789</v>
      </c>
      <c r="C912" s="1">
        <v>45790</v>
      </c>
      <c r="D912" t="s">
        <v>6044</v>
      </c>
      <c r="E912" t="s">
        <v>6045</v>
      </c>
      <c r="F912" t="s">
        <v>28</v>
      </c>
      <c r="G912" t="s">
        <v>6046</v>
      </c>
      <c r="H912" t="s">
        <v>364</v>
      </c>
      <c r="I912" t="s">
        <v>137</v>
      </c>
      <c r="J912" t="s">
        <v>32</v>
      </c>
      <c r="K912" t="s">
        <v>87</v>
      </c>
      <c r="L912" t="s">
        <v>6047</v>
      </c>
      <c r="M912">
        <v>3</v>
      </c>
      <c r="N912">
        <v>3535</v>
      </c>
      <c r="O912">
        <v>10</v>
      </c>
      <c r="P912">
        <v>10111.5</v>
      </c>
      <c r="Q912">
        <v>9545.1299999999992</v>
      </c>
      <c r="R912">
        <v>566.37</v>
      </c>
      <c r="S912" t="s">
        <v>80</v>
      </c>
      <c r="T912" t="s">
        <v>89</v>
      </c>
      <c r="U912" t="s">
        <v>6048</v>
      </c>
      <c r="V912" t="s">
        <v>6049</v>
      </c>
      <c r="W912">
        <v>17</v>
      </c>
      <c r="X912" t="s">
        <v>53</v>
      </c>
      <c r="Y912">
        <v>0</v>
      </c>
    </row>
    <row r="913" spans="1:25" x14ac:dyDescent="0.35">
      <c r="A913" t="s">
        <v>6050</v>
      </c>
      <c r="B913" s="1">
        <v>45643</v>
      </c>
      <c r="C913" s="1">
        <v>45647</v>
      </c>
      <c r="D913" t="s">
        <v>819</v>
      </c>
      <c r="E913" t="s">
        <v>6051</v>
      </c>
      <c r="F913" t="s">
        <v>28</v>
      </c>
      <c r="G913" t="s">
        <v>6052</v>
      </c>
      <c r="H913" t="s">
        <v>198</v>
      </c>
      <c r="I913" t="s">
        <v>31</v>
      </c>
      <c r="J913" t="s">
        <v>97</v>
      </c>
      <c r="K913" t="s">
        <v>312</v>
      </c>
      <c r="L913" t="s">
        <v>6053</v>
      </c>
      <c r="M913">
        <v>7</v>
      </c>
      <c r="N913">
        <v>520</v>
      </c>
      <c r="O913">
        <v>0</v>
      </c>
      <c r="P913">
        <v>4207</v>
      </c>
      <c r="Q913">
        <v>3640.65</v>
      </c>
      <c r="R913">
        <v>566.35</v>
      </c>
      <c r="S913" t="s">
        <v>80</v>
      </c>
      <c r="T913" t="s">
        <v>89</v>
      </c>
      <c r="U913" t="s">
        <v>6054</v>
      </c>
      <c r="V913" t="s">
        <v>6055</v>
      </c>
      <c r="W913">
        <v>6</v>
      </c>
      <c r="X913" t="s">
        <v>39</v>
      </c>
      <c r="Y913">
        <v>49</v>
      </c>
    </row>
    <row r="914" spans="1:25" x14ac:dyDescent="0.35">
      <c r="A914" t="s">
        <v>6056</v>
      </c>
      <c r="B914" s="1">
        <v>45405</v>
      </c>
      <c r="C914" s="1">
        <v>45409</v>
      </c>
      <c r="D914" t="s">
        <v>5894</v>
      </c>
      <c r="E914" t="s">
        <v>6057</v>
      </c>
      <c r="F914" t="s">
        <v>57</v>
      </c>
      <c r="G914" t="s">
        <v>6058</v>
      </c>
      <c r="H914" t="s">
        <v>117</v>
      </c>
      <c r="I914" t="s">
        <v>108</v>
      </c>
      <c r="J914" t="s">
        <v>32</v>
      </c>
      <c r="K914" t="s">
        <v>1898</v>
      </c>
      <c r="L914" t="s">
        <v>6059</v>
      </c>
      <c r="M914">
        <v>2</v>
      </c>
      <c r="N914">
        <v>870</v>
      </c>
      <c r="O914">
        <v>5</v>
      </c>
      <c r="P914">
        <v>2220</v>
      </c>
      <c r="Q914">
        <v>1653.87</v>
      </c>
      <c r="R914">
        <v>566.13</v>
      </c>
      <c r="S914" t="s">
        <v>35</v>
      </c>
      <c r="T914" t="s">
        <v>89</v>
      </c>
      <c r="U914" t="s">
        <v>6060</v>
      </c>
      <c r="V914" t="s">
        <v>6061</v>
      </c>
      <c r="W914">
        <v>11</v>
      </c>
      <c r="X914" t="s">
        <v>53</v>
      </c>
      <c r="Y914">
        <v>0</v>
      </c>
    </row>
    <row r="915" spans="1:25" x14ac:dyDescent="0.35">
      <c r="A915" t="s">
        <v>6062</v>
      </c>
      <c r="B915" s="1">
        <v>45635</v>
      </c>
      <c r="C915" s="1">
        <v>45641</v>
      </c>
      <c r="D915" t="s">
        <v>603</v>
      </c>
      <c r="E915" t="s">
        <v>6063</v>
      </c>
      <c r="F915" t="s">
        <v>57</v>
      </c>
      <c r="G915" t="s">
        <v>6064</v>
      </c>
      <c r="H915" t="s">
        <v>334</v>
      </c>
      <c r="I915" t="s">
        <v>108</v>
      </c>
      <c r="J915" t="s">
        <v>118</v>
      </c>
      <c r="K915" t="s">
        <v>562</v>
      </c>
      <c r="L915" t="s">
        <v>6065</v>
      </c>
      <c r="M915">
        <v>10</v>
      </c>
      <c r="N915">
        <v>1108</v>
      </c>
      <c r="O915">
        <v>0</v>
      </c>
      <c r="P915">
        <v>11647</v>
      </c>
      <c r="Q915">
        <v>11080.73</v>
      </c>
      <c r="R915">
        <v>566.27</v>
      </c>
      <c r="S915" t="s">
        <v>49</v>
      </c>
      <c r="T915" t="s">
        <v>140</v>
      </c>
      <c r="U915" t="s">
        <v>6066</v>
      </c>
      <c r="V915" t="s">
        <v>6067</v>
      </c>
      <c r="W915">
        <v>47</v>
      </c>
      <c r="X915" t="s">
        <v>53</v>
      </c>
      <c r="Y915">
        <v>0</v>
      </c>
    </row>
    <row r="916" spans="1:25" x14ac:dyDescent="0.35">
      <c r="A916" t="s">
        <v>6068</v>
      </c>
      <c r="B916" s="1">
        <v>45521</v>
      </c>
      <c r="C916" s="1">
        <v>45526</v>
      </c>
      <c r="D916" t="s">
        <v>3299</v>
      </c>
      <c r="E916" t="s">
        <v>6069</v>
      </c>
      <c r="F916" t="s">
        <v>57</v>
      </c>
      <c r="G916" t="s">
        <v>502</v>
      </c>
      <c r="H916" t="s">
        <v>172</v>
      </c>
      <c r="I916" t="s">
        <v>45</v>
      </c>
      <c r="J916" t="s">
        <v>97</v>
      </c>
      <c r="K916" t="s">
        <v>1275</v>
      </c>
      <c r="L916" t="s">
        <v>6070</v>
      </c>
      <c r="M916">
        <v>4</v>
      </c>
      <c r="N916">
        <v>3689</v>
      </c>
      <c r="O916">
        <v>20</v>
      </c>
      <c r="P916">
        <v>12371.8</v>
      </c>
      <c r="Q916">
        <v>11805.63</v>
      </c>
      <c r="R916">
        <v>566.16999999999996</v>
      </c>
      <c r="S916" t="s">
        <v>100</v>
      </c>
      <c r="T916" t="s">
        <v>89</v>
      </c>
      <c r="U916" t="s">
        <v>6071</v>
      </c>
      <c r="V916" t="s">
        <v>6072</v>
      </c>
      <c r="W916">
        <v>49</v>
      </c>
      <c r="X916" t="s">
        <v>53</v>
      </c>
      <c r="Y916">
        <v>0</v>
      </c>
    </row>
    <row r="917" spans="1:25" x14ac:dyDescent="0.35">
      <c r="A917" t="s">
        <v>6073</v>
      </c>
      <c r="B917" s="1">
        <v>45866</v>
      </c>
      <c r="C917" s="1">
        <v>45871</v>
      </c>
      <c r="D917" t="s">
        <v>854</v>
      </c>
      <c r="E917" t="s">
        <v>6074</v>
      </c>
      <c r="F917" t="s">
        <v>57</v>
      </c>
      <c r="G917" t="s">
        <v>6075</v>
      </c>
      <c r="H917" t="s">
        <v>163</v>
      </c>
      <c r="I917" t="s">
        <v>108</v>
      </c>
      <c r="J917" t="s">
        <v>118</v>
      </c>
      <c r="K917" t="s">
        <v>482</v>
      </c>
      <c r="L917" t="s">
        <v>6076</v>
      </c>
      <c r="M917">
        <v>6</v>
      </c>
      <c r="N917">
        <v>4315</v>
      </c>
      <c r="O917">
        <v>15</v>
      </c>
      <c r="P917">
        <v>22573.5</v>
      </c>
      <c r="Q917">
        <v>22007.15</v>
      </c>
      <c r="R917">
        <v>566.35</v>
      </c>
      <c r="S917" t="s">
        <v>35</v>
      </c>
      <c r="T917" t="s">
        <v>50</v>
      </c>
      <c r="U917" t="s">
        <v>6077</v>
      </c>
      <c r="V917" t="s">
        <v>6078</v>
      </c>
      <c r="W917">
        <v>6</v>
      </c>
      <c r="X917" t="s">
        <v>39</v>
      </c>
      <c r="Y917">
        <v>47</v>
      </c>
    </row>
    <row r="918" spans="1:25" x14ac:dyDescent="0.35">
      <c r="A918" t="s">
        <v>6079</v>
      </c>
      <c r="B918" s="1">
        <v>45484</v>
      </c>
      <c r="C918" s="1">
        <v>45486</v>
      </c>
      <c r="D918" t="s">
        <v>6080</v>
      </c>
      <c r="E918" t="s">
        <v>6081</v>
      </c>
      <c r="F918" t="s">
        <v>28</v>
      </c>
      <c r="G918" t="s">
        <v>6082</v>
      </c>
      <c r="H918" t="s">
        <v>198</v>
      </c>
      <c r="I918" t="s">
        <v>31</v>
      </c>
      <c r="J918" t="s">
        <v>118</v>
      </c>
      <c r="K918" t="s">
        <v>128</v>
      </c>
      <c r="L918" t="s">
        <v>6083</v>
      </c>
      <c r="M918">
        <v>9</v>
      </c>
      <c r="N918">
        <v>551</v>
      </c>
      <c r="O918">
        <v>20</v>
      </c>
      <c r="P918">
        <v>4534.2</v>
      </c>
      <c r="Q918">
        <v>3967.93</v>
      </c>
      <c r="R918">
        <v>566.27</v>
      </c>
      <c r="S918" t="s">
        <v>49</v>
      </c>
      <c r="T918" t="s">
        <v>50</v>
      </c>
      <c r="U918" t="s">
        <v>6084</v>
      </c>
      <c r="V918" t="s">
        <v>6085</v>
      </c>
      <c r="W918">
        <v>48</v>
      </c>
      <c r="X918" t="s">
        <v>53</v>
      </c>
      <c r="Y918">
        <v>0</v>
      </c>
    </row>
    <row r="919" spans="1:25" x14ac:dyDescent="0.35">
      <c r="A919" t="s">
        <v>6086</v>
      </c>
      <c r="B919" s="1">
        <v>45745</v>
      </c>
      <c r="C919" s="1">
        <v>45751</v>
      </c>
      <c r="D919" t="s">
        <v>6087</v>
      </c>
      <c r="E919" t="s">
        <v>6088</v>
      </c>
      <c r="F919" t="s">
        <v>95</v>
      </c>
      <c r="G919" t="s">
        <v>6089</v>
      </c>
      <c r="H919" t="s">
        <v>107</v>
      </c>
      <c r="I919" t="s">
        <v>108</v>
      </c>
      <c r="J919" t="s">
        <v>46</v>
      </c>
      <c r="K919" t="s">
        <v>691</v>
      </c>
      <c r="L919" t="s">
        <v>6090</v>
      </c>
      <c r="M919">
        <v>2</v>
      </c>
      <c r="N919">
        <v>4820</v>
      </c>
      <c r="O919">
        <v>15</v>
      </c>
      <c r="P919">
        <v>8761</v>
      </c>
      <c r="Q919">
        <v>8194.7999999999993</v>
      </c>
      <c r="R919">
        <v>566.20000000000005</v>
      </c>
      <c r="S919" t="s">
        <v>100</v>
      </c>
      <c r="T919" t="s">
        <v>89</v>
      </c>
      <c r="U919" t="s">
        <v>6091</v>
      </c>
      <c r="V919" t="s">
        <v>6092</v>
      </c>
      <c r="W919">
        <v>32</v>
      </c>
      <c r="X919" t="s">
        <v>53</v>
      </c>
      <c r="Y919">
        <v>0</v>
      </c>
    </row>
    <row r="920" spans="1:25" x14ac:dyDescent="0.35">
      <c r="A920" t="s">
        <v>6093</v>
      </c>
      <c r="B920" s="1">
        <v>45267</v>
      </c>
      <c r="C920" s="1">
        <v>45270</v>
      </c>
      <c r="D920" t="s">
        <v>544</v>
      </c>
      <c r="E920" t="s">
        <v>6094</v>
      </c>
      <c r="F920" t="s">
        <v>28</v>
      </c>
      <c r="G920" t="s">
        <v>6095</v>
      </c>
      <c r="H920" t="s">
        <v>172</v>
      </c>
      <c r="I920" t="s">
        <v>45</v>
      </c>
      <c r="J920" t="s">
        <v>32</v>
      </c>
      <c r="K920" t="s">
        <v>970</v>
      </c>
      <c r="L920" t="s">
        <v>6096</v>
      </c>
      <c r="M920">
        <v>2</v>
      </c>
      <c r="N920">
        <v>2675</v>
      </c>
      <c r="O920">
        <v>15</v>
      </c>
      <c r="P920">
        <v>5114.5</v>
      </c>
      <c r="Q920">
        <v>4548.26</v>
      </c>
      <c r="R920">
        <v>566.24</v>
      </c>
      <c r="S920" t="s">
        <v>49</v>
      </c>
      <c r="T920" t="s">
        <v>36</v>
      </c>
      <c r="U920" t="s">
        <v>6097</v>
      </c>
      <c r="V920" t="s">
        <v>6098</v>
      </c>
      <c r="W920">
        <v>15</v>
      </c>
      <c r="X920" t="s">
        <v>53</v>
      </c>
      <c r="Y920">
        <v>0</v>
      </c>
    </row>
    <row r="921" spans="1:25" x14ac:dyDescent="0.35">
      <c r="A921" t="s">
        <v>6099</v>
      </c>
      <c r="B921" s="1">
        <v>45940</v>
      </c>
      <c r="C921" s="1">
        <v>45947</v>
      </c>
      <c r="D921" t="s">
        <v>4460</v>
      </c>
      <c r="E921" t="s">
        <v>6100</v>
      </c>
      <c r="F921" t="s">
        <v>28</v>
      </c>
      <c r="G921" t="s">
        <v>6101</v>
      </c>
      <c r="H921" t="s">
        <v>44</v>
      </c>
      <c r="I921" t="s">
        <v>45</v>
      </c>
      <c r="J921" t="s">
        <v>97</v>
      </c>
      <c r="K921" t="s">
        <v>691</v>
      </c>
      <c r="L921" t="s">
        <v>6102</v>
      </c>
      <c r="M921">
        <v>2</v>
      </c>
      <c r="N921">
        <v>229</v>
      </c>
      <c r="O921">
        <v>20</v>
      </c>
      <c r="P921">
        <v>933.4</v>
      </c>
      <c r="Q921">
        <v>367.21</v>
      </c>
      <c r="R921">
        <v>566.19000000000005</v>
      </c>
      <c r="S921" t="s">
        <v>49</v>
      </c>
      <c r="T921" t="s">
        <v>89</v>
      </c>
      <c r="U921" t="s">
        <v>6103</v>
      </c>
      <c r="V921" t="s">
        <v>6104</v>
      </c>
      <c r="W921">
        <v>37</v>
      </c>
      <c r="X921" t="s">
        <v>53</v>
      </c>
      <c r="Y921">
        <v>0</v>
      </c>
    </row>
    <row r="922" spans="1:25" x14ac:dyDescent="0.35">
      <c r="A922" t="s">
        <v>6105</v>
      </c>
      <c r="B922" s="1">
        <v>45275</v>
      </c>
      <c r="C922" s="1">
        <v>45278</v>
      </c>
      <c r="D922" t="s">
        <v>6106</v>
      </c>
      <c r="E922" t="s">
        <v>6107</v>
      </c>
      <c r="F922" t="s">
        <v>57</v>
      </c>
      <c r="G922" t="s">
        <v>6108</v>
      </c>
      <c r="H922" t="s">
        <v>163</v>
      </c>
      <c r="I922" t="s">
        <v>108</v>
      </c>
      <c r="J922" t="s">
        <v>46</v>
      </c>
      <c r="K922" t="s">
        <v>60</v>
      </c>
      <c r="L922" t="s">
        <v>6109</v>
      </c>
      <c r="M922">
        <v>4</v>
      </c>
      <c r="N922">
        <v>3234</v>
      </c>
      <c r="O922">
        <v>10</v>
      </c>
      <c r="P922">
        <v>12209.4</v>
      </c>
      <c r="Q922">
        <v>11643.07</v>
      </c>
      <c r="R922">
        <v>566.33000000000004</v>
      </c>
      <c r="S922" t="s">
        <v>49</v>
      </c>
      <c r="T922" t="s">
        <v>50</v>
      </c>
      <c r="U922" t="s">
        <v>6110</v>
      </c>
      <c r="V922" t="s">
        <v>6111</v>
      </c>
      <c r="W922">
        <v>22</v>
      </c>
      <c r="X922" t="s">
        <v>53</v>
      </c>
      <c r="Y922">
        <v>0</v>
      </c>
    </row>
    <row r="923" spans="1:25" x14ac:dyDescent="0.35">
      <c r="A923" t="s">
        <v>6112</v>
      </c>
      <c r="B923" s="1">
        <v>45354</v>
      </c>
      <c r="C923" s="1">
        <v>45356</v>
      </c>
      <c r="D923" t="s">
        <v>6113</v>
      </c>
      <c r="E923" t="s">
        <v>6114</v>
      </c>
      <c r="F923" t="s">
        <v>95</v>
      </c>
      <c r="G923" t="s">
        <v>6115</v>
      </c>
      <c r="H923" t="s">
        <v>364</v>
      </c>
      <c r="I923" t="s">
        <v>137</v>
      </c>
      <c r="J923" t="s">
        <v>118</v>
      </c>
      <c r="K923" t="s">
        <v>87</v>
      </c>
      <c r="L923" t="s">
        <v>6116</v>
      </c>
      <c r="M923">
        <v>10</v>
      </c>
      <c r="N923">
        <v>1095</v>
      </c>
      <c r="O923">
        <v>10</v>
      </c>
      <c r="P923">
        <v>10422</v>
      </c>
      <c r="Q923">
        <v>9855.83</v>
      </c>
      <c r="R923">
        <v>566.16999999999996</v>
      </c>
      <c r="S923" t="s">
        <v>35</v>
      </c>
      <c r="T923" t="s">
        <v>89</v>
      </c>
      <c r="U923" t="s">
        <v>6117</v>
      </c>
      <c r="V923" t="s">
        <v>6118</v>
      </c>
      <c r="W923">
        <v>32</v>
      </c>
      <c r="X923" t="s">
        <v>53</v>
      </c>
      <c r="Y923">
        <v>0</v>
      </c>
    </row>
    <row r="924" spans="1:25" x14ac:dyDescent="0.35">
      <c r="A924" t="s">
        <v>6119</v>
      </c>
      <c r="B924" s="1">
        <v>45387</v>
      </c>
      <c r="C924" s="1">
        <v>45394</v>
      </c>
      <c r="D924" t="s">
        <v>1645</v>
      </c>
      <c r="E924" t="s">
        <v>6120</v>
      </c>
      <c r="F924" t="s">
        <v>95</v>
      </c>
      <c r="G924" t="s">
        <v>6121</v>
      </c>
      <c r="H924" t="s">
        <v>107</v>
      </c>
      <c r="I924" t="s">
        <v>108</v>
      </c>
      <c r="J924" t="s">
        <v>32</v>
      </c>
      <c r="K924" t="s">
        <v>927</v>
      </c>
      <c r="L924" t="s">
        <v>6122</v>
      </c>
      <c r="M924">
        <v>8</v>
      </c>
      <c r="N924">
        <v>4622</v>
      </c>
      <c r="O924">
        <v>5</v>
      </c>
      <c r="P924">
        <v>35694.199999999997</v>
      </c>
      <c r="Q924">
        <v>35127.93</v>
      </c>
      <c r="R924">
        <v>566.27</v>
      </c>
      <c r="S924" t="s">
        <v>49</v>
      </c>
      <c r="T924" t="s">
        <v>140</v>
      </c>
      <c r="U924" t="s">
        <v>6123</v>
      </c>
      <c r="V924" t="s">
        <v>6124</v>
      </c>
      <c r="W924">
        <v>4</v>
      </c>
      <c r="X924" t="s">
        <v>39</v>
      </c>
      <c r="Y924">
        <v>35</v>
      </c>
    </row>
    <row r="925" spans="1:25" x14ac:dyDescent="0.35">
      <c r="A925" t="s">
        <v>6125</v>
      </c>
      <c r="B925" s="1">
        <v>45771</v>
      </c>
      <c r="C925" s="1">
        <v>45776</v>
      </c>
      <c r="D925" t="s">
        <v>762</v>
      </c>
      <c r="E925" t="s">
        <v>6126</v>
      </c>
      <c r="F925" t="s">
        <v>57</v>
      </c>
      <c r="G925" t="s">
        <v>6127</v>
      </c>
      <c r="H925" t="s">
        <v>230</v>
      </c>
      <c r="I925" t="s">
        <v>137</v>
      </c>
      <c r="J925" t="s">
        <v>46</v>
      </c>
      <c r="K925" t="s">
        <v>786</v>
      </c>
      <c r="L925" t="s">
        <v>6128</v>
      </c>
      <c r="M925">
        <v>4</v>
      </c>
      <c r="N925">
        <v>4169</v>
      </c>
      <c r="O925">
        <v>15</v>
      </c>
      <c r="P925">
        <v>14741.6</v>
      </c>
      <c r="Q925">
        <v>14175.4</v>
      </c>
      <c r="R925">
        <v>566.20000000000005</v>
      </c>
      <c r="S925" t="s">
        <v>35</v>
      </c>
      <c r="T925" t="s">
        <v>140</v>
      </c>
      <c r="U925" t="s">
        <v>6129</v>
      </c>
      <c r="V925" t="s">
        <v>6130</v>
      </c>
      <c r="W925">
        <v>22</v>
      </c>
      <c r="X925" t="s">
        <v>53</v>
      </c>
      <c r="Y925">
        <v>0</v>
      </c>
    </row>
    <row r="926" spans="1:25" x14ac:dyDescent="0.35">
      <c r="A926" t="s">
        <v>6131</v>
      </c>
      <c r="B926" s="1">
        <v>45714</v>
      </c>
      <c r="C926" s="1">
        <v>45716</v>
      </c>
      <c r="D926" t="s">
        <v>645</v>
      </c>
      <c r="E926" t="s">
        <v>6132</v>
      </c>
      <c r="F926" t="s">
        <v>57</v>
      </c>
      <c r="G926" t="s">
        <v>5836</v>
      </c>
      <c r="H926" t="s">
        <v>320</v>
      </c>
      <c r="I926" t="s">
        <v>137</v>
      </c>
      <c r="J926" t="s">
        <v>118</v>
      </c>
      <c r="K926" t="s">
        <v>231</v>
      </c>
      <c r="L926" t="s">
        <v>6133</v>
      </c>
      <c r="M926">
        <v>3</v>
      </c>
      <c r="N926">
        <v>990</v>
      </c>
      <c r="O926">
        <v>5</v>
      </c>
      <c r="P926">
        <v>3388.5</v>
      </c>
      <c r="Q926">
        <v>2822.34</v>
      </c>
      <c r="R926">
        <v>566.16</v>
      </c>
      <c r="S926" t="s">
        <v>35</v>
      </c>
      <c r="T926" t="s">
        <v>50</v>
      </c>
      <c r="U926" t="s">
        <v>6134</v>
      </c>
      <c r="V926" t="s">
        <v>6135</v>
      </c>
      <c r="W926">
        <v>26</v>
      </c>
      <c r="X926" t="s">
        <v>53</v>
      </c>
      <c r="Y926">
        <v>0</v>
      </c>
    </row>
    <row r="927" spans="1:25" x14ac:dyDescent="0.35">
      <c r="A927" t="s">
        <v>6136</v>
      </c>
      <c r="B927" s="1">
        <v>45646</v>
      </c>
      <c r="C927" s="1">
        <v>45649</v>
      </c>
      <c r="D927" t="s">
        <v>3659</v>
      </c>
      <c r="E927" t="s">
        <v>6137</v>
      </c>
      <c r="F927" t="s">
        <v>95</v>
      </c>
      <c r="G927" t="s">
        <v>6138</v>
      </c>
      <c r="H927" t="s">
        <v>230</v>
      </c>
      <c r="I927" t="s">
        <v>137</v>
      </c>
      <c r="J927" t="s">
        <v>118</v>
      </c>
      <c r="K927" t="s">
        <v>128</v>
      </c>
      <c r="L927" t="s">
        <v>6139</v>
      </c>
      <c r="M927">
        <v>6</v>
      </c>
      <c r="N927">
        <v>834</v>
      </c>
      <c r="O927">
        <v>0</v>
      </c>
      <c r="P927">
        <v>5571</v>
      </c>
      <c r="Q927">
        <v>5004.63</v>
      </c>
      <c r="R927">
        <v>566.37</v>
      </c>
      <c r="S927" t="s">
        <v>100</v>
      </c>
      <c r="T927" t="s">
        <v>36</v>
      </c>
      <c r="U927" t="s">
        <v>6140</v>
      </c>
      <c r="V927" t="s">
        <v>6141</v>
      </c>
      <c r="W927">
        <v>28</v>
      </c>
      <c r="X927" t="s">
        <v>53</v>
      </c>
      <c r="Y927">
        <v>0</v>
      </c>
    </row>
    <row r="928" spans="1:25" x14ac:dyDescent="0.35">
      <c r="A928" t="s">
        <v>6142</v>
      </c>
      <c r="B928" s="1">
        <v>45614</v>
      </c>
      <c r="C928" s="1">
        <v>45618</v>
      </c>
      <c r="D928" t="s">
        <v>6143</v>
      </c>
      <c r="E928" t="s">
        <v>6144</v>
      </c>
      <c r="F928" t="s">
        <v>57</v>
      </c>
      <c r="G928" t="s">
        <v>6145</v>
      </c>
      <c r="H928" t="s">
        <v>163</v>
      </c>
      <c r="I928" t="s">
        <v>108</v>
      </c>
      <c r="J928" t="s">
        <v>32</v>
      </c>
      <c r="K928" t="s">
        <v>532</v>
      </c>
      <c r="L928" t="s">
        <v>6146</v>
      </c>
      <c r="M928">
        <v>3</v>
      </c>
      <c r="N928">
        <v>4283</v>
      </c>
      <c r="O928">
        <v>20</v>
      </c>
      <c r="P928">
        <v>10846.2</v>
      </c>
      <c r="Q928">
        <v>10279.85</v>
      </c>
      <c r="R928">
        <v>566.35</v>
      </c>
      <c r="S928" t="s">
        <v>49</v>
      </c>
      <c r="T928" t="s">
        <v>89</v>
      </c>
      <c r="U928" t="s">
        <v>6147</v>
      </c>
      <c r="V928" t="s">
        <v>6148</v>
      </c>
      <c r="W928">
        <v>17</v>
      </c>
      <c r="X928" t="s">
        <v>53</v>
      </c>
      <c r="Y928">
        <v>0</v>
      </c>
    </row>
    <row r="929" spans="1:25" x14ac:dyDescent="0.35">
      <c r="A929" t="s">
        <v>6149</v>
      </c>
      <c r="B929" s="1">
        <v>45503</v>
      </c>
      <c r="C929" s="1">
        <v>45505</v>
      </c>
      <c r="D929" t="s">
        <v>456</v>
      </c>
      <c r="E929" t="s">
        <v>6150</v>
      </c>
      <c r="F929" t="s">
        <v>28</v>
      </c>
      <c r="G929" t="s">
        <v>6151</v>
      </c>
      <c r="H929" t="s">
        <v>59</v>
      </c>
      <c r="I929" t="s">
        <v>31</v>
      </c>
      <c r="J929" t="s">
        <v>97</v>
      </c>
      <c r="K929" t="s">
        <v>562</v>
      </c>
      <c r="L929" t="s">
        <v>6152</v>
      </c>
      <c r="M929">
        <v>7</v>
      </c>
      <c r="N929">
        <v>4829</v>
      </c>
      <c r="O929">
        <v>20</v>
      </c>
      <c r="P929">
        <v>27609.4</v>
      </c>
      <c r="Q929">
        <v>27043.119999999999</v>
      </c>
      <c r="R929">
        <v>566.28</v>
      </c>
      <c r="S929" t="s">
        <v>35</v>
      </c>
      <c r="T929" t="s">
        <v>140</v>
      </c>
      <c r="U929" t="s">
        <v>6153</v>
      </c>
      <c r="V929" t="s">
        <v>6154</v>
      </c>
      <c r="W929">
        <v>16</v>
      </c>
      <c r="X929" t="s">
        <v>53</v>
      </c>
      <c r="Y929">
        <v>0</v>
      </c>
    </row>
    <row r="930" spans="1:25" x14ac:dyDescent="0.35">
      <c r="A930" t="s">
        <v>6155</v>
      </c>
      <c r="B930" s="1">
        <v>45768</v>
      </c>
      <c r="C930" s="1">
        <v>45772</v>
      </c>
      <c r="D930" t="s">
        <v>2169</v>
      </c>
      <c r="E930" t="s">
        <v>6156</v>
      </c>
      <c r="F930" t="s">
        <v>95</v>
      </c>
      <c r="G930" t="s">
        <v>6157</v>
      </c>
      <c r="H930" t="s">
        <v>198</v>
      </c>
      <c r="I930" t="s">
        <v>31</v>
      </c>
      <c r="J930" t="s">
        <v>97</v>
      </c>
      <c r="K930" t="s">
        <v>69</v>
      </c>
      <c r="L930" t="s">
        <v>6158</v>
      </c>
      <c r="M930">
        <v>8</v>
      </c>
      <c r="N930">
        <v>4529</v>
      </c>
      <c r="O930">
        <v>5</v>
      </c>
      <c r="P930">
        <v>34987.4</v>
      </c>
      <c r="Q930">
        <v>34421.18</v>
      </c>
      <c r="R930">
        <v>566.22</v>
      </c>
      <c r="S930" t="s">
        <v>100</v>
      </c>
      <c r="T930" t="s">
        <v>36</v>
      </c>
      <c r="U930" t="s">
        <v>6159</v>
      </c>
      <c r="V930" t="s">
        <v>6160</v>
      </c>
      <c r="W930">
        <v>25</v>
      </c>
      <c r="X930" t="s">
        <v>53</v>
      </c>
      <c r="Y930">
        <v>0</v>
      </c>
    </row>
    <row r="931" spans="1:25" x14ac:dyDescent="0.35">
      <c r="A931" t="s">
        <v>6161</v>
      </c>
      <c r="B931" s="1">
        <v>45732</v>
      </c>
      <c r="C931" s="1">
        <v>45739</v>
      </c>
      <c r="D931" t="s">
        <v>1128</v>
      </c>
      <c r="E931" t="s">
        <v>6162</v>
      </c>
      <c r="F931" t="s">
        <v>95</v>
      </c>
      <c r="G931" t="s">
        <v>6163</v>
      </c>
      <c r="H931" t="s">
        <v>136</v>
      </c>
      <c r="I931" t="s">
        <v>137</v>
      </c>
      <c r="J931" t="s">
        <v>46</v>
      </c>
      <c r="K931" t="s">
        <v>109</v>
      </c>
      <c r="L931" t="s">
        <v>6164</v>
      </c>
      <c r="M931">
        <v>5</v>
      </c>
      <c r="N931">
        <v>4707</v>
      </c>
      <c r="O931">
        <v>20</v>
      </c>
      <c r="P931">
        <v>19395</v>
      </c>
      <c r="Q931">
        <v>18828.66</v>
      </c>
      <c r="R931">
        <v>566.34</v>
      </c>
      <c r="S931" t="s">
        <v>80</v>
      </c>
      <c r="T931" t="s">
        <v>140</v>
      </c>
      <c r="U931" t="s">
        <v>6165</v>
      </c>
      <c r="V931" t="s">
        <v>6166</v>
      </c>
      <c r="W931">
        <v>29</v>
      </c>
      <c r="X931" t="s">
        <v>53</v>
      </c>
      <c r="Y931">
        <v>0</v>
      </c>
    </row>
    <row r="932" spans="1:25" x14ac:dyDescent="0.35">
      <c r="A932" t="s">
        <v>6167</v>
      </c>
      <c r="B932" s="1">
        <v>45869</v>
      </c>
      <c r="C932" s="1">
        <v>45874</v>
      </c>
      <c r="D932" t="s">
        <v>3084</v>
      </c>
      <c r="E932" t="s">
        <v>6168</v>
      </c>
      <c r="F932" t="s">
        <v>95</v>
      </c>
      <c r="G932" t="s">
        <v>6169</v>
      </c>
      <c r="H932" t="s">
        <v>163</v>
      </c>
      <c r="I932" t="s">
        <v>108</v>
      </c>
      <c r="J932" t="s">
        <v>32</v>
      </c>
      <c r="K932" t="s">
        <v>119</v>
      </c>
      <c r="L932" t="s">
        <v>6170</v>
      </c>
      <c r="M932">
        <v>7</v>
      </c>
      <c r="N932">
        <v>2231</v>
      </c>
      <c r="O932">
        <v>20</v>
      </c>
      <c r="P932">
        <v>13060.6</v>
      </c>
      <c r="Q932">
        <v>12494.38</v>
      </c>
      <c r="R932">
        <v>566.22</v>
      </c>
      <c r="S932" t="s">
        <v>49</v>
      </c>
      <c r="T932" t="s">
        <v>50</v>
      </c>
      <c r="U932" t="s">
        <v>6171</v>
      </c>
      <c r="V932" t="s">
        <v>6172</v>
      </c>
      <c r="W932">
        <v>2</v>
      </c>
      <c r="X932" t="s">
        <v>39</v>
      </c>
      <c r="Y932">
        <v>39</v>
      </c>
    </row>
    <row r="933" spans="1:25" x14ac:dyDescent="0.35">
      <c r="A933" t="s">
        <v>6173</v>
      </c>
      <c r="B933" s="1">
        <v>45331</v>
      </c>
      <c r="C933" s="1">
        <v>45338</v>
      </c>
      <c r="D933" t="s">
        <v>6174</v>
      </c>
      <c r="E933" t="s">
        <v>6175</v>
      </c>
      <c r="F933" t="s">
        <v>57</v>
      </c>
      <c r="G933" t="s">
        <v>5825</v>
      </c>
      <c r="H933" t="s">
        <v>230</v>
      </c>
      <c r="I933" t="s">
        <v>137</v>
      </c>
      <c r="J933" t="s">
        <v>32</v>
      </c>
      <c r="K933" t="s">
        <v>98</v>
      </c>
      <c r="L933" t="s">
        <v>6176</v>
      </c>
      <c r="M933">
        <v>10</v>
      </c>
      <c r="N933">
        <v>1183</v>
      </c>
      <c r="O933">
        <v>20</v>
      </c>
      <c r="P933">
        <v>10031</v>
      </c>
      <c r="Q933">
        <v>9464.6299999999992</v>
      </c>
      <c r="R933">
        <v>566.37</v>
      </c>
      <c r="S933" t="s">
        <v>100</v>
      </c>
      <c r="T933" t="s">
        <v>50</v>
      </c>
      <c r="U933" t="s">
        <v>6177</v>
      </c>
      <c r="V933" t="s">
        <v>6178</v>
      </c>
      <c r="W933">
        <v>19</v>
      </c>
      <c r="X933" t="s">
        <v>53</v>
      </c>
      <c r="Y933">
        <v>0</v>
      </c>
    </row>
    <row r="934" spans="1:25" x14ac:dyDescent="0.35">
      <c r="A934" t="s">
        <v>6179</v>
      </c>
      <c r="B934" s="1">
        <v>45294</v>
      </c>
      <c r="C934" s="1">
        <v>45298</v>
      </c>
      <c r="D934" t="s">
        <v>3740</v>
      </c>
      <c r="E934" t="s">
        <v>6180</v>
      </c>
      <c r="F934" t="s">
        <v>57</v>
      </c>
      <c r="G934" t="s">
        <v>6181</v>
      </c>
      <c r="H934" t="s">
        <v>136</v>
      </c>
      <c r="I934" t="s">
        <v>137</v>
      </c>
      <c r="J934" t="s">
        <v>118</v>
      </c>
      <c r="K934" t="s">
        <v>1898</v>
      </c>
      <c r="L934" t="s">
        <v>6182</v>
      </c>
      <c r="M934">
        <v>8</v>
      </c>
      <c r="N934">
        <v>656</v>
      </c>
      <c r="O934">
        <v>0</v>
      </c>
      <c r="P934">
        <v>5815</v>
      </c>
      <c r="Q934">
        <v>5248.68</v>
      </c>
      <c r="R934">
        <v>566.32000000000005</v>
      </c>
      <c r="S934" t="s">
        <v>49</v>
      </c>
      <c r="T934" t="s">
        <v>36</v>
      </c>
      <c r="U934" t="s">
        <v>6183</v>
      </c>
      <c r="V934" t="s">
        <v>6184</v>
      </c>
      <c r="W934">
        <v>32</v>
      </c>
      <c r="X934" t="s">
        <v>53</v>
      </c>
      <c r="Y934">
        <v>0</v>
      </c>
    </row>
    <row r="935" spans="1:25" x14ac:dyDescent="0.35">
      <c r="A935" t="s">
        <v>6185</v>
      </c>
      <c r="B935" s="1">
        <v>45833</v>
      </c>
      <c r="C935" s="1">
        <v>45840</v>
      </c>
      <c r="D935" t="s">
        <v>2500</v>
      </c>
      <c r="E935" t="s">
        <v>6186</v>
      </c>
      <c r="F935" t="s">
        <v>28</v>
      </c>
      <c r="G935" t="s">
        <v>1239</v>
      </c>
      <c r="H935" t="s">
        <v>364</v>
      </c>
      <c r="I935" t="s">
        <v>137</v>
      </c>
      <c r="J935" t="s">
        <v>97</v>
      </c>
      <c r="K935" t="s">
        <v>164</v>
      </c>
      <c r="L935" t="s">
        <v>6187</v>
      </c>
      <c r="M935">
        <v>8</v>
      </c>
      <c r="N935">
        <v>1044</v>
      </c>
      <c r="O935">
        <v>10</v>
      </c>
      <c r="P935">
        <v>8083.8</v>
      </c>
      <c r="Q935">
        <v>7517.55</v>
      </c>
      <c r="R935">
        <v>566.25</v>
      </c>
      <c r="S935" t="s">
        <v>100</v>
      </c>
      <c r="T935" t="s">
        <v>89</v>
      </c>
      <c r="U935" t="s">
        <v>6188</v>
      </c>
      <c r="V935" t="s">
        <v>6189</v>
      </c>
      <c r="W935">
        <v>50</v>
      </c>
      <c r="X935" t="s">
        <v>53</v>
      </c>
      <c r="Y935">
        <v>0</v>
      </c>
    </row>
    <row r="936" spans="1:25" x14ac:dyDescent="0.35">
      <c r="A936" t="s">
        <v>6190</v>
      </c>
      <c r="B936" s="1">
        <v>45774</v>
      </c>
      <c r="C936" s="1">
        <v>45780</v>
      </c>
      <c r="D936" t="s">
        <v>1488</v>
      </c>
      <c r="E936" t="s">
        <v>6191</v>
      </c>
      <c r="F936" t="s">
        <v>57</v>
      </c>
      <c r="G936" t="s">
        <v>6192</v>
      </c>
      <c r="H936" t="s">
        <v>154</v>
      </c>
      <c r="I936" t="s">
        <v>137</v>
      </c>
      <c r="J936" t="s">
        <v>46</v>
      </c>
      <c r="K936" t="s">
        <v>33</v>
      </c>
      <c r="L936" t="s">
        <v>6193</v>
      </c>
      <c r="M936">
        <v>2</v>
      </c>
      <c r="N936">
        <v>472</v>
      </c>
      <c r="O936">
        <v>10</v>
      </c>
      <c r="P936">
        <v>1416.6</v>
      </c>
      <c r="Q936">
        <v>850.45</v>
      </c>
      <c r="R936">
        <v>566.15</v>
      </c>
      <c r="S936" t="s">
        <v>80</v>
      </c>
      <c r="T936" t="s">
        <v>50</v>
      </c>
      <c r="U936" t="s">
        <v>6194</v>
      </c>
      <c r="V936" t="s">
        <v>6195</v>
      </c>
      <c r="W936">
        <v>38</v>
      </c>
      <c r="X936" t="s">
        <v>53</v>
      </c>
      <c r="Y936">
        <v>0</v>
      </c>
    </row>
    <row r="937" spans="1:25" x14ac:dyDescent="0.35">
      <c r="A937" t="s">
        <v>6196</v>
      </c>
      <c r="B937" s="1">
        <v>45728</v>
      </c>
      <c r="C937" s="1">
        <v>45732</v>
      </c>
      <c r="D937" t="s">
        <v>6197</v>
      </c>
      <c r="E937" t="s">
        <v>6198</v>
      </c>
      <c r="F937" t="s">
        <v>28</v>
      </c>
      <c r="G937" t="s">
        <v>6199</v>
      </c>
      <c r="H937" t="s">
        <v>364</v>
      </c>
      <c r="I937" t="s">
        <v>137</v>
      </c>
      <c r="J937" t="s">
        <v>46</v>
      </c>
      <c r="K937" t="s">
        <v>662</v>
      </c>
      <c r="L937" t="s">
        <v>6200</v>
      </c>
      <c r="M937">
        <v>7</v>
      </c>
      <c r="N937">
        <v>2533</v>
      </c>
      <c r="O937">
        <v>20</v>
      </c>
      <c r="P937">
        <v>14751.8</v>
      </c>
      <c r="Q937">
        <v>14185.65</v>
      </c>
      <c r="R937">
        <v>566.15</v>
      </c>
      <c r="S937" t="s">
        <v>35</v>
      </c>
      <c r="T937" t="s">
        <v>36</v>
      </c>
      <c r="U937" t="s">
        <v>6201</v>
      </c>
      <c r="V937" t="s">
        <v>6202</v>
      </c>
      <c r="W937">
        <v>21</v>
      </c>
      <c r="X937" t="s">
        <v>53</v>
      </c>
      <c r="Y937">
        <v>0</v>
      </c>
    </row>
    <row r="938" spans="1:25" x14ac:dyDescent="0.35">
      <c r="A938" t="s">
        <v>6203</v>
      </c>
      <c r="B938" s="1">
        <v>45551</v>
      </c>
      <c r="C938" s="1">
        <v>45553</v>
      </c>
      <c r="D938" t="s">
        <v>5090</v>
      </c>
      <c r="E938" t="s">
        <v>6204</v>
      </c>
      <c r="F938" t="s">
        <v>57</v>
      </c>
      <c r="G938" t="s">
        <v>6205</v>
      </c>
      <c r="H938" t="s">
        <v>154</v>
      </c>
      <c r="I938" t="s">
        <v>137</v>
      </c>
      <c r="J938" t="s">
        <v>46</v>
      </c>
      <c r="K938" t="s">
        <v>60</v>
      </c>
      <c r="L938" t="s">
        <v>6206</v>
      </c>
      <c r="M938">
        <v>2</v>
      </c>
      <c r="N938">
        <v>3929</v>
      </c>
      <c r="O938">
        <v>10</v>
      </c>
      <c r="P938">
        <v>7639.2</v>
      </c>
      <c r="Q938">
        <v>7072.96</v>
      </c>
      <c r="R938">
        <v>566.24</v>
      </c>
      <c r="S938" t="s">
        <v>100</v>
      </c>
      <c r="T938" t="s">
        <v>89</v>
      </c>
      <c r="U938" t="s">
        <v>6207</v>
      </c>
      <c r="V938" t="s">
        <v>6208</v>
      </c>
      <c r="W938">
        <v>48</v>
      </c>
      <c r="X938" t="s">
        <v>53</v>
      </c>
      <c r="Y938">
        <v>0</v>
      </c>
    </row>
    <row r="939" spans="1:25" x14ac:dyDescent="0.35">
      <c r="A939" t="s">
        <v>6209</v>
      </c>
      <c r="B939" s="1">
        <v>45945</v>
      </c>
      <c r="C939" s="1">
        <v>45946</v>
      </c>
      <c r="D939" t="s">
        <v>354</v>
      </c>
      <c r="E939" t="s">
        <v>6210</v>
      </c>
      <c r="F939" t="s">
        <v>95</v>
      </c>
      <c r="G939" t="s">
        <v>6211</v>
      </c>
      <c r="H939" t="s">
        <v>107</v>
      </c>
      <c r="I939" t="s">
        <v>108</v>
      </c>
      <c r="J939" t="s">
        <v>32</v>
      </c>
      <c r="K939" t="s">
        <v>190</v>
      </c>
      <c r="L939" t="s">
        <v>6212</v>
      </c>
      <c r="M939">
        <v>5</v>
      </c>
      <c r="N939">
        <v>429</v>
      </c>
      <c r="O939">
        <v>5</v>
      </c>
      <c r="P939">
        <v>2604.75</v>
      </c>
      <c r="Q939">
        <v>2038.6</v>
      </c>
      <c r="R939">
        <v>566.15</v>
      </c>
      <c r="S939" t="s">
        <v>80</v>
      </c>
      <c r="T939" t="s">
        <v>36</v>
      </c>
      <c r="U939" t="s">
        <v>6213</v>
      </c>
      <c r="V939" t="s">
        <v>6214</v>
      </c>
      <c r="W939">
        <v>33</v>
      </c>
      <c r="X939" t="s">
        <v>53</v>
      </c>
      <c r="Y939">
        <v>0</v>
      </c>
    </row>
    <row r="940" spans="1:25" x14ac:dyDescent="0.35">
      <c r="A940" t="s">
        <v>6215</v>
      </c>
      <c r="B940" s="1">
        <v>45902</v>
      </c>
      <c r="C940" s="1">
        <v>45905</v>
      </c>
      <c r="D940" t="s">
        <v>581</v>
      </c>
      <c r="E940" t="s">
        <v>6216</v>
      </c>
      <c r="F940" t="s">
        <v>95</v>
      </c>
      <c r="G940" t="s">
        <v>6217</v>
      </c>
      <c r="H940" t="s">
        <v>30</v>
      </c>
      <c r="I940" t="s">
        <v>31</v>
      </c>
      <c r="J940" t="s">
        <v>32</v>
      </c>
      <c r="K940" t="s">
        <v>482</v>
      </c>
      <c r="L940" t="s">
        <v>6218</v>
      </c>
      <c r="M940">
        <v>10</v>
      </c>
      <c r="N940">
        <v>2504</v>
      </c>
      <c r="O940">
        <v>10</v>
      </c>
      <c r="P940">
        <v>23103</v>
      </c>
      <c r="Q940">
        <v>22536.720000000001</v>
      </c>
      <c r="R940">
        <v>566.28</v>
      </c>
      <c r="S940" t="s">
        <v>100</v>
      </c>
      <c r="T940" t="s">
        <v>36</v>
      </c>
      <c r="U940" t="s">
        <v>6219</v>
      </c>
      <c r="V940" t="s">
        <v>6220</v>
      </c>
      <c r="W940">
        <v>33</v>
      </c>
      <c r="X940" t="s">
        <v>53</v>
      </c>
      <c r="Y940">
        <v>0</v>
      </c>
    </row>
    <row r="941" spans="1:25" x14ac:dyDescent="0.35">
      <c r="A941" t="s">
        <v>6221</v>
      </c>
      <c r="B941" s="1">
        <v>45928</v>
      </c>
      <c r="C941" s="1">
        <v>45930</v>
      </c>
      <c r="D941" t="s">
        <v>2110</v>
      </c>
      <c r="E941" t="s">
        <v>340</v>
      </c>
      <c r="F941" t="s">
        <v>28</v>
      </c>
      <c r="G941" t="s">
        <v>6222</v>
      </c>
      <c r="H941" t="s">
        <v>206</v>
      </c>
      <c r="I941" t="s">
        <v>31</v>
      </c>
      <c r="J941" t="s">
        <v>97</v>
      </c>
      <c r="K941" t="s">
        <v>786</v>
      </c>
      <c r="L941" t="s">
        <v>6223</v>
      </c>
      <c r="M941">
        <v>8</v>
      </c>
      <c r="N941">
        <v>1665</v>
      </c>
      <c r="O941">
        <v>15</v>
      </c>
      <c r="P941">
        <v>11889</v>
      </c>
      <c r="Q941">
        <v>11322.63</v>
      </c>
      <c r="R941">
        <v>566.37</v>
      </c>
      <c r="S941" t="s">
        <v>35</v>
      </c>
      <c r="T941" t="s">
        <v>50</v>
      </c>
      <c r="U941" t="s">
        <v>6224</v>
      </c>
      <c r="V941" t="s">
        <v>6225</v>
      </c>
      <c r="W941">
        <v>9</v>
      </c>
      <c r="X941" t="s">
        <v>39</v>
      </c>
      <c r="Y941">
        <v>36</v>
      </c>
    </row>
    <row r="942" spans="1:25" x14ac:dyDescent="0.35">
      <c r="A942" t="s">
        <v>6226</v>
      </c>
      <c r="B942" s="1">
        <v>45534</v>
      </c>
      <c r="C942" s="1">
        <v>45537</v>
      </c>
      <c r="D942" t="s">
        <v>6227</v>
      </c>
      <c r="E942" t="s">
        <v>6228</v>
      </c>
      <c r="F942" t="s">
        <v>95</v>
      </c>
      <c r="G942" t="s">
        <v>6229</v>
      </c>
      <c r="H942" t="s">
        <v>198</v>
      </c>
      <c r="I942" t="s">
        <v>31</v>
      </c>
      <c r="J942" t="s">
        <v>97</v>
      </c>
      <c r="K942" t="s">
        <v>349</v>
      </c>
      <c r="L942" t="s">
        <v>6230</v>
      </c>
      <c r="M942">
        <v>2</v>
      </c>
      <c r="N942">
        <v>2815</v>
      </c>
      <c r="O942">
        <v>15</v>
      </c>
      <c r="P942">
        <v>5352.5</v>
      </c>
      <c r="Q942">
        <v>4786.24</v>
      </c>
      <c r="R942">
        <v>566.26</v>
      </c>
      <c r="S942" t="s">
        <v>49</v>
      </c>
      <c r="T942" t="s">
        <v>50</v>
      </c>
      <c r="U942" t="s">
        <v>6231</v>
      </c>
      <c r="V942" t="s">
        <v>6232</v>
      </c>
      <c r="W942">
        <v>18</v>
      </c>
      <c r="X942" t="s">
        <v>53</v>
      </c>
      <c r="Y942">
        <v>0</v>
      </c>
    </row>
    <row r="943" spans="1:25" x14ac:dyDescent="0.35">
      <c r="A943" t="s">
        <v>6233</v>
      </c>
      <c r="B943" s="1">
        <v>45331</v>
      </c>
      <c r="C943" s="1">
        <v>45336</v>
      </c>
      <c r="D943" t="s">
        <v>6234</v>
      </c>
      <c r="E943" t="s">
        <v>6235</v>
      </c>
      <c r="F943" t="s">
        <v>28</v>
      </c>
      <c r="G943" t="s">
        <v>6236</v>
      </c>
      <c r="H943" t="s">
        <v>44</v>
      </c>
      <c r="I943" t="s">
        <v>45</v>
      </c>
      <c r="J943" t="s">
        <v>32</v>
      </c>
      <c r="K943" t="s">
        <v>87</v>
      </c>
      <c r="L943" t="s">
        <v>6237</v>
      </c>
      <c r="M943">
        <v>8</v>
      </c>
      <c r="N943">
        <v>1502</v>
      </c>
      <c r="O943">
        <v>0</v>
      </c>
      <c r="P943">
        <v>12583</v>
      </c>
      <c r="Q943">
        <v>12016.87</v>
      </c>
      <c r="R943">
        <v>566.13</v>
      </c>
      <c r="S943" t="s">
        <v>35</v>
      </c>
      <c r="T943" t="s">
        <v>89</v>
      </c>
      <c r="U943" t="s">
        <v>6238</v>
      </c>
      <c r="V943" t="s">
        <v>6239</v>
      </c>
      <c r="W943">
        <v>28</v>
      </c>
      <c r="X943" t="s">
        <v>53</v>
      </c>
      <c r="Y943">
        <v>0</v>
      </c>
    </row>
    <row r="944" spans="1:25" x14ac:dyDescent="0.35">
      <c r="A944" t="s">
        <v>6240</v>
      </c>
      <c r="B944" s="1">
        <v>45563</v>
      </c>
      <c r="C944" s="1">
        <v>45569</v>
      </c>
      <c r="D944" t="s">
        <v>2553</v>
      </c>
      <c r="E944" t="s">
        <v>6241</v>
      </c>
      <c r="F944" t="s">
        <v>95</v>
      </c>
      <c r="G944" t="s">
        <v>6242</v>
      </c>
      <c r="H944" t="s">
        <v>127</v>
      </c>
      <c r="I944" t="s">
        <v>45</v>
      </c>
      <c r="J944" t="s">
        <v>46</v>
      </c>
      <c r="K944" t="s">
        <v>1088</v>
      </c>
      <c r="L944" t="s">
        <v>6243</v>
      </c>
      <c r="M944">
        <v>10</v>
      </c>
      <c r="N944">
        <v>3743</v>
      </c>
      <c r="O944">
        <v>15</v>
      </c>
      <c r="P944">
        <v>32382.5</v>
      </c>
      <c r="Q944">
        <v>31816.34</v>
      </c>
      <c r="R944">
        <v>566.16</v>
      </c>
      <c r="S944" t="s">
        <v>80</v>
      </c>
      <c r="T944" t="s">
        <v>140</v>
      </c>
      <c r="U944" t="s">
        <v>6244</v>
      </c>
      <c r="V944" t="s">
        <v>6245</v>
      </c>
      <c r="W944">
        <v>17</v>
      </c>
      <c r="X944" t="s">
        <v>53</v>
      </c>
      <c r="Y944">
        <v>0</v>
      </c>
    </row>
    <row r="945" spans="1:25" x14ac:dyDescent="0.35">
      <c r="A945" t="s">
        <v>6246</v>
      </c>
      <c r="B945" s="1">
        <v>45443</v>
      </c>
      <c r="C945" s="1">
        <v>45450</v>
      </c>
      <c r="D945" t="s">
        <v>6247</v>
      </c>
      <c r="E945" t="s">
        <v>6248</v>
      </c>
      <c r="F945" t="s">
        <v>95</v>
      </c>
      <c r="G945" t="s">
        <v>6249</v>
      </c>
      <c r="H945" t="s">
        <v>117</v>
      </c>
      <c r="I945" t="s">
        <v>108</v>
      </c>
      <c r="J945" t="s">
        <v>118</v>
      </c>
      <c r="K945" t="s">
        <v>970</v>
      </c>
      <c r="L945" t="s">
        <v>6250</v>
      </c>
      <c r="M945">
        <v>3</v>
      </c>
      <c r="N945">
        <v>1867</v>
      </c>
      <c r="O945">
        <v>0</v>
      </c>
      <c r="P945">
        <v>6168</v>
      </c>
      <c r="Q945">
        <v>5601.69</v>
      </c>
      <c r="R945">
        <v>566.30999999999995</v>
      </c>
      <c r="S945" t="s">
        <v>100</v>
      </c>
      <c r="T945" t="s">
        <v>50</v>
      </c>
      <c r="U945" t="s">
        <v>6251</v>
      </c>
      <c r="V945" t="s">
        <v>6252</v>
      </c>
      <c r="W945">
        <v>25</v>
      </c>
      <c r="X945" t="s">
        <v>53</v>
      </c>
      <c r="Y945">
        <v>0</v>
      </c>
    </row>
    <row r="946" spans="1:25" x14ac:dyDescent="0.35">
      <c r="A946" t="s">
        <v>6253</v>
      </c>
      <c r="B946" s="1">
        <v>45241</v>
      </c>
      <c r="C946" s="1">
        <v>45247</v>
      </c>
      <c r="D946" t="s">
        <v>6087</v>
      </c>
      <c r="E946" t="s">
        <v>6254</v>
      </c>
      <c r="F946" t="s">
        <v>57</v>
      </c>
      <c r="G946" t="s">
        <v>6255</v>
      </c>
      <c r="H946" t="s">
        <v>189</v>
      </c>
      <c r="I946" t="s">
        <v>108</v>
      </c>
      <c r="J946" t="s">
        <v>32</v>
      </c>
      <c r="K946" t="s">
        <v>128</v>
      </c>
      <c r="L946" t="s">
        <v>6256</v>
      </c>
      <c r="M946">
        <v>3</v>
      </c>
      <c r="N946">
        <v>3104</v>
      </c>
      <c r="O946">
        <v>10</v>
      </c>
      <c r="P946">
        <v>8947.7999999999993</v>
      </c>
      <c r="Q946">
        <v>8381.5</v>
      </c>
      <c r="R946">
        <v>566.29999999999995</v>
      </c>
      <c r="S946" t="s">
        <v>49</v>
      </c>
      <c r="T946" t="s">
        <v>140</v>
      </c>
      <c r="U946" t="s">
        <v>6257</v>
      </c>
      <c r="V946" t="s">
        <v>6258</v>
      </c>
      <c r="W946">
        <v>38</v>
      </c>
      <c r="X946" t="s">
        <v>53</v>
      </c>
      <c r="Y946">
        <v>0</v>
      </c>
    </row>
    <row r="947" spans="1:25" x14ac:dyDescent="0.35">
      <c r="A947" t="s">
        <v>6259</v>
      </c>
      <c r="B947" s="1">
        <v>45360</v>
      </c>
      <c r="C947" s="1">
        <v>45367</v>
      </c>
      <c r="D947" t="s">
        <v>6260</v>
      </c>
      <c r="E947" t="s">
        <v>6261</v>
      </c>
      <c r="F947" t="s">
        <v>57</v>
      </c>
      <c r="G947" t="s">
        <v>6262</v>
      </c>
      <c r="H947" t="s">
        <v>334</v>
      </c>
      <c r="I947" t="s">
        <v>108</v>
      </c>
      <c r="J947" t="s">
        <v>118</v>
      </c>
      <c r="K947" t="s">
        <v>247</v>
      </c>
      <c r="L947" t="s">
        <v>4709</v>
      </c>
      <c r="M947">
        <v>2</v>
      </c>
      <c r="N947">
        <v>2660</v>
      </c>
      <c r="O947">
        <v>20</v>
      </c>
      <c r="P947">
        <v>4823</v>
      </c>
      <c r="Q947">
        <v>4256.6899999999996</v>
      </c>
      <c r="R947">
        <v>566.30999999999995</v>
      </c>
      <c r="S947" t="s">
        <v>35</v>
      </c>
      <c r="T947" t="s">
        <v>36</v>
      </c>
      <c r="U947" t="s">
        <v>6263</v>
      </c>
      <c r="V947" t="s">
        <v>6264</v>
      </c>
      <c r="W947">
        <v>42</v>
      </c>
      <c r="X947" t="s">
        <v>53</v>
      </c>
      <c r="Y947">
        <v>0</v>
      </c>
    </row>
    <row r="948" spans="1:25" x14ac:dyDescent="0.35">
      <c r="A948" t="s">
        <v>6265</v>
      </c>
      <c r="B948" s="1">
        <v>45905</v>
      </c>
      <c r="C948" s="1">
        <v>45906</v>
      </c>
      <c r="D948" t="s">
        <v>4564</v>
      </c>
      <c r="E948" t="s">
        <v>6266</v>
      </c>
      <c r="F948" t="s">
        <v>57</v>
      </c>
      <c r="G948" t="s">
        <v>6267</v>
      </c>
      <c r="H948" t="s">
        <v>77</v>
      </c>
      <c r="I948" t="s">
        <v>45</v>
      </c>
      <c r="J948" t="s">
        <v>32</v>
      </c>
      <c r="K948" t="s">
        <v>199</v>
      </c>
      <c r="L948" t="s">
        <v>6268</v>
      </c>
      <c r="M948">
        <v>1</v>
      </c>
      <c r="N948">
        <v>4221</v>
      </c>
      <c r="O948">
        <v>20</v>
      </c>
      <c r="P948">
        <v>3943.8</v>
      </c>
      <c r="Q948">
        <v>3377.51</v>
      </c>
      <c r="R948">
        <v>566.29</v>
      </c>
      <c r="S948" t="s">
        <v>80</v>
      </c>
      <c r="T948" t="s">
        <v>50</v>
      </c>
      <c r="U948" t="s">
        <v>6269</v>
      </c>
      <c r="V948" t="s">
        <v>6270</v>
      </c>
      <c r="W948">
        <v>45</v>
      </c>
      <c r="X948" t="s">
        <v>53</v>
      </c>
      <c r="Y948">
        <v>0</v>
      </c>
    </row>
    <row r="949" spans="1:25" x14ac:dyDescent="0.35">
      <c r="A949" t="s">
        <v>6271</v>
      </c>
      <c r="B949" s="1">
        <v>45912</v>
      </c>
      <c r="C949" s="1">
        <v>45915</v>
      </c>
      <c r="D949" t="s">
        <v>3975</v>
      </c>
      <c r="E949" t="s">
        <v>6272</v>
      </c>
      <c r="F949" t="s">
        <v>95</v>
      </c>
      <c r="G949" t="s">
        <v>6273</v>
      </c>
      <c r="H949" t="s">
        <v>198</v>
      </c>
      <c r="I949" t="s">
        <v>31</v>
      </c>
      <c r="J949" t="s">
        <v>32</v>
      </c>
      <c r="K949" t="s">
        <v>750</v>
      </c>
      <c r="L949" t="s">
        <v>6274</v>
      </c>
      <c r="M949">
        <v>5</v>
      </c>
      <c r="N949">
        <v>3185</v>
      </c>
      <c r="O949">
        <v>5</v>
      </c>
      <c r="P949">
        <v>15695.75</v>
      </c>
      <c r="Q949">
        <v>15129.63</v>
      </c>
      <c r="R949">
        <v>566.12</v>
      </c>
      <c r="S949" t="s">
        <v>35</v>
      </c>
      <c r="T949" t="s">
        <v>36</v>
      </c>
      <c r="U949" t="s">
        <v>6275</v>
      </c>
      <c r="V949" t="s">
        <v>6276</v>
      </c>
      <c r="W949">
        <v>2</v>
      </c>
      <c r="X949" t="s">
        <v>39</v>
      </c>
      <c r="Y949">
        <v>37</v>
      </c>
    </row>
    <row r="950" spans="1:25" x14ac:dyDescent="0.35">
      <c r="A950" t="s">
        <v>6277</v>
      </c>
      <c r="B950" s="1">
        <v>45692</v>
      </c>
      <c r="C950" s="1">
        <v>45694</v>
      </c>
      <c r="D950" t="s">
        <v>6278</v>
      </c>
      <c r="E950" t="s">
        <v>6279</v>
      </c>
      <c r="F950" t="s">
        <v>28</v>
      </c>
      <c r="G950" t="s">
        <v>6280</v>
      </c>
      <c r="H950" t="s">
        <v>59</v>
      </c>
      <c r="I950" t="s">
        <v>31</v>
      </c>
      <c r="J950" t="s">
        <v>118</v>
      </c>
      <c r="K950" t="s">
        <v>33</v>
      </c>
      <c r="L950" t="s">
        <v>6281</v>
      </c>
      <c r="M950">
        <v>6</v>
      </c>
      <c r="N950">
        <v>897</v>
      </c>
      <c r="O950">
        <v>10</v>
      </c>
      <c r="P950">
        <v>5410.8</v>
      </c>
      <c r="Q950">
        <v>4844.54</v>
      </c>
      <c r="R950">
        <v>566.26</v>
      </c>
      <c r="S950" t="s">
        <v>100</v>
      </c>
      <c r="T950" t="s">
        <v>140</v>
      </c>
      <c r="U950" t="s">
        <v>6282</v>
      </c>
      <c r="V950" t="s">
        <v>6283</v>
      </c>
      <c r="W950">
        <v>2</v>
      </c>
      <c r="X950" t="s">
        <v>39</v>
      </c>
      <c r="Y950">
        <v>24</v>
      </c>
    </row>
    <row r="951" spans="1:25" x14ac:dyDescent="0.35">
      <c r="A951" t="s">
        <v>6284</v>
      </c>
      <c r="B951" s="1">
        <v>45843</v>
      </c>
      <c r="C951" s="1">
        <v>45847</v>
      </c>
      <c r="D951" t="s">
        <v>6285</v>
      </c>
      <c r="E951" t="s">
        <v>6286</v>
      </c>
      <c r="F951" t="s">
        <v>57</v>
      </c>
      <c r="G951" t="s">
        <v>6287</v>
      </c>
      <c r="H951" t="s">
        <v>364</v>
      </c>
      <c r="I951" t="s">
        <v>137</v>
      </c>
      <c r="J951" t="s">
        <v>118</v>
      </c>
      <c r="K951" t="s">
        <v>474</v>
      </c>
      <c r="L951" t="s">
        <v>6288</v>
      </c>
      <c r="M951">
        <v>6</v>
      </c>
      <c r="N951">
        <v>2778</v>
      </c>
      <c r="O951">
        <v>20</v>
      </c>
      <c r="P951">
        <v>13901.4</v>
      </c>
      <c r="Q951">
        <v>13335.1</v>
      </c>
      <c r="R951">
        <v>566.29999999999995</v>
      </c>
      <c r="S951" t="s">
        <v>100</v>
      </c>
      <c r="T951" t="s">
        <v>50</v>
      </c>
      <c r="U951" t="s">
        <v>6289</v>
      </c>
      <c r="V951" t="s">
        <v>6290</v>
      </c>
      <c r="W951">
        <v>30</v>
      </c>
      <c r="X951" t="s">
        <v>53</v>
      </c>
      <c r="Y951">
        <v>0</v>
      </c>
    </row>
    <row r="952" spans="1:25" x14ac:dyDescent="0.35">
      <c r="A952" t="s">
        <v>6291</v>
      </c>
      <c r="B952" s="1">
        <v>45731</v>
      </c>
      <c r="C952" s="1">
        <v>45736</v>
      </c>
      <c r="D952" t="s">
        <v>5039</v>
      </c>
      <c r="E952" t="s">
        <v>6292</v>
      </c>
      <c r="F952" t="s">
        <v>28</v>
      </c>
      <c r="G952" t="s">
        <v>6293</v>
      </c>
      <c r="H952" t="s">
        <v>154</v>
      </c>
      <c r="I952" t="s">
        <v>137</v>
      </c>
      <c r="J952" t="s">
        <v>46</v>
      </c>
      <c r="K952" t="s">
        <v>547</v>
      </c>
      <c r="L952" t="s">
        <v>6294</v>
      </c>
      <c r="M952">
        <v>9</v>
      </c>
      <c r="N952">
        <v>4430</v>
      </c>
      <c r="O952">
        <v>15</v>
      </c>
      <c r="P952">
        <v>34456.5</v>
      </c>
      <c r="Q952">
        <v>33890.19</v>
      </c>
      <c r="R952">
        <v>566.30999999999995</v>
      </c>
      <c r="S952" t="s">
        <v>100</v>
      </c>
      <c r="T952" t="s">
        <v>36</v>
      </c>
      <c r="U952" t="s">
        <v>6295</v>
      </c>
      <c r="V952" t="s">
        <v>6296</v>
      </c>
      <c r="W952">
        <v>37</v>
      </c>
      <c r="X952" t="s">
        <v>53</v>
      </c>
      <c r="Y952">
        <v>0</v>
      </c>
    </row>
    <row r="953" spans="1:25" x14ac:dyDescent="0.35">
      <c r="A953" t="s">
        <v>6297</v>
      </c>
      <c r="B953" s="1">
        <v>45784</v>
      </c>
      <c r="C953" s="1">
        <v>45791</v>
      </c>
      <c r="D953" t="s">
        <v>6298</v>
      </c>
      <c r="E953" t="s">
        <v>6299</v>
      </c>
      <c r="F953" t="s">
        <v>28</v>
      </c>
      <c r="G953" t="s">
        <v>6300</v>
      </c>
      <c r="H953" t="s">
        <v>364</v>
      </c>
      <c r="I953" t="s">
        <v>137</v>
      </c>
      <c r="J953" t="s">
        <v>46</v>
      </c>
      <c r="K953" t="s">
        <v>98</v>
      </c>
      <c r="L953" t="s">
        <v>6301</v>
      </c>
      <c r="M953">
        <v>3</v>
      </c>
      <c r="N953">
        <v>417</v>
      </c>
      <c r="O953">
        <v>15</v>
      </c>
      <c r="P953">
        <v>1630.35</v>
      </c>
      <c r="Q953">
        <v>1063.95</v>
      </c>
      <c r="R953">
        <v>566.4</v>
      </c>
      <c r="S953" t="s">
        <v>100</v>
      </c>
      <c r="T953" t="s">
        <v>50</v>
      </c>
      <c r="U953" t="s">
        <v>6302</v>
      </c>
      <c r="V953" t="s">
        <v>6303</v>
      </c>
      <c r="W953">
        <v>3</v>
      </c>
      <c r="X953" t="s">
        <v>39</v>
      </c>
      <c r="Y953">
        <v>49</v>
      </c>
    </row>
    <row r="954" spans="1:25" x14ac:dyDescent="0.35">
      <c r="A954" t="s">
        <v>6304</v>
      </c>
      <c r="B954" s="1">
        <v>45361</v>
      </c>
      <c r="C954" s="1">
        <v>45365</v>
      </c>
      <c r="D954" t="s">
        <v>819</v>
      </c>
      <c r="E954" t="s">
        <v>6305</v>
      </c>
      <c r="F954" t="s">
        <v>28</v>
      </c>
      <c r="G954" t="s">
        <v>6306</v>
      </c>
      <c r="H954" t="s">
        <v>30</v>
      </c>
      <c r="I954" t="s">
        <v>31</v>
      </c>
      <c r="J954" t="s">
        <v>46</v>
      </c>
      <c r="K954" t="s">
        <v>699</v>
      </c>
      <c r="L954" t="s">
        <v>6307</v>
      </c>
      <c r="M954">
        <v>10</v>
      </c>
      <c r="N954">
        <v>1859</v>
      </c>
      <c r="O954">
        <v>20</v>
      </c>
      <c r="P954">
        <v>15439</v>
      </c>
      <c r="Q954">
        <v>14872.65</v>
      </c>
      <c r="R954">
        <v>566.35</v>
      </c>
      <c r="S954" t="s">
        <v>35</v>
      </c>
      <c r="T954" t="s">
        <v>89</v>
      </c>
      <c r="U954" t="s">
        <v>6308</v>
      </c>
      <c r="V954" t="s">
        <v>6309</v>
      </c>
      <c r="W954">
        <v>9</v>
      </c>
      <c r="X954" t="s">
        <v>39</v>
      </c>
      <c r="Y954">
        <v>36</v>
      </c>
    </row>
    <row r="955" spans="1:25" x14ac:dyDescent="0.35">
      <c r="A955" t="s">
        <v>6310</v>
      </c>
      <c r="B955" s="1">
        <v>45291</v>
      </c>
      <c r="C955" s="1">
        <v>45298</v>
      </c>
      <c r="D955" t="s">
        <v>2648</v>
      </c>
      <c r="E955" t="s">
        <v>6311</v>
      </c>
      <c r="F955" t="s">
        <v>28</v>
      </c>
      <c r="G955" t="s">
        <v>6312</v>
      </c>
      <c r="H955" t="s">
        <v>127</v>
      </c>
      <c r="I955" t="s">
        <v>45</v>
      </c>
      <c r="J955" t="s">
        <v>118</v>
      </c>
      <c r="K955" t="s">
        <v>648</v>
      </c>
      <c r="L955" t="s">
        <v>6313</v>
      </c>
      <c r="M955">
        <v>4</v>
      </c>
      <c r="N955">
        <v>3960</v>
      </c>
      <c r="O955">
        <v>10</v>
      </c>
      <c r="P955">
        <v>14823</v>
      </c>
      <c r="Q955">
        <v>14256.76</v>
      </c>
      <c r="R955">
        <v>566.24</v>
      </c>
      <c r="S955" t="s">
        <v>100</v>
      </c>
      <c r="T955" t="s">
        <v>89</v>
      </c>
      <c r="U955" t="s">
        <v>4641</v>
      </c>
      <c r="V955" t="s">
        <v>6314</v>
      </c>
      <c r="W955">
        <v>23</v>
      </c>
      <c r="X955" t="s">
        <v>53</v>
      </c>
      <c r="Y955">
        <v>0</v>
      </c>
    </row>
    <row r="956" spans="1:25" x14ac:dyDescent="0.35">
      <c r="A956" t="s">
        <v>6315</v>
      </c>
      <c r="B956" s="1">
        <v>45695</v>
      </c>
      <c r="C956" s="1">
        <v>45702</v>
      </c>
      <c r="D956" t="s">
        <v>5697</v>
      </c>
      <c r="E956" t="s">
        <v>6316</v>
      </c>
      <c r="F956" t="s">
        <v>57</v>
      </c>
      <c r="G956" t="s">
        <v>6317</v>
      </c>
      <c r="H956" t="s">
        <v>154</v>
      </c>
      <c r="I956" t="s">
        <v>137</v>
      </c>
      <c r="J956" t="s">
        <v>118</v>
      </c>
      <c r="K956" t="s">
        <v>138</v>
      </c>
      <c r="L956" t="s">
        <v>6318</v>
      </c>
      <c r="M956">
        <v>3</v>
      </c>
      <c r="N956">
        <v>4631</v>
      </c>
      <c r="O956">
        <v>5</v>
      </c>
      <c r="P956">
        <v>13765.35</v>
      </c>
      <c r="Q956">
        <v>13199</v>
      </c>
      <c r="R956">
        <v>566.35</v>
      </c>
      <c r="S956" t="s">
        <v>35</v>
      </c>
      <c r="T956" t="s">
        <v>36</v>
      </c>
      <c r="U956" t="s">
        <v>6319</v>
      </c>
      <c r="V956" t="s">
        <v>6320</v>
      </c>
      <c r="W956">
        <v>42</v>
      </c>
      <c r="X956" t="s">
        <v>53</v>
      </c>
      <c r="Y956">
        <v>0</v>
      </c>
    </row>
    <row r="957" spans="1:25" x14ac:dyDescent="0.35">
      <c r="A957" t="s">
        <v>6321</v>
      </c>
      <c r="B957" s="1">
        <v>45545</v>
      </c>
      <c r="C957" s="1">
        <v>45547</v>
      </c>
      <c r="D957" t="s">
        <v>6322</v>
      </c>
      <c r="E957" t="s">
        <v>6323</v>
      </c>
      <c r="F957" t="s">
        <v>95</v>
      </c>
      <c r="G957" t="s">
        <v>6324</v>
      </c>
      <c r="H957" t="s">
        <v>30</v>
      </c>
      <c r="I957" t="s">
        <v>31</v>
      </c>
      <c r="J957" t="s">
        <v>118</v>
      </c>
      <c r="K957" t="s">
        <v>970</v>
      </c>
      <c r="L957" t="s">
        <v>6325</v>
      </c>
      <c r="M957">
        <v>1</v>
      </c>
      <c r="N957">
        <v>4751</v>
      </c>
      <c r="O957">
        <v>15</v>
      </c>
      <c r="P957">
        <v>4605.3500000000004</v>
      </c>
      <c r="Q957">
        <v>4039.01</v>
      </c>
      <c r="R957">
        <v>566.34</v>
      </c>
      <c r="S957" t="s">
        <v>49</v>
      </c>
      <c r="T957" t="s">
        <v>36</v>
      </c>
      <c r="U957" t="s">
        <v>6326</v>
      </c>
      <c r="V957" t="s">
        <v>6327</v>
      </c>
      <c r="W957">
        <v>37</v>
      </c>
      <c r="X957" t="s">
        <v>53</v>
      </c>
      <c r="Y957">
        <v>0</v>
      </c>
    </row>
    <row r="958" spans="1:25" x14ac:dyDescent="0.35">
      <c r="A958" t="s">
        <v>6328</v>
      </c>
      <c r="B958" s="1">
        <v>45329</v>
      </c>
      <c r="C958" s="1">
        <v>45334</v>
      </c>
      <c r="D958" t="s">
        <v>6329</v>
      </c>
      <c r="E958" t="s">
        <v>6330</v>
      </c>
      <c r="F958" t="s">
        <v>57</v>
      </c>
      <c r="G958" t="s">
        <v>6331</v>
      </c>
      <c r="H958" t="s">
        <v>154</v>
      </c>
      <c r="I958" t="s">
        <v>137</v>
      </c>
      <c r="J958" t="s">
        <v>32</v>
      </c>
      <c r="K958" t="s">
        <v>474</v>
      </c>
      <c r="L958" t="s">
        <v>6332</v>
      </c>
      <c r="M958">
        <v>2</v>
      </c>
      <c r="N958">
        <v>3849</v>
      </c>
      <c r="O958">
        <v>5</v>
      </c>
      <c r="P958">
        <v>7880.1</v>
      </c>
      <c r="Q958">
        <v>7313.89</v>
      </c>
      <c r="R958">
        <v>566.21</v>
      </c>
      <c r="S958" t="s">
        <v>100</v>
      </c>
      <c r="T958" t="s">
        <v>140</v>
      </c>
      <c r="U958" t="s">
        <v>6333</v>
      </c>
      <c r="V958" t="s">
        <v>6334</v>
      </c>
      <c r="W958">
        <v>42</v>
      </c>
      <c r="X958" t="s">
        <v>53</v>
      </c>
      <c r="Y958">
        <v>0</v>
      </c>
    </row>
    <row r="959" spans="1:25" x14ac:dyDescent="0.35">
      <c r="A959" t="s">
        <v>6335</v>
      </c>
      <c r="B959" s="1">
        <v>45384</v>
      </c>
      <c r="C959" s="1">
        <v>45388</v>
      </c>
      <c r="D959" t="s">
        <v>2144</v>
      </c>
      <c r="E959" t="s">
        <v>6336</v>
      </c>
      <c r="F959" t="s">
        <v>28</v>
      </c>
      <c r="G959" t="s">
        <v>6337</v>
      </c>
      <c r="H959" t="s">
        <v>206</v>
      </c>
      <c r="I959" t="s">
        <v>31</v>
      </c>
      <c r="J959" t="s">
        <v>32</v>
      </c>
      <c r="K959" t="s">
        <v>231</v>
      </c>
      <c r="L959" t="s">
        <v>6338</v>
      </c>
      <c r="M959">
        <v>1</v>
      </c>
      <c r="N959">
        <v>4683</v>
      </c>
      <c r="O959">
        <v>10</v>
      </c>
      <c r="P959">
        <v>4781.7</v>
      </c>
      <c r="Q959">
        <v>4215.4399999999996</v>
      </c>
      <c r="R959">
        <v>566.26</v>
      </c>
      <c r="S959" t="s">
        <v>35</v>
      </c>
      <c r="T959" t="s">
        <v>140</v>
      </c>
      <c r="U959" t="s">
        <v>6339</v>
      </c>
      <c r="V959" t="s">
        <v>6340</v>
      </c>
      <c r="W959">
        <v>4</v>
      </c>
      <c r="X959" t="s">
        <v>39</v>
      </c>
      <c r="Y959">
        <v>45</v>
      </c>
    </row>
    <row r="960" spans="1:25" x14ac:dyDescent="0.35">
      <c r="A960" t="s">
        <v>6341</v>
      </c>
      <c r="B960" s="1">
        <v>45317</v>
      </c>
      <c r="C960" s="1">
        <v>45324</v>
      </c>
      <c r="D960" t="s">
        <v>521</v>
      </c>
      <c r="E960" t="s">
        <v>6342</v>
      </c>
      <c r="F960" t="s">
        <v>95</v>
      </c>
      <c r="G960" t="s">
        <v>6343</v>
      </c>
      <c r="H960" t="s">
        <v>163</v>
      </c>
      <c r="I960" t="s">
        <v>108</v>
      </c>
      <c r="J960" t="s">
        <v>118</v>
      </c>
      <c r="K960" t="s">
        <v>691</v>
      </c>
      <c r="L960" t="s">
        <v>6344</v>
      </c>
      <c r="M960">
        <v>3</v>
      </c>
      <c r="N960">
        <v>2983</v>
      </c>
      <c r="O960">
        <v>15</v>
      </c>
      <c r="P960">
        <v>8173.65</v>
      </c>
      <c r="Q960">
        <v>7607.53</v>
      </c>
      <c r="R960">
        <v>566.12</v>
      </c>
      <c r="S960" t="s">
        <v>35</v>
      </c>
      <c r="T960" t="s">
        <v>140</v>
      </c>
      <c r="U960" t="s">
        <v>6345</v>
      </c>
      <c r="V960" t="s">
        <v>6346</v>
      </c>
      <c r="W960">
        <v>35</v>
      </c>
      <c r="X960" t="s">
        <v>53</v>
      </c>
      <c r="Y960">
        <v>0</v>
      </c>
    </row>
    <row r="961" spans="1:25" x14ac:dyDescent="0.35">
      <c r="A961" t="s">
        <v>6347</v>
      </c>
      <c r="B961" s="1">
        <v>45694</v>
      </c>
      <c r="C961" s="1">
        <v>45696</v>
      </c>
      <c r="D961" t="s">
        <v>1460</v>
      </c>
      <c r="E961" t="s">
        <v>6348</v>
      </c>
      <c r="F961" t="s">
        <v>57</v>
      </c>
      <c r="G961" t="s">
        <v>153</v>
      </c>
      <c r="H961" t="s">
        <v>334</v>
      </c>
      <c r="I961" t="s">
        <v>108</v>
      </c>
      <c r="J961" t="s">
        <v>97</v>
      </c>
      <c r="K961" t="s">
        <v>239</v>
      </c>
      <c r="L961" t="s">
        <v>6349</v>
      </c>
      <c r="M961">
        <v>7</v>
      </c>
      <c r="N961">
        <v>2840</v>
      </c>
      <c r="O961">
        <v>5</v>
      </c>
      <c r="P961">
        <v>19453</v>
      </c>
      <c r="Q961">
        <v>18886.66</v>
      </c>
      <c r="R961">
        <v>566.34</v>
      </c>
      <c r="S961" t="s">
        <v>80</v>
      </c>
      <c r="T961" t="s">
        <v>50</v>
      </c>
      <c r="U961" t="s">
        <v>6350</v>
      </c>
      <c r="V961" t="s">
        <v>6351</v>
      </c>
      <c r="W961">
        <v>40</v>
      </c>
      <c r="X961" t="s">
        <v>53</v>
      </c>
      <c r="Y961">
        <v>0</v>
      </c>
    </row>
    <row r="962" spans="1:25" x14ac:dyDescent="0.35">
      <c r="A962" t="s">
        <v>6352</v>
      </c>
      <c r="B962" s="1">
        <v>45689</v>
      </c>
      <c r="C962" s="1">
        <v>45696</v>
      </c>
      <c r="D962" t="s">
        <v>6353</v>
      </c>
      <c r="E962" t="s">
        <v>6354</v>
      </c>
      <c r="F962" t="s">
        <v>28</v>
      </c>
      <c r="G962" t="s">
        <v>6355</v>
      </c>
      <c r="H962" t="s">
        <v>283</v>
      </c>
      <c r="I962" t="s">
        <v>45</v>
      </c>
      <c r="J962" t="s">
        <v>46</v>
      </c>
      <c r="K962" t="s">
        <v>786</v>
      </c>
      <c r="L962" t="s">
        <v>6356</v>
      </c>
      <c r="M962">
        <v>10</v>
      </c>
      <c r="N962">
        <v>1811</v>
      </c>
      <c r="O962">
        <v>5</v>
      </c>
      <c r="P962">
        <v>17771.5</v>
      </c>
      <c r="Q962">
        <v>17205.11</v>
      </c>
      <c r="R962">
        <v>566.39</v>
      </c>
      <c r="S962" t="s">
        <v>100</v>
      </c>
      <c r="T962" t="s">
        <v>50</v>
      </c>
      <c r="U962" t="s">
        <v>6357</v>
      </c>
      <c r="V962" t="s">
        <v>6358</v>
      </c>
      <c r="W962">
        <v>32</v>
      </c>
      <c r="X962" t="s">
        <v>53</v>
      </c>
      <c r="Y962">
        <v>0</v>
      </c>
    </row>
    <row r="963" spans="1:25" x14ac:dyDescent="0.35">
      <c r="A963" t="s">
        <v>6359</v>
      </c>
      <c r="B963" s="1">
        <v>45536</v>
      </c>
      <c r="C963" s="1">
        <v>45541</v>
      </c>
      <c r="D963" t="s">
        <v>6360</v>
      </c>
      <c r="E963" t="s">
        <v>6361</v>
      </c>
      <c r="F963" t="s">
        <v>57</v>
      </c>
      <c r="G963" t="s">
        <v>6362</v>
      </c>
      <c r="H963" t="s">
        <v>230</v>
      </c>
      <c r="I963" t="s">
        <v>137</v>
      </c>
      <c r="J963" t="s">
        <v>118</v>
      </c>
      <c r="K963" t="s">
        <v>927</v>
      </c>
      <c r="L963" t="s">
        <v>6363</v>
      </c>
      <c r="M963">
        <v>5</v>
      </c>
      <c r="N963">
        <v>3646</v>
      </c>
      <c r="O963">
        <v>20</v>
      </c>
      <c r="P963">
        <v>15151</v>
      </c>
      <c r="Q963">
        <v>14584.68</v>
      </c>
      <c r="R963">
        <v>566.32000000000005</v>
      </c>
      <c r="S963" t="s">
        <v>49</v>
      </c>
      <c r="T963" t="s">
        <v>89</v>
      </c>
      <c r="U963" t="s">
        <v>6364</v>
      </c>
      <c r="V963" t="s">
        <v>6365</v>
      </c>
      <c r="W963">
        <v>38</v>
      </c>
      <c r="X963" t="s">
        <v>53</v>
      </c>
      <c r="Y963">
        <v>0</v>
      </c>
    </row>
    <row r="964" spans="1:25" x14ac:dyDescent="0.35">
      <c r="A964" t="s">
        <v>6366</v>
      </c>
      <c r="B964" s="1">
        <v>45406</v>
      </c>
      <c r="C964" s="1">
        <v>45411</v>
      </c>
      <c r="D964" t="s">
        <v>412</v>
      </c>
      <c r="E964" t="s">
        <v>6367</v>
      </c>
      <c r="F964" t="s">
        <v>28</v>
      </c>
      <c r="G964" t="s">
        <v>6368</v>
      </c>
      <c r="H964" t="s">
        <v>59</v>
      </c>
      <c r="I964" t="s">
        <v>31</v>
      </c>
      <c r="J964" t="s">
        <v>118</v>
      </c>
      <c r="K964" t="s">
        <v>199</v>
      </c>
      <c r="L964" t="s">
        <v>6369</v>
      </c>
      <c r="M964">
        <v>2</v>
      </c>
      <c r="N964">
        <v>3465</v>
      </c>
      <c r="O964">
        <v>15</v>
      </c>
      <c r="P964">
        <v>6457.5</v>
      </c>
      <c r="Q964">
        <v>5891.34</v>
      </c>
      <c r="R964">
        <v>566.16</v>
      </c>
      <c r="S964" t="s">
        <v>100</v>
      </c>
      <c r="T964" t="s">
        <v>36</v>
      </c>
      <c r="U964" t="s">
        <v>6370</v>
      </c>
      <c r="V964" t="s">
        <v>6371</v>
      </c>
      <c r="W964">
        <v>19</v>
      </c>
      <c r="X964" t="s">
        <v>53</v>
      </c>
      <c r="Y964">
        <v>0</v>
      </c>
    </row>
    <row r="965" spans="1:25" x14ac:dyDescent="0.35">
      <c r="A965" t="s">
        <v>6372</v>
      </c>
      <c r="B965" s="1">
        <v>45334</v>
      </c>
      <c r="C965" s="1">
        <v>45341</v>
      </c>
      <c r="D965" t="s">
        <v>6278</v>
      </c>
      <c r="E965" t="s">
        <v>6373</v>
      </c>
      <c r="F965" t="s">
        <v>57</v>
      </c>
      <c r="G965" t="s">
        <v>6374</v>
      </c>
      <c r="H965" t="s">
        <v>230</v>
      </c>
      <c r="I965" t="s">
        <v>137</v>
      </c>
      <c r="J965" t="s">
        <v>118</v>
      </c>
      <c r="K965" t="s">
        <v>699</v>
      </c>
      <c r="L965" t="s">
        <v>6375</v>
      </c>
      <c r="M965">
        <v>2</v>
      </c>
      <c r="N965">
        <v>3176</v>
      </c>
      <c r="O965">
        <v>15</v>
      </c>
      <c r="P965">
        <v>5966.2</v>
      </c>
      <c r="Q965">
        <v>5399.99</v>
      </c>
      <c r="R965">
        <v>566.21</v>
      </c>
      <c r="S965" t="s">
        <v>80</v>
      </c>
      <c r="T965" t="s">
        <v>36</v>
      </c>
      <c r="U965" t="s">
        <v>6376</v>
      </c>
      <c r="V965" t="s">
        <v>6377</v>
      </c>
      <c r="W965">
        <v>15</v>
      </c>
      <c r="X965" t="s">
        <v>53</v>
      </c>
      <c r="Y965">
        <v>0</v>
      </c>
    </row>
    <row r="966" spans="1:25" x14ac:dyDescent="0.35">
      <c r="A966" t="s">
        <v>6378</v>
      </c>
      <c r="B966" s="1">
        <v>45796</v>
      </c>
      <c r="C966" s="1">
        <v>45801</v>
      </c>
      <c r="D966" t="s">
        <v>6379</v>
      </c>
      <c r="E966" t="s">
        <v>6380</v>
      </c>
      <c r="F966" t="s">
        <v>95</v>
      </c>
      <c r="G966" t="s">
        <v>6381</v>
      </c>
      <c r="H966" t="s">
        <v>107</v>
      </c>
      <c r="I966" t="s">
        <v>108</v>
      </c>
      <c r="J966" t="s">
        <v>46</v>
      </c>
      <c r="K966" t="s">
        <v>927</v>
      </c>
      <c r="L966" t="s">
        <v>6382</v>
      </c>
      <c r="M966">
        <v>10</v>
      </c>
      <c r="N966">
        <v>4180</v>
      </c>
      <c r="O966">
        <v>15</v>
      </c>
      <c r="P966">
        <v>36097</v>
      </c>
      <c r="Q966">
        <v>35530.71</v>
      </c>
      <c r="R966">
        <v>566.29</v>
      </c>
      <c r="S966" t="s">
        <v>100</v>
      </c>
      <c r="T966" t="s">
        <v>50</v>
      </c>
      <c r="U966" t="s">
        <v>6383</v>
      </c>
      <c r="V966" t="s">
        <v>6384</v>
      </c>
      <c r="W966">
        <v>14</v>
      </c>
      <c r="X966" t="s">
        <v>53</v>
      </c>
      <c r="Y966">
        <v>0</v>
      </c>
    </row>
    <row r="967" spans="1:25" x14ac:dyDescent="0.35">
      <c r="A967" t="s">
        <v>6385</v>
      </c>
      <c r="B967" s="1">
        <v>45710</v>
      </c>
      <c r="C967" s="1">
        <v>45712</v>
      </c>
      <c r="D967" t="s">
        <v>6386</v>
      </c>
      <c r="E967" t="s">
        <v>6387</v>
      </c>
      <c r="F967" t="s">
        <v>28</v>
      </c>
      <c r="G967" t="s">
        <v>6388</v>
      </c>
      <c r="H967" t="s">
        <v>163</v>
      </c>
      <c r="I967" t="s">
        <v>108</v>
      </c>
      <c r="J967" t="s">
        <v>46</v>
      </c>
      <c r="K967" t="s">
        <v>98</v>
      </c>
      <c r="L967" t="s">
        <v>6389</v>
      </c>
      <c r="M967">
        <v>1</v>
      </c>
      <c r="N967">
        <v>3613</v>
      </c>
      <c r="O967">
        <v>5</v>
      </c>
      <c r="P967">
        <v>3999.35</v>
      </c>
      <c r="Q967">
        <v>3433.17</v>
      </c>
      <c r="R967">
        <v>566.17999999999995</v>
      </c>
      <c r="S967" t="s">
        <v>100</v>
      </c>
      <c r="T967" t="s">
        <v>89</v>
      </c>
      <c r="U967" t="s">
        <v>6390</v>
      </c>
      <c r="V967" t="s">
        <v>6391</v>
      </c>
      <c r="W967">
        <v>21</v>
      </c>
      <c r="X967" t="s">
        <v>53</v>
      </c>
      <c r="Y967">
        <v>0</v>
      </c>
    </row>
    <row r="968" spans="1:25" x14ac:dyDescent="0.35">
      <c r="A968" t="s">
        <v>6392</v>
      </c>
      <c r="B968" s="1">
        <v>45964</v>
      </c>
      <c r="C968" s="1">
        <v>45968</v>
      </c>
      <c r="D968" t="s">
        <v>521</v>
      </c>
      <c r="E968" t="s">
        <v>6393</v>
      </c>
      <c r="F968" t="s">
        <v>57</v>
      </c>
      <c r="G968" t="s">
        <v>6394</v>
      </c>
      <c r="H968" t="s">
        <v>206</v>
      </c>
      <c r="I968" t="s">
        <v>31</v>
      </c>
      <c r="J968" t="s">
        <v>118</v>
      </c>
      <c r="K968" t="s">
        <v>349</v>
      </c>
      <c r="L968" t="s">
        <v>2604</v>
      </c>
      <c r="M968">
        <v>7</v>
      </c>
      <c r="N968">
        <v>1997</v>
      </c>
      <c r="O968">
        <v>15</v>
      </c>
      <c r="P968">
        <v>12449.15</v>
      </c>
      <c r="Q968">
        <v>11882.83</v>
      </c>
      <c r="R968">
        <v>566.32000000000005</v>
      </c>
      <c r="S968" t="s">
        <v>35</v>
      </c>
      <c r="T968" t="s">
        <v>89</v>
      </c>
      <c r="U968" t="s">
        <v>6395</v>
      </c>
      <c r="V968" t="s">
        <v>6396</v>
      </c>
      <c r="W968">
        <v>18</v>
      </c>
      <c r="X968" t="s">
        <v>53</v>
      </c>
      <c r="Y968">
        <v>0</v>
      </c>
    </row>
    <row r="969" spans="1:25" x14ac:dyDescent="0.35">
      <c r="A969" t="s">
        <v>6397</v>
      </c>
      <c r="B969" s="1">
        <v>45386</v>
      </c>
      <c r="C969" s="1">
        <v>45387</v>
      </c>
      <c r="D969" t="s">
        <v>3696</v>
      </c>
      <c r="E969" t="s">
        <v>6398</v>
      </c>
      <c r="F969" t="s">
        <v>95</v>
      </c>
      <c r="G969" t="s">
        <v>6399</v>
      </c>
      <c r="H969" t="s">
        <v>206</v>
      </c>
      <c r="I969" t="s">
        <v>31</v>
      </c>
      <c r="J969" t="s">
        <v>118</v>
      </c>
      <c r="K969" t="s">
        <v>970</v>
      </c>
      <c r="L969" t="s">
        <v>6400</v>
      </c>
      <c r="M969">
        <v>2</v>
      </c>
      <c r="N969">
        <v>1372</v>
      </c>
      <c r="O969">
        <v>0</v>
      </c>
      <c r="P969">
        <v>3311</v>
      </c>
      <c r="Q969">
        <v>2744.78</v>
      </c>
      <c r="R969">
        <v>566.22</v>
      </c>
      <c r="S969" t="s">
        <v>100</v>
      </c>
      <c r="T969" t="s">
        <v>50</v>
      </c>
      <c r="U969" t="s">
        <v>6401</v>
      </c>
      <c r="V969" t="s">
        <v>6402</v>
      </c>
      <c r="W969">
        <v>47</v>
      </c>
      <c r="X969" t="s">
        <v>53</v>
      </c>
      <c r="Y969">
        <v>0</v>
      </c>
    </row>
    <row r="970" spans="1:25" x14ac:dyDescent="0.35">
      <c r="A970" t="s">
        <v>6403</v>
      </c>
      <c r="B970" s="1">
        <v>45258</v>
      </c>
      <c r="C970" s="1">
        <v>45264</v>
      </c>
      <c r="D970" t="s">
        <v>4397</v>
      </c>
      <c r="E970" t="s">
        <v>6404</v>
      </c>
      <c r="F970" t="s">
        <v>95</v>
      </c>
      <c r="G970" t="s">
        <v>6405</v>
      </c>
      <c r="H970" t="s">
        <v>364</v>
      </c>
      <c r="I970" t="s">
        <v>137</v>
      </c>
      <c r="J970" t="s">
        <v>97</v>
      </c>
      <c r="K970" t="s">
        <v>1275</v>
      </c>
      <c r="L970" t="s">
        <v>6406</v>
      </c>
      <c r="M970">
        <v>2</v>
      </c>
      <c r="N970">
        <v>3131</v>
      </c>
      <c r="O970">
        <v>20</v>
      </c>
      <c r="P970">
        <v>5576.6</v>
      </c>
      <c r="Q970">
        <v>5010.43</v>
      </c>
      <c r="R970">
        <v>566.16999999999996</v>
      </c>
      <c r="S970" t="s">
        <v>80</v>
      </c>
      <c r="T970" t="s">
        <v>50</v>
      </c>
      <c r="U970" t="s">
        <v>6407</v>
      </c>
      <c r="V970" t="s">
        <v>6408</v>
      </c>
      <c r="W970">
        <v>0</v>
      </c>
      <c r="X970" t="s">
        <v>39</v>
      </c>
      <c r="Y970">
        <v>34</v>
      </c>
    </row>
    <row r="971" spans="1:25" x14ac:dyDescent="0.35">
      <c r="A971" t="s">
        <v>6409</v>
      </c>
      <c r="B971" s="1">
        <v>45626</v>
      </c>
      <c r="C971" s="1">
        <v>45628</v>
      </c>
      <c r="D971" t="s">
        <v>5882</v>
      </c>
      <c r="E971" t="s">
        <v>6410</v>
      </c>
      <c r="F971" t="s">
        <v>57</v>
      </c>
      <c r="G971" t="s">
        <v>6411</v>
      </c>
      <c r="H971" t="s">
        <v>107</v>
      </c>
      <c r="I971" t="s">
        <v>108</v>
      </c>
      <c r="J971" t="s">
        <v>32</v>
      </c>
      <c r="K971" t="s">
        <v>400</v>
      </c>
      <c r="L971" t="s">
        <v>6412</v>
      </c>
      <c r="M971">
        <v>2</v>
      </c>
      <c r="N971">
        <v>1852</v>
      </c>
      <c r="O971">
        <v>10</v>
      </c>
      <c r="P971">
        <v>3900.6</v>
      </c>
      <c r="Q971">
        <v>3334.27</v>
      </c>
      <c r="R971">
        <v>566.33000000000004</v>
      </c>
      <c r="S971" t="s">
        <v>49</v>
      </c>
      <c r="T971" t="s">
        <v>140</v>
      </c>
      <c r="U971" t="s">
        <v>6413</v>
      </c>
      <c r="V971" t="s">
        <v>6414</v>
      </c>
      <c r="W971">
        <v>42</v>
      </c>
      <c r="X971" t="s">
        <v>53</v>
      </c>
      <c r="Y971">
        <v>0</v>
      </c>
    </row>
    <row r="972" spans="1:25" x14ac:dyDescent="0.35">
      <c r="A972" t="s">
        <v>6415</v>
      </c>
      <c r="B972" s="1">
        <v>45375</v>
      </c>
      <c r="C972" s="1">
        <v>45377</v>
      </c>
      <c r="D972" t="s">
        <v>6416</v>
      </c>
      <c r="E972" t="s">
        <v>6417</v>
      </c>
      <c r="F972" t="s">
        <v>28</v>
      </c>
      <c r="G972" t="s">
        <v>6418</v>
      </c>
      <c r="H972" t="s">
        <v>320</v>
      </c>
      <c r="I972" t="s">
        <v>137</v>
      </c>
      <c r="J972" t="s">
        <v>46</v>
      </c>
      <c r="K972" t="s">
        <v>430</v>
      </c>
      <c r="L972" t="s">
        <v>6419</v>
      </c>
      <c r="M972">
        <v>8</v>
      </c>
      <c r="N972">
        <v>3274</v>
      </c>
      <c r="O972">
        <v>10</v>
      </c>
      <c r="P972">
        <v>24139.8</v>
      </c>
      <c r="Q972">
        <v>23573.67</v>
      </c>
      <c r="R972">
        <v>566.13</v>
      </c>
      <c r="S972" t="s">
        <v>80</v>
      </c>
      <c r="T972" t="s">
        <v>36</v>
      </c>
      <c r="U972" t="s">
        <v>6420</v>
      </c>
      <c r="V972" t="s">
        <v>6421</v>
      </c>
      <c r="W972">
        <v>21</v>
      </c>
      <c r="X972" t="s">
        <v>53</v>
      </c>
      <c r="Y972">
        <v>0</v>
      </c>
    </row>
    <row r="973" spans="1:25" x14ac:dyDescent="0.35">
      <c r="A973" t="s">
        <v>6422</v>
      </c>
      <c r="B973" s="1">
        <v>45596</v>
      </c>
      <c r="C973" s="1">
        <v>45602</v>
      </c>
      <c r="D973" t="s">
        <v>6423</v>
      </c>
      <c r="E973" t="s">
        <v>6424</v>
      </c>
      <c r="F973" t="s">
        <v>28</v>
      </c>
      <c r="G973" t="s">
        <v>6425</v>
      </c>
      <c r="H973" t="s">
        <v>59</v>
      </c>
      <c r="I973" t="s">
        <v>31</v>
      </c>
      <c r="J973" t="s">
        <v>46</v>
      </c>
      <c r="K973" t="s">
        <v>207</v>
      </c>
      <c r="L973" t="s">
        <v>6426</v>
      </c>
      <c r="M973">
        <v>6</v>
      </c>
      <c r="N973">
        <v>4368</v>
      </c>
      <c r="O973">
        <v>0</v>
      </c>
      <c r="P973">
        <v>26775</v>
      </c>
      <c r="Q973">
        <v>26208.7</v>
      </c>
      <c r="R973">
        <v>566.29999999999995</v>
      </c>
      <c r="S973" t="s">
        <v>80</v>
      </c>
      <c r="T973" t="s">
        <v>89</v>
      </c>
      <c r="U973" t="s">
        <v>6427</v>
      </c>
      <c r="V973" t="s">
        <v>6428</v>
      </c>
      <c r="W973">
        <v>24</v>
      </c>
      <c r="X973" t="s">
        <v>53</v>
      </c>
      <c r="Y973">
        <v>0</v>
      </c>
    </row>
    <row r="974" spans="1:25" x14ac:dyDescent="0.35">
      <c r="A974" t="s">
        <v>6429</v>
      </c>
      <c r="B974" s="1">
        <v>45786</v>
      </c>
      <c r="C974" s="1">
        <v>45789</v>
      </c>
      <c r="D974" t="s">
        <v>3567</v>
      </c>
      <c r="E974" t="s">
        <v>6430</v>
      </c>
      <c r="F974" t="s">
        <v>28</v>
      </c>
      <c r="G974" t="s">
        <v>6431</v>
      </c>
      <c r="H974" t="s">
        <v>230</v>
      </c>
      <c r="I974" t="s">
        <v>137</v>
      </c>
      <c r="J974" t="s">
        <v>46</v>
      </c>
      <c r="K974" t="s">
        <v>164</v>
      </c>
      <c r="L974" t="s">
        <v>6432</v>
      </c>
      <c r="M974">
        <v>7</v>
      </c>
      <c r="N974">
        <v>3119</v>
      </c>
      <c r="O974">
        <v>10</v>
      </c>
      <c r="P974">
        <v>20216.7</v>
      </c>
      <c r="Q974">
        <v>19650.349999999999</v>
      </c>
      <c r="R974">
        <v>566.35</v>
      </c>
      <c r="S974" t="s">
        <v>35</v>
      </c>
      <c r="T974" t="s">
        <v>89</v>
      </c>
      <c r="U974" t="s">
        <v>5502</v>
      </c>
      <c r="V974" t="s">
        <v>6433</v>
      </c>
      <c r="W974">
        <v>14</v>
      </c>
      <c r="X974" t="s">
        <v>53</v>
      </c>
      <c r="Y974">
        <v>0</v>
      </c>
    </row>
    <row r="975" spans="1:25" x14ac:dyDescent="0.35">
      <c r="A975" t="s">
        <v>6434</v>
      </c>
      <c r="B975" s="1">
        <v>45955</v>
      </c>
      <c r="C975" s="1">
        <v>45958</v>
      </c>
      <c r="D975" t="s">
        <v>2566</v>
      </c>
      <c r="E975" t="s">
        <v>6435</v>
      </c>
      <c r="F975" t="s">
        <v>57</v>
      </c>
      <c r="G975" t="s">
        <v>6436</v>
      </c>
      <c r="H975" t="s">
        <v>364</v>
      </c>
      <c r="I975" t="s">
        <v>137</v>
      </c>
      <c r="J975" t="s">
        <v>97</v>
      </c>
      <c r="K975" t="s">
        <v>415</v>
      </c>
      <c r="L975" t="s">
        <v>6437</v>
      </c>
      <c r="M975">
        <v>8</v>
      </c>
      <c r="N975">
        <v>2561</v>
      </c>
      <c r="O975">
        <v>5</v>
      </c>
      <c r="P975">
        <v>20030.599999999999</v>
      </c>
      <c r="Q975">
        <v>19464.439999999999</v>
      </c>
      <c r="R975">
        <v>566.16</v>
      </c>
      <c r="S975" t="s">
        <v>35</v>
      </c>
      <c r="T975" t="s">
        <v>89</v>
      </c>
      <c r="U975" t="s">
        <v>6438</v>
      </c>
      <c r="V975" t="s">
        <v>6439</v>
      </c>
      <c r="W975">
        <v>41</v>
      </c>
      <c r="X975" t="s">
        <v>53</v>
      </c>
      <c r="Y975">
        <v>0</v>
      </c>
    </row>
    <row r="976" spans="1:25" x14ac:dyDescent="0.35">
      <c r="A976" t="s">
        <v>6440</v>
      </c>
      <c r="B976" s="1">
        <v>45772</v>
      </c>
      <c r="C976" s="1">
        <v>45774</v>
      </c>
      <c r="D976" t="s">
        <v>41</v>
      </c>
      <c r="E976" t="s">
        <v>6441</v>
      </c>
      <c r="F976" t="s">
        <v>95</v>
      </c>
      <c r="G976" t="s">
        <v>6442</v>
      </c>
      <c r="H976" t="s">
        <v>44</v>
      </c>
      <c r="I976" t="s">
        <v>45</v>
      </c>
      <c r="J976" t="s">
        <v>46</v>
      </c>
      <c r="K976" t="s">
        <v>750</v>
      </c>
      <c r="L976" t="s">
        <v>6443</v>
      </c>
      <c r="M976">
        <v>1</v>
      </c>
      <c r="N976">
        <v>4342</v>
      </c>
      <c r="O976">
        <v>5</v>
      </c>
      <c r="P976">
        <v>4691.8999999999996</v>
      </c>
      <c r="Q976">
        <v>4125.6899999999996</v>
      </c>
      <c r="R976">
        <v>566.21</v>
      </c>
      <c r="S976" t="s">
        <v>35</v>
      </c>
      <c r="T976" t="s">
        <v>89</v>
      </c>
      <c r="U976" t="s">
        <v>6444</v>
      </c>
      <c r="V976" t="s">
        <v>6445</v>
      </c>
      <c r="W976">
        <v>48</v>
      </c>
      <c r="X976" t="s">
        <v>53</v>
      </c>
      <c r="Y976">
        <v>0</v>
      </c>
    </row>
    <row r="977" spans="1:25" x14ac:dyDescent="0.35">
      <c r="A977" t="s">
        <v>6446</v>
      </c>
      <c r="B977" s="1">
        <v>45605</v>
      </c>
      <c r="C977" s="1">
        <v>45606</v>
      </c>
      <c r="D977" t="s">
        <v>1114</v>
      </c>
      <c r="E977" t="s">
        <v>6447</v>
      </c>
      <c r="F977" t="s">
        <v>95</v>
      </c>
      <c r="G977" t="s">
        <v>576</v>
      </c>
      <c r="H977" t="s">
        <v>68</v>
      </c>
      <c r="I977" t="s">
        <v>31</v>
      </c>
      <c r="J977" t="s">
        <v>97</v>
      </c>
      <c r="K977" t="s">
        <v>598</v>
      </c>
      <c r="L977" t="s">
        <v>6448</v>
      </c>
      <c r="M977">
        <v>6</v>
      </c>
      <c r="N977">
        <v>1963</v>
      </c>
      <c r="O977">
        <v>20</v>
      </c>
      <c r="P977">
        <v>9989.4</v>
      </c>
      <c r="Q977">
        <v>9423.2000000000007</v>
      </c>
      <c r="R977">
        <v>566.20000000000005</v>
      </c>
      <c r="S977" t="s">
        <v>49</v>
      </c>
      <c r="T977" t="s">
        <v>140</v>
      </c>
      <c r="U977" t="s">
        <v>6449</v>
      </c>
      <c r="V977" t="s">
        <v>6450</v>
      </c>
      <c r="W977">
        <v>10</v>
      </c>
      <c r="X977" t="s">
        <v>53</v>
      </c>
      <c r="Y977">
        <v>0</v>
      </c>
    </row>
    <row r="978" spans="1:25" x14ac:dyDescent="0.35">
      <c r="A978" t="s">
        <v>6451</v>
      </c>
      <c r="B978" s="1">
        <v>45498</v>
      </c>
      <c r="C978" s="1">
        <v>45501</v>
      </c>
      <c r="D978" t="s">
        <v>383</v>
      </c>
      <c r="E978" t="s">
        <v>6452</v>
      </c>
      <c r="F978" t="s">
        <v>95</v>
      </c>
      <c r="G978" t="s">
        <v>6453</v>
      </c>
      <c r="H978" t="s">
        <v>59</v>
      </c>
      <c r="I978" t="s">
        <v>31</v>
      </c>
      <c r="J978" t="s">
        <v>32</v>
      </c>
      <c r="K978" t="s">
        <v>1275</v>
      </c>
      <c r="L978" t="s">
        <v>6454</v>
      </c>
      <c r="M978">
        <v>1</v>
      </c>
      <c r="N978">
        <v>2476</v>
      </c>
      <c r="O978">
        <v>15</v>
      </c>
      <c r="P978">
        <v>2671.6</v>
      </c>
      <c r="Q978">
        <v>2105.25</v>
      </c>
      <c r="R978">
        <v>566.35</v>
      </c>
      <c r="S978" t="s">
        <v>35</v>
      </c>
      <c r="T978" t="s">
        <v>36</v>
      </c>
      <c r="U978" t="s">
        <v>6455</v>
      </c>
      <c r="V978" t="s">
        <v>6456</v>
      </c>
      <c r="W978">
        <v>44</v>
      </c>
      <c r="X978" t="s">
        <v>53</v>
      </c>
      <c r="Y978">
        <v>0</v>
      </c>
    </row>
    <row r="979" spans="1:25" x14ac:dyDescent="0.35">
      <c r="A979" t="s">
        <v>6457</v>
      </c>
      <c r="B979" s="1">
        <v>45462</v>
      </c>
      <c r="C979" s="1">
        <v>45466</v>
      </c>
      <c r="D979" t="s">
        <v>5536</v>
      </c>
      <c r="E979" t="s">
        <v>6458</v>
      </c>
      <c r="F979" t="s">
        <v>95</v>
      </c>
      <c r="G979" t="s">
        <v>5111</v>
      </c>
      <c r="H979" t="s">
        <v>172</v>
      </c>
      <c r="I979" t="s">
        <v>45</v>
      </c>
      <c r="J979" t="s">
        <v>118</v>
      </c>
      <c r="K979" t="s">
        <v>400</v>
      </c>
      <c r="L979" t="s">
        <v>6459</v>
      </c>
      <c r="M979">
        <v>2</v>
      </c>
      <c r="N979">
        <v>2760</v>
      </c>
      <c r="O979">
        <v>20</v>
      </c>
      <c r="P979">
        <v>4983</v>
      </c>
      <c r="Q979">
        <v>4416.75</v>
      </c>
      <c r="R979">
        <v>566.25</v>
      </c>
      <c r="S979" t="s">
        <v>35</v>
      </c>
      <c r="T979" t="s">
        <v>140</v>
      </c>
      <c r="U979" t="s">
        <v>6460</v>
      </c>
      <c r="V979" t="s">
        <v>6461</v>
      </c>
      <c r="W979">
        <v>46</v>
      </c>
      <c r="X979" t="s">
        <v>53</v>
      </c>
      <c r="Y979">
        <v>0</v>
      </c>
    </row>
    <row r="980" spans="1:25" x14ac:dyDescent="0.35">
      <c r="A980" t="s">
        <v>6462</v>
      </c>
      <c r="B980" s="1">
        <v>45626</v>
      </c>
      <c r="C980" s="1">
        <v>45627</v>
      </c>
      <c r="D980" t="s">
        <v>1231</v>
      </c>
      <c r="E980" t="s">
        <v>6463</v>
      </c>
      <c r="F980" t="s">
        <v>28</v>
      </c>
      <c r="G980" t="s">
        <v>6464</v>
      </c>
      <c r="H980" t="s">
        <v>320</v>
      </c>
      <c r="I980" t="s">
        <v>137</v>
      </c>
      <c r="J980" t="s">
        <v>118</v>
      </c>
      <c r="K980" t="s">
        <v>78</v>
      </c>
      <c r="L980" t="s">
        <v>6465</v>
      </c>
      <c r="M980">
        <v>3</v>
      </c>
      <c r="N980">
        <v>2894</v>
      </c>
      <c r="O980">
        <v>10</v>
      </c>
      <c r="P980">
        <v>8380.7999999999993</v>
      </c>
      <c r="Q980">
        <v>7814.65</v>
      </c>
      <c r="R980">
        <v>566.15</v>
      </c>
      <c r="S980" t="s">
        <v>49</v>
      </c>
      <c r="T980" t="s">
        <v>36</v>
      </c>
      <c r="U980" t="s">
        <v>6466</v>
      </c>
      <c r="V980" t="s">
        <v>6467</v>
      </c>
      <c r="W980">
        <v>14</v>
      </c>
      <c r="X980" t="s">
        <v>53</v>
      </c>
      <c r="Y980">
        <v>0</v>
      </c>
    </row>
    <row r="981" spans="1:25" x14ac:dyDescent="0.35">
      <c r="A981" t="s">
        <v>6468</v>
      </c>
      <c r="B981" s="1">
        <v>45821</v>
      </c>
      <c r="C981" s="1">
        <v>45826</v>
      </c>
      <c r="D981" t="s">
        <v>5718</v>
      </c>
      <c r="E981" t="s">
        <v>6469</v>
      </c>
      <c r="F981" t="s">
        <v>28</v>
      </c>
      <c r="G981" t="s">
        <v>4872</v>
      </c>
      <c r="H981" t="s">
        <v>59</v>
      </c>
      <c r="I981" t="s">
        <v>31</v>
      </c>
      <c r="J981" t="s">
        <v>46</v>
      </c>
      <c r="K981" t="s">
        <v>992</v>
      </c>
      <c r="L981" t="s">
        <v>6470</v>
      </c>
      <c r="M981">
        <v>4</v>
      </c>
      <c r="N981">
        <v>4703</v>
      </c>
      <c r="O981">
        <v>10</v>
      </c>
      <c r="P981">
        <v>17497.8</v>
      </c>
      <c r="Q981">
        <v>16931.599999999999</v>
      </c>
      <c r="R981">
        <v>566.20000000000005</v>
      </c>
      <c r="S981" t="s">
        <v>100</v>
      </c>
      <c r="T981" t="s">
        <v>140</v>
      </c>
      <c r="U981" t="s">
        <v>6471</v>
      </c>
      <c r="V981" t="s">
        <v>6472</v>
      </c>
      <c r="W981">
        <v>29</v>
      </c>
      <c r="X981" t="s">
        <v>53</v>
      </c>
      <c r="Y981">
        <v>0</v>
      </c>
    </row>
    <row r="982" spans="1:25" x14ac:dyDescent="0.35">
      <c r="A982" t="s">
        <v>6473</v>
      </c>
      <c r="B982" s="1">
        <v>45423</v>
      </c>
      <c r="C982" s="1">
        <v>45429</v>
      </c>
      <c r="D982" t="s">
        <v>6474</v>
      </c>
      <c r="E982" t="s">
        <v>6475</v>
      </c>
      <c r="F982" t="s">
        <v>57</v>
      </c>
      <c r="G982" t="s">
        <v>6476</v>
      </c>
      <c r="H982" t="s">
        <v>163</v>
      </c>
      <c r="I982" t="s">
        <v>108</v>
      </c>
      <c r="J982" t="s">
        <v>46</v>
      </c>
      <c r="K982" t="s">
        <v>706</v>
      </c>
      <c r="L982" t="s">
        <v>6477</v>
      </c>
      <c r="M982">
        <v>1</v>
      </c>
      <c r="N982">
        <v>824</v>
      </c>
      <c r="O982">
        <v>20</v>
      </c>
      <c r="P982">
        <v>1226.2</v>
      </c>
      <c r="Q982">
        <v>659.94</v>
      </c>
      <c r="R982">
        <v>566.26</v>
      </c>
      <c r="S982" t="s">
        <v>80</v>
      </c>
      <c r="T982" t="s">
        <v>36</v>
      </c>
      <c r="U982" t="s">
        <v>6478</v>
      </c>
      <c r="V982" t="s">
        <v>6479</v>
      </c>
      <c r="W982">
        <v>2</v>
      </c>
      <c r="X982" t="s">
        <v>39</v>
      </c>
      <c r="Y982">
        <v>28</v>
      </c>
    </row>
    <row r="983" spans="1:25" x14ac:dyDescent="0.35">
      <c r="A983" t="s">
        <v>6480</v>
      </c>
      <c r="B983" s="1">
        <v>45646</v>
      </c>
      <c r="C983" s="1">
        <v>45648</v>
      </c>
      <c r="D983" t="s">
        <v>6481</v>
      </c>
      <c r="E983" t="s">
        <v>6482</v>
      </c>
      <c r="F983" t="s">
        <v>95</v>
      </c>
      <c r="G983" t="s">
        <v>6483</v>
      </c>
      <c r="H983" t="s">
        <v>172</v>
      </c>
      <c r="I983" t="s">
        <v>45</v>
      </c>
      <c r="J983" t="s">
        <v>118</v>
      </c>
      <c r="K983" t="s">
        <v>87</v>
      </c>
      <c r="L983" t="s">
        <v>6484</v>
      </c>
      <c r="M983">
        <v>10</v>
      </c>
      <c r="N983">
        <v>3329</v>
      </c>
      <c r="O983">
        <v>0</v>
      </c>
      <c r="P983">
        <v>33857</v>
      </c>
      <c r="Q983">
        <v>33290.79</v>
      </c>
      <c r="R983">
        <v>566.21</v>
      </c>
      <c r="S983" t="s">
        <v>35</v>
      </c>
      <c r="T983" t="s">
        <v>50</v>
      </c>
      <c r="U983" t="s">
        <v>6485</v>
      </c>
      <c r="V983" t="s">
        <v>6486</v>
      </c>
      <c r="W983">
        <v>49</v>
      </c>
      <c r="X983" t="s">
        <v>53</v>
      </c>
      <c r="Y983">
        <v>0</v>
      </c>
    </row>
    <row r="984" spans="1:25" x14ac:dyDescent="0.35">
      <c r="A984" t="s">
        <v>6487</v>
      </c>
      <c r="B984" s="1">
        <v>45558</v>
      </c>
      <c r="C984" s="1">
        <v>45561</v>
      </c>
      <c r="D984" t="s">
        <v>5153</v>
      </c>
      <c r="E984" t="s">
        <v>6488</v>
      </c>
      <c r="F984" t="s">
        <v>95</v>
      </c>
      <c r="G984" t="s">
        <v>6489</v>
      </c>
      <c r="H984" t="s">
        <v>206</v>
      </c>
      <c r="I984" t="s">
        <v>31</v>
      </c>
      <c r="J984" t="s">
        <v>46</v>
      </c>
      <c r="K984" t="s">
        <v>474</v>
      </c>
      <c r="L984" t="s">
        <v>6490</v>
      </c>
      <c r="M984">
        <v>5</v>
      </c>
      <c r="N984">
        <v>4936</v>
      </c>
      <c r="O984">
        <v>20</v>
      </c>
      <c r="P984">
        <v>20311</v>
      </c>
      <c r="Q984">
        <v>19744.78</v>
      </c>
      <c r="R984">
        <v>566.22</v>
      </c>
      <c r="S984" t="s">
        <v>49</v>
      </c>
      <c r="T984" t="s">
        <v>50</v>
      </c>
      <c r="U984" t="s">
        <v>6491</v>
      </c>
      <c r="V984" t="s">
        <v>6492</v>
      </c>
      <c r="W984">
        <v>18</v>
      </c>
      <c r="X984" t="s">
        <v>53</v>
      </c>
      <c r="Y984">
        <v>0</v>
      </c>
    </row>
    <row r="985" spans="1:25" x14ac:dyDescent="0.35">
      <c r="A985" t="s">
        <v>6493</v>
      </c>
      <c r="B985" s="1">
        <v>45802</v>
      </c>
      <c r="C985" s="1">
        <v>45803</v>
      </c>
      <c r="D985" t="s">
        <v>3812</v>
      </c>
      <c r="E985" t="s">
        <v>6494</v>
      </c>
      <c r="F985" t="s">
        <v>95</v>
      </c>
      <c r="G985" t="s">
        <v>6495</v>
      </c>
      <c r="H985" t="s">
        <v>68</v>
      </c>
      <c r="I985" t="s">
        <v>31</v>
      </c>
      <c r="J985" t="s">
        <v>118</v>
      </c>
      <c r="K985" t="s">
        <v>60</v>
      </c>
      <c r="L985" t="s">
        <v>6496</v>
      </c>
      <c r="M985">
        <v>2</v>
      </c>
      <c r="N985">
        <v>601</v>
      </c>
      <c r="O985">
        <v>10</v>
      </c>
      <c r="P985">
        <v>1648.8</v>
      </c>
      <c r="Q985">
        <v>1082.51</v>
      </c>
      <c r="R985">
        <v>566.29</v>
      </c>
      <c r="S985" t="s">
        <v>100</v>
      </c>
      <c r="T985" t="s">
        <v>140</v>
      </c>
      <c r="U985" t="s">
        <v>6497</v>
      </c>
      <c r="V985" t="s">
        <v>6498</v>
      </c>
      <c r="W985">
        <v>17</v>
      </c>
      <c r="X985" t="s">
        <v>53</v>
      </c>
      <c r="Y985">
        <v>0</v>
      </c>
    </row>
    <row r="986" spans="1:25" x14ac:dyDescent="0.35">
      <c r="A986" t="s">
        <v>6499</v>
      </c>
      <c r="B986" s="1">
        <v>45362</v>
      </c>
      <c r="C986" s="1">
        <v>45364</v>
      </c>
      <c r="D986" t="s">
        <v>6500</v>
      </c>
      <c r="E986" t="s">
        <v>6501</v>
      </c>
      <c r="F986" t="s">
        <v>28</v>
      </c>
      <c r="G986" t="s">
        <v>6502</v>
      </c>
      <c r="H986" t="s">
        <v>127</v>
      </c>
      <c r="I986" t="s">
        <v>45</v>
      </c>
      <c r="J986" t="s">
        <v>32</v>
      </c>
      <c r="K986" t="s">
        <v>155</v>
      </c>
      <c r="L986" t="s">
        <v>6503</v>
      </c>
      <c r="M986">
        <v>1</v>
      </c>
      <c r="N986">
        <v>3828</v>
      </c>
      <c r="O986">
        <v>10</v>
      </c>
      <c r="P986">
        <v>4012.2</v>
      </c>
      <c r="Q986">
        <v>3445.81</v>
      </c>
      <c r="R986">
        <v>566.39</v>
      </c>
      <c r="S986" t="s">
        <v>80</v>
      </c>
      <c r="T986" t="s">
        <v>50</v>
      </c>
      <c r="U986" t="s">
        <v>6504</v>
      </c>
      <c r="V986" t="s">
        <v>6505</v>
      </c>
      <c r="W986">
        <v>29</v>
      </c>
      <c r="X986" t="s">
        <v>53</v>
      </c>
      <c r="Y986">
        <v>0</v>
      </c>
    </row>
    <row r="987" spans="1:25" x14ac:dyDescent="0.35">
      <c r="A987" t="s">
        <v>6506</v>
      </c>
      <c r="B987" s="1">
        <v>45460</v>
      </c>
      <c r="C987" s="1">
        <v>45467</v>
      </c>
      <c r="D987" t="s">
        <v>1050</v>
      </c>
      <c r="E987" t="s">
        <v>6507</v>
      </c>
      <c r="F987" t="s">
        <v>95</v>
      </c>
      <c r="G987" t="s">
        <v>6508</v>
      </c>
      <c r="H987" t="s">
        <v>136</v>
      </c>
      <c r="I987" t="s">
        <v>137</v>
      </c>
      <c r="J987" t="s">
        <v>97</v>
      </c>
      <c r="K987" t="s">
        <v>532</v>
      </c>
      <c r="L987" t="s">
        <v>6509</v>
      </c>
      <c r="M987">
        <v>5</v>
      </c>
      <c r="N987">
        <v>4621</v>
      </c>
      <c r="O987">
        <v>0</v>
      </c>
      <c r="P987">
        <v>23672</v>
      </c>
      <c r="Q987">
        <v>23105.65</v>
      </c>
      <c r="R987">
        <v>566.35</v>
      </c>
      <c r="S987" t="s">
        <v>49</v>
      </c>
      <c r="T987" t="s">
        <v>140</v>
      </c>
      <c r="U987" t="s">
        <v>6510</v>
      </c>
      <c r="V987" t="s">
        <v>6511</v>
      </c>
      <c r="W987">
        <v>7</v>
      </c>
      <c r="X987" t="s">
        <v>39</v>
      </c>
      <c r="Y987">
        <v>28</v>
      </c>
    </row>
    <row r="988" spans="1:25" x14ac:dyDescent="0.35">
      <c r="A988" t="s">
        <v>6512</v>
      </c>
      <c r="B988" s="1">
        <v>45239</v>
      </c>
      <c r="C988" s="1">
        <v>45240</v>
      </c>
      <c r="D988" t="s">
        <v>3313</v>
      </c>
      <c r="E988" t="s">
        <v>6513</v>
      </c>
      <c r="F988" t="s">
        <v>57</v>
      </c>
      <c r="G988" t="s">
        <v>6514</v>
      </c>
      <c r="H988" t="s">
        <v>127</v>
      </c>
      <c r="I988" t="s">
        <v>45</v>
      </c>
      <c r="J988" t="s">
        <v>46</v>
      </c>
      <c r="K988" t="s">
        <v>562</v>
      </c>
      <c r="L988" t="s">
        <v>6515</v>
      </c>
      <c r="M988">
        <v>3</v>
      </c>
      <c r="N988">
        <v>1538</v>
      </c>
      <c r="O988">
        <v>5</v>
      </c>
      <c r="P988">
        <v>4950.3</v>
      </c>
      <c r="Q988">
        <v>4383.9799999999996</v>
      </c>
      <c r="R988">
        <v>566.32000000000005</v>
      </c>
      <c r="S988" t="s">
        <v>80</v>
      </c>
      <c r="T988" t="s">
        <v>140</v>
      </c>
      <c r="U988" t="s">
        <v>6516</v>
      </c>
      <c r="V988" t="s">
        <v>6517</v>
      </c>
      <c r="W988">
        <v>30</v>
      </c>
      <c r="X988" t="s">
        <v>53</v>
      </c>
      <c r="Y988">
        <v>0</v>
      </c>
    </row>
    <row r="989" spans="1:25" x14ac:dyDescent="0.35">
      <c r="A989" t="s">
        <v>6518</v>
      </c>
      <c r="B989" s="1">
        <v>45363</v>
      </c>
      <c r="C989" s="1">
        <v>45365</v>
      </c>
      <c r="D989" t="s">
        <v>3246</v>
      </c>
      <c r="E989" t="s">
        <v>6519</v>
      </c>
      <c r="F989" t="s">
        <v>57</v>
      </c>
      <c r="G989" t="s">
        <v>6520</v>
      </c>
      <c r="H989" t="s">
        <v>198</v>
      </c>
      <c r="I989" t="s">
        <v>31</v>
      </c>
      <c r="J989" t="s">
        <v>32</v>
      </c>
      <c r="K989" t="s">
        <v>349</v>
      </c>
      <c r="L989" t="s">
        <v>6521</v>
      </c>
      <c r="M989">
        <v>4</v>
      </c>
      <c r="N989">
        <v>4823</v>
      </c>
      <c r="O989">
        <v>5</v>
      </c>
      <c r="P989">
        <v>18894.400000000001</v>
      </c>
      <c r="Q989">
        <v>18328.240000000002</v>
      </c>
      <c r="R989">
        <v>566.16</v>
      </c>
      <c r="S989" t="s">
        <v>35</v>
      </c>
      <c r="T989" t="s">
        <v>36</v>
      </c>
      <c r="U989" t="s">
        <v>6522</v>
      </c>
      <c r="V989" t="s">
        <v>6523</v>
      </c>
      <c r="W989">
        <v>36</v>
      </c>
      <c r="X989" t="s">
        <v>53</v>
      </c>
      <c r="Y989">
        <v>0</v>
      </c>
    </row>
    <row r="990" spans="1:25" x14ac:dyDescent="0.35">
      <c r="A990" t="s">
        <v>6524</v>
      </c>
      <c r="B990" s="1">
        <v>45760</v>
      </c>
      <c r="C990" s="1">
        <v>45766</v>
      </c>
      <c r="D990" t="s">
        <v>6525</v>
      </c>
      <c r="E990" t="s">
        <v>6526</v>
      </c>
      <c r="F990" t="s">
        <v>95</v>
      </c>
      <c r="G990" t="s">
        <v>5255</v>
      </c>
      <c r="H990" t="s">
        <v>364</v>
      </c>
      <c r="I990" t="s">
        <v>137</v>
      </c>
      <c r="J990" t="s">
        <v>97</v>
      </c>
      <c r="K990" t="s">
        <v>524</v>
      </c>
      <c r="L990" t="s">
        <v>6527</v>
      </c>
      <c r="M990">
        <v>7</v>
      </c>
      <c r="N990">
        <v>3289</v>
      </c>
      <c r="O990">
        <v>10</v>
      </c>
      <c r="P990">
        <v>21287.7</v>
      </c>
      <c r="Q990">
        <v>20721.46</v>
      </c>
      <c r="R990">
        <v>566.24</v>
      </c>
      <c r="S990" t="s">
        <v>35</v>
      </c>
      <c r="T990" t="s">
        <v>140</v>
      </c>
      <c r="U990" t="s">
        <v>6528</v>
      </c>
      <c r="V990" t="s">
        <v>6529</v>
      </c>
      <c r="W990">
        <v>43</v>
      </c>
      <c r="X990" t="s">
        <v>53</v>
      </c>
      <c r="Y990">
        <v>0</v>
      </c>
    </row>
    <row r="991" spans="1:25" x14ac:dyDescent="0.35">
      <c r="A991" t="s">
        <v>6530</v>
      </c>
      <c r="B991" s="1">
        <v>45541</v>
      </c>
      <c r="C991" s="1">
        <v>45544</v>
      </c>
      <c r="D991" t="s">
        <v>581</v>
      </c>
      <c r="E991" t="s">
        <v>6531</v>
      </c>
      <c r="F991" t="s">
        <v>28</v>
      </c>
      <c r="G991" t="s">
        <v>6532</v>
      </c>
      <c r="H991" t="s">
        <v>334</v>
      </c>
      <c r="I991" t="s">
        <v>108</v>
      </c>
      <c r="J991" t="s">
        <v>46</v>
      </c>
      <c r="K991" t="s">
        <v>786</v>
      </c>
      <c r="L991" t="s">
        <v>6533</v>
      </c>
      <c r="M991">
        <v>6</v>
      </c>
      <c r="N991">
        <v>505</v>
      </c>
      <c r="O991">
        <v>20</v>
      </c>
      <c r="P991">
        <v>2991</v>
      </c>
      <c r="Q991">
        <v>2424.65</v>
      </c>
      <c r="R991">
        <v>566.35</v>
      </c>
      <c r="S991" t="s">
        <v>80</v>
      </c>
      <c r="T991" t="s">
        <v>50</v>
      </c>
      <c r="U991" t="s">
        <v>6534</v>
      </c>
      <c r="V991" t="s">
        <v>6535</v>
      </c>
      <c r="W991">
        <v>13</v>
      </c>
      <c r="X991" t="s">
        <v>53</v>
      </c>
      <c r="Y991">
        <v>0</v>
      </c>
    </row>
    <row r="992" spans="1:25" x14ac:dyDescent="0.35">
      <c r="A992" t="s">
        <v>6536</v>
      </c>
      <c r="B992" s="1">
        <v>45497</v>
      </c>
      <c r="C992" s="1">
        <v>45503</v>
      </c>
      <c r="D992" t="s">
        <v>521</v>
      </c>
      <c r="E992" t="s">
        <v>6537</v>
      </c>
      <c r="F992" t="s">
        <v>95</v>
      </c>
      <c r="G992" t="s">
        <v>6538</v>
      </c>
      <c r="H992" t="s">
        <v>44</v>
      </c>
      <c r="I992" t="s">
        <v>45</v>
      </c>
      <c r="J992" t="s">
        <v>32</v>
      </c>
      <c r="K992" t="s">
        <v>415</v>
      </c>
      <c r="L992" t="s">
        <v>6539</v>
      </c>
      <c r="M992">
        <v>8</v>
      </c>
      <c r="N992">
        <v>3621</v>
      </c>
      <c r="O992">
        <v>5</v>
      </c>
      <c r="P992">
        <v>28086.6</v>
      </c>
      <c r="Q992">
        <v>27520.39</v>
      </c>
      <c r="R992">
        <v>566.21</v>
      </c>
      <c r="S992" t="s">
        <v>100</v>
      </c>
      <c r="T992" t="s">
        <v>89</v>
      </c>
      <c r="U992" t="s">
        <v>6540</v>
      </c>
      <c r="V992" t="s">
        <v>6541</v>
      </c>
      <c r="W992">
        <v>5</v>
      </c>
      <c r="X992" t="s">
        <v>39</v>
      </c>
      <c r="Y992">
        <v>49</v>
      </c>
    </row>
    <row r="993" spans="1:25" x14ac:dyDescent="0.35">
      <c r="A993" t="s">
        <v>6542</v>
      </c>
      <c r="B993" s="1">
        <v>45709</v>
      </c>
      <c r="C993" s="1">
        <v>45714</v>
      </c>
      <c r="D993" t="s">
        <v>6543</v>
      </c>
      <c r="E993" t="s">
        <v>6544</v>
      </c>
      <c r="F993" t="s">
        <v>28</v>
      </c>
      <c r="G993" t="s">
        <v>6545</v>
      </c>
      <c r="H993" t="s">
        <v>30</v>
      </c>
      <c r="I993" t="s">
        <v>31</v>
      </c>
      <c r="J993" t="s">
        <v>32</v>
      </c>
      <c r="K993" t="s">
        <v>98</v>
      </c>
      <c r="L993" t="s">
        <v>6546</v>
      </c>
      <c r="M993">
        <v>7</v>
      </c>
      <c r="N993">
        <v>2556</v>
      </c>
      <c r="O993">
        <v>15</v>
      </c>
      <c r="P993">
        <v>15775.2</v>
      </c>
      <c r="Q993">
        <v>15208.89</v>
      </c>
      <c r="R993">
        <v>566.30999999999995</v>
      </c>
      <c r="S993" t="s">
        <v>100</v>
      </c>
      <c r="T993" t="s">
        <v>89</v>
      </c>
      <c r="U993" t="s">
        <v>6547</v>
      </c>
      <c r="V993" t="s">
        <v>6548</v>
      </c>
      <c r="W993">
        <v>46</v>
      </c>
      <c r="X993" t="s">
        <v>53</v>
      </c>
      <c r="Y993">
        <v>0</v>
      </c>
    </row>
    <row r="994" spans="1:25" x14ac:dyDescent="0.35">
      <c r="A994" t="s">
        <v>6549</v>
      </c>
      <c r="B994" s="1">
        <v>45586</v>
      </c>
      <c r="C994" s="1">
        <v>45591</v>
      </c>
      <c r="D994" t="s">
        <v>2812</v>
      </c>
      <c r="E994" t="s">
        <v>6550</v>
      </c>
      <c r="F994" t="s">
        <v>57</v>
      </c>
      <c r="G994" t="s">
        <v>6551</v>
      </c>
      <c r="H994" t="s">
        <v>107</v>
      </c>
      <c r="I994" t="s">
        <v>108</v>
      </c>
      <c r="J994" t="s">
        <v>97</v>
      </c>
      <c r="K994" t="s">
        <v>415</v>
      </c>
      <c r="L994" t="s">
        <v>6552</v>
      </c>
      <c r="M994">
        <v>8</v>
      </c>
      <c r="N994">
        <v>887</v>
      </c>
      <c r="O994">
        <v>0</v>
      </c>
      <c r="P994">
        <v>7663</v>
      </c>
      <c r="Q994">
        <v>7096.64</v>
      </c>
      <c r="R994">
        <v>566.36</v>
      </c>
      <c r="S994" t="s">
        <v>80</v>
      </c>
      <c r="T994" t="s">
        <v>50</v>
      </c>
      <c r="U994" t="s">
        <v>6553</v>
      </c>
      <c r="V994" t="s">
        <v>6554</v>
      </c>
      <c r="W994">
        <v>31</v>
      </c>
      <c r="X994" t="s">
        <v>53</v>
      </c>
      <c r="Y994">
        <v>0</v>
      </c>
    </row>
    <row r="995" spans="1:25" x14ac:dyDescent="0.35">
      <c r="A995" t="s">
        <v>6555</v>
      </c>
      <c r="B995" s="1">
        <v>45695</v>
      </c>
      <c r="C995" s="1">
        <v>45699</v>
      </c>
      <c r="D995" t="s">
        <v>5858</v>
      </c>
      <c r="E995" t="s">
        <v>6556</v>
      </c>
      <c r="F995" t="s">
        <v>57</v>
      </c>
      <c r="G995" t="s">
        <v>6557</v>
      </c>
      <c r="H995" t="s">
        <v>154</v>
      </c>
      <c r="I995" t="s">
        <v>137</v>
      </c>
      <c r="J995" t="s">
        <v>46</v>
      </c>
      <c r="K995" t="s">
        <v>199</v>
      </c>
      <c r="L995" t="s">
        <v>6558</v>
      </c>
      <c r="M995">
        <v>1</v>
      </c>
      <c r="N995">
        <v>837</v>
      </c>
      <c r="O995">
        <v>20</v>
      </c>
      <c r="P995">
        <v>1236.5999999999999</v>
      </c>
      <c r="Q995">
        <v>670.25</v>
      </c>
      <c r="R995">
        <v>566.35</v>
      </c>
      <c r="S995" t="s">
        <v>100</v>
      </c>
      <c r="T995" t="s">
        <v>140</v>
      </c>
      <c r="U995" t="s">
        <v>6559</v>
      </c>
      <c r="V995" t="s">
        <v>6560</v>
      </c>
      <c r="W995">
        <v>42</v>
      </c>
      <c r="X995" t="s">
        <v>53</v>
      </c>
      <c r="Y995">
        <v>0</v>
      </c>
    </row>
    <row r="996" spans="1:25" x14ac:dyDescent="0.35">
      <c r="A996" t="s">
        <v>6561</v>
      </c>
      <c r="B996" s="1">
        <v>45614</v>
      </c>
      <c r="C996" s="1">
        <v>45617</v>
      </c>
      <c r="D996" t="s">
        <v>6562</v>
      </c>
      <c r="E996" t="s">
        <v>6563</v>
      </c>
      <c r="F996" t="s">
        <v>95</v>
      </c>
      <c r="G996" t="s">
        <v>6564</v>
      </c>
      <c r="H996" t="s">
        <v>364</v>
      </c>
      <c r="I996" t="s">
        <v>137</v>
      </c>
      <c r="J996" t="s">
        <v>32</v>
      </c>
      <c r="K996" t="s">
        <v>222</v>
      </c>
      <c r="L996" t="s">
        <v>6565</v>
      </c>
      <c r="M996">
        <v>8</v>
      </c>
      <c r="N996">
        <v>4607</v>
      </c>
      <c r="O996">
        <v>0</v>
      </c>
      <c r="P996">
        <v>37423</v>
      </c>
      <c r="Q996">
        <v>36856.65</v>
      </c>
      <c r="R996">
        <v>566.35</v>
      </c>
      <c r="S996" t="s">
        <v>35</v>
      </c>
      <c r="T996" t="s">
        <v>36</v>
      </c>
      <c r="U996" t="s">
        <v>6566</v>
      </c>
      <c r="V996" t="s">
        <v>6567</v>
      </c>
      <c r="W996">
        <v>19</v>
      </c>
      <c r="X996" t="s">
        <v>53</v>
      </c>
      <c r="Y996">
        <v>0</v>
      </c>
    </row>
    <row r="997" spans="1:25" x14ac:dyDescent="0.35">
      <c r="A997" t="s">
        <v>6568</v>
      </c>
      <c r="B997" s="1">
        <v>45255</v>
      </c>
      <c r="C997" s="1">
        <v>45258</v>
      </c>
      <c r="D997" t="s">
        <v>6569</v>
      </c>
      <c r="E997" t="s">
        <v>6570</v>
      </c>
      <c r="F997" t="s">
        <v>28</v>
      </c>
      <c r="G997" t="s">
        <v>6571</v>
      </c>
      <c r="H997" t="s">
        <v>230</v>
      </c>
      <c r="I997" t="s">
        <v>137</v>
      </c>
      <c r="J997" t="s">
        <v>32</v>
      </c>
      <c r="K997" t="s">
        <v>532</v>
      </c>
      <c r="L997" t="s">
        <v>6572</v>
      </c>
      <c r="M997">
        <v>8</v>
      </c>
      <c r="N997">
        <v>3523</v>
      </c>
      <c r="O997">
        <v>0</v>
      </c>
      <c r="P997">
        <v>28751</v>
      </c>
      <c r="Q997">
        <v>28184.62</v>
      </c>
      <c r="R997">
        <v>566.38</v>
      </c>
      <c r="S997" t="s">
        <v>80</v>
      </c>
      <c r="T997" t="s">
        <v>140</v>
      </c>
      <c r="U997" t="s">
        <v>6573</v>
      </c>
      <c r="V997" t="s">
        <v>6574</v>
      </c>
      <c r="W997">
        <v>19</v>
      </c>
      <c r="X997" t="s">
        <v>53</v>
      </c>
      <c r="Y997">
        <v>0</v>
      </c>
    </row>
    <row r="998" spans="1:25" x14ac:dyDescent="0.35">
      <c r="A998" t="s">
        <v>6575</v>
      </c>
      <c r="B998" s="1">
        <v>45706</v>
      </c>
      <c r="C998" s="1">
        <v>45710</v>
      </c>
      <c r="D998" t="s">
        <v>6576</v>
      </c>
      <c r="E998" t="s">
        <v>6577</v>
      </c>
      <c r="F998" t="s">
        <v>28</v>
      </c>
      <c r="G998" t="s">
        <v>6578</v>
      </c>
      <c r="H998" t="s">
        <v>154</v>
      </c>
      <c r="I998" t="s">
        <v>137</v>
      </c>
      <c r="J998" t="s">
        <v>32</v>
      </c>
      <c r="K998" t="s">
        <v>750</v>
      </c>
      <c r="L998" t="s">
        <v>6579</v>
      </c>
      <c r="M998">
        <v>1</v>
      </c>
      <c r="N998">
        <v>280</v>
      </c>
      <c r="O998">
        <v>5</v>
      </c>
      <c r="P998">
        <v>833</v>
      </c>
      <c r="Q998">
        <v>266.72000000000003</v>
      </c>
      <c r="R998">
        <v>566.28</v>
      </c>
      <c r="S998" t="s">
        <v>35</v>
      </c>
      <c r="T998" t="s">
        <v>140</v>
      </c>
      <c r="U998" t="s">
        <v>6580</v>
      </c>
      <c r="V998" t="s">
        <v>6581</v>
      </c>
      <c r="W998">
        <v>32</v>
      </c>
      <c r="X998" t="s">
        <v>53</v>
      </c>
      <c r="Y998">
        <v>0</v>
      </c>
    </row>
    <row r="999" spans="1:25" x14ac:dyDescent="0.35">
      <c r="A999" t="s">
        <v>6582</v>
      </c>
      <c r="B999" s="1">
        <v>45546</v>
      </c>
      <c r="C999" s="1">
        <v>45547</v>
      </c>
      <c r="D999" t="s">
        <v>1645</v>
      </c>
      <c r="E999" t="s">
        <v>6583</v>
      </c>
      <c r="F999" t="s">
        <v>28</v>
      </c>
      <c r="G999" t="s">
        <v>6584</v>
      </c>
      <c r="H999" t="s">
        <v>364</v>
      </c>
      <c r="I999" t="s">
        <v>137</v>
      </c>
      <c r="J999" t="s">
        <v>32</v>
      </c>
      <c r="K999" t="s">
        <v>222</v>
      </c>
      <c r="L999" t="s">
        <v>48</v>
      </c>
      <c r="M999">
        <v>2</v>
      </c>
      <c r="N999">
        <v>3217</v>
      </c>
      <c r="O999">
        <v>5</v>
      </c>
      <c r="P999">
        <v>6679.3</v>
      </c>
      <c r="Q999">
        <v>6113.06</v>
      </c>
      <c r="R999">
        <v>566.24</v>
      </c>
      <c r="S999" t="s">
        <v>100</v>
      </c>
      <c r="T999" t="s">
        <v>36</v>
      </c>
      <c r="U999" t="s">
        <v>6585</v>
      </c>
      <c r="V999" t="s">
        <v>6586</v>
      </c>
      <c r="W999">
        <v>35</v>
      </c>
      <c r="X999" t="s">
        <v>53</v>
      </c>
      <c r="Y999">
        <v>0</v>
      </c>
    </row>
    <row r="1000" spans="1:25" x14ac:dyDescent="0.35">
      <c r="A1000" t="s">
        <v>6587</v>
      </c>
      <c r="B1000" s="1">
        <v>45411</v>
      </c>
      <c r="C1000" s="1">
        <v>45413</v>
      </c>
      <c r="D1000" t="s">
        <v>6588</v>
      </c>
      <c r="E1000" t="s">
        <v>6589</v>
      </c>
      <c r="F1000" t="s">
        <v>95</v>
      </c>
      <c r="G1000" t="s">
        <v>6590</v>
      </c>
      <c r="H1000" t="s">
        <v>163</v>
      </c>
      <c r="I1000" t="s">
        <v>108</v>
      </c>
      <c r="J1000" t="s">
        <v>46</v>
      </c>
      <c r="K1000" t="s">
        <v>164</v>
      </c>
      <c r="L1000" t="s">
        <v>6591</v>
      </c>
      <c r="M1000">
        <v>1</v>
      </c>
      <c r="N1000">
        <v>4247</v>
      </c>
      <c r="O1000">
        <v>5</v>
      </c>
      <c r="P1000">
        <v>4601.6499999999996</v>
      </c>
      <c r="Q1000">
        <v>4035.35</v>
      </c>
      <c r="R1000">
        <v>566.29999999999995</v>
      </c>
      <c r="S1000" t="s">
        <v>49</v>
      </c>
      <c r="T1000" t="s">
        <v>50</v>
      </c>
      <c r="U1000" t="s">
        <v>6592</v>
      </c>
      <c r="V1000" t="s">
        <v>6593</v>
      </c>
      <c r="W1000">
        <v>11</v>
      </c>
      <c r="X1000" t="s">
        <v>53</v>
      </c>
      <c r="Y1000">
        <v>0</v>
      </c>
    </row>
    <row r="1001" spans="1:25" x14ac:dyDescent="0.35">
      <c r="A1001" t="s">
        <v>6594</v>
      </c>
      <c r="B1001" s="1">
        <v>45861</v>
      </c>
      <c r="C1001" s="1">
        <v>45862</v>
      </c>
      <c r="D1001" t="s">
        <v>6595</v>
      </c>
      <c r="E1001" t="s">
        <v>6596</v>
      </c>
      <c r="F1001" t="s">
        <v>28</v>
      </c>
      <c r="G1001" t="s">
        <v>6597</v>
      </c>
      <c r="H1001" t="s">
        <v>320</v>
      </c>
      <c r="I1001" t="s">
        <v>137</v>
      </c>
      <c r="J1001" t="s">
        <v>46</v>
      </c>
      <c r="K1001" t="s">
        <v>706</v>
      </c>
      <c r="L1001" t="s">
        <v>6598</v>
      </c>
      <c r="M1001">
        <v>8</v>
      </c>
      <c r="N1001">
        <v>2884</v>
      </c>
      <c r="O1001">
        <v>15</v>
      </c>
      <c r="P1001">
        <v>20178.2</v>
      </c>
      <c r="Q1001">
        <v>19611.95</v>
      </c>
      <c r="R1001">
        <v>566.25</v>
      </c>
      <c r="S1001" t="s">
        <v>80</v>
      </c>
      <c r="T1001" t="s">
        <v>140</v>
      </c>
      <c r="U1001" t="s">
        <v>6599</v>
      </c>
      <c r="V1001" t="s">
        <v>6600</v>
      </c>
      <c r="W1001">
        <v>19</v>
      </c>
      <c r="X1001" t="s">
        <v>53</v>
      </c>
      <c r="Y100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126AD-7759-4B5A-8B30-961104838BCC}">
  <dimension ref="B5:J92"/>
  <sheetViews>
    <sheetView showGridLines="0" tabSelected="1" topLeftCell="A3" workbookViewId="0">
      <selection activeCell="I13" sqref="I13"/>
    </sheetView>
  </sheetViews>
  <sheetFormatPr defaultRowHeight="14.5" x14ac:dyDescent="0.35"/>
  <cols>
    <col min="2" max="2" width="12.453125" bestFit="1" customWidth="1"/>
    <col min="3" max="3" width="18.6328125" bestFit="1" customWidth="1"/>
    <col min="5" max="5" width="12.453125" bestFit="1" customWidth="1"/>
    <col min="6" max="6" width="18.6328125" bestFit="1" customWidth="1"/>
    <col min="8" max="8" width="12.26953125" bestFit="1" customWidth="1"/>
    <col min="9" max="9" width="18.6328125" bestFit="1" customWidth="1"/>
    <col min="10" max="10" width="20.453125" bestFit="1" customWidth="1"/>
  </cols>
  <sheetData>
    <row r="5" spans="2:10" ht="16.5" x14ac:dyDescent="0.45">
      <c r="B5" s="11" t="s">
        <v>6605</v>
      </c>
      <c r="C5" s="11"/>
      <c r="E5" s="12" t="s">
        <v>6607</v>
      </c>
      <c r="F5" s="11"/>
      <c r="H5" s="13" t="s">
        <v>6613</v>
      </c>
      <c r="I5" s="13"/>
      <c r="J5" s="13"/>
    </row>
    <row r="6" spans="2:10" x14ac:dyDescent="0.35">
      <c r="B6" s="3" t="s">
        <v>6603</v>
      </c>
      <c r="C6" t="s">
        <v>6601</v>
      </c>
      <c r="E6" s="3" t="s">
        <v>6603</v>
      </c>
      <c r="F6" t="s">
        <v>6602</v>
      </c>
      <c r="H6" t="s">
        <v>6601</v>
      </c>
      <c r="J6" t="s">
        <v>6616</v>
      </c>
    </row>
    <row r="7" spans="2:10" x14ac:dyDescent="0.35">
      <c r="B7" s="4" t="s">
        <v>95</v>
      </c>
      <c r="C7" s="7">
        <v>4268038.0500000007</v>
      </c>
      <c r="E7" s="4" t="s">
        <v>137</v>
      </c>
      <c r="F7" s="8">
        <v>140233.25999999995</v>
      </c>
      <c r="H7" s="7">
        <v>12305363.749999996</v>
      </c>
      <c r="J7" s="8">
        <v>583303.38999999978</v>
      </c>
    </row>
    <row r="8" spans="2:10" x14ac:dyDescent="0.35">
      <c r="B8" s="4" t="s">
        <v>28</v>
      </c>
      <c r="C8" s="7">
        <v>4146338.1999999988</v>
      </c>
      <c r="E8" s="4" t="s">
        <v>31</v>
      </c>
      <c r="F8" s="8">
        <v>144582.45000000013</v>
      </c>
      <c r="H8" s="7">
        <f>GETPIVOTDATA("Sales Amount",$H$6)</f>
        <v>12305363.749999996</v>
      </c>
      <c r="J8" s="8">
        <f>GETPIVOTDATA("Profit",$J$6)</f>
        <v>583303.38999999978</v>
      </c>
    </row>
    <row r="9" spans="2:10" x14ac:dyDescent="0.35">
      <c r="B9" s="4" t="s">
        <v>57</v>
      </c>
      <c r="C9" s="7">
        <v>3890987.5</v>
      </c>
      <c r="E9" s="4" t="s">
        <v>108</v>
      </c>
      <c r="F9" s="8">
        <v>148421.27000000002</v>
      </c>
    </row>
    <row r="10" spans="2:10" x14ac:dyDescent="0.35">
      <c r="B10" s="4" t="s">
        <v>6604</v>
      </c>
      <c r="C10" s="2">
        <v>12305363.75</v>
      </c>
      <c r="E10" s="4" t="s">
        <v>45</v>
      </c>
      <c r="F10" s="8">
        <v>150066.40999999986</v>
      </c>
      <c r="H10" t="s">
        <v>6617</v>
      </c>
      <c r="J10" t="s">
        <v>6614</v>
      </c>
    </row>
    <row r="11" spans="2:10" x14ac:dyDescent="0.35">
      <c r="E11" s="4" t="s">
        <v>6604</v>
      </c>
      <c r="F11" s="2">
        <v>583303.3899999999</v>
      </c>
      <c r="H11" s="10">
        <v>2467.6770000000001</v>
      </c>
      <c r="J11" s="9">
        <v>5394</v>
      </c>
    </row>
    <row r="12" spans="2:10" x14ac:dyDescent="0.35">
      <c r="H12" s="10">
        <f>GETPIVOTDATA("Unit Price",$H$10)</f>
        <v>2467.6770000000001</v>
      </c>
      <c r="J12" s="9">
        <f>GETPIVOTDATA("Quantity",$J$10)</f>
        <v>5394</v>
      </c>
    </row>
    <row r="13" spans="2:10" ht="16.5" x14ac:dyDescent="0.45">
      <c r="B13" s="12" t="s">
        <v>6606</v>
      </c>
      <c r="C13" s="11"/>
      <c r="H13" t="s">
        <v>6615</v>
      </c>
      <c r="J13" s="6" t="s">
        <v>6612</v>
      </c>
    </row>
    <row r="14" spans="2:10" ht="16.5" x14ac:dyDescent="0.45">
      <c r="B14" s="3" t="s">
        <v>6603</v>
      </c>
      <c r="C14" t="s">
        <v>6601</v>
      </c>
      <c r="E14" s="12" t="s">
        <v>6611</v>
      </c>
      <c r="F14" s="11"/>
      <c r="H14" s="9">
        <v>24991</v>
      </c>
      <c r="J14" s="5">
        <f>GETPIVOTDATA("Profit",$E$6)/GETPIVOTDATA("Sales Amount",$B$6)*100</f>
        <v>4.7402368743467651</v>
      </c>
    </row>
    <row r="15" spans="2:10" x14ac:dyDescent="0.35">
      <c r="B15" s="4" t="s">
        <v>46</v>
      </c>
      <c r="C15" s="7">
        <v>2913078.2500000005</v>
      </c>
      <c r="E15" s="3" t="s">
        <v>6603</v>
      </c>
      <c r="F15" t="s">
        <v>6601</v>
      </c>
      <c r="H15" s="9">
        <f>GETPIVOTDATA("Stock left",$H$13)</f>
        <v>24991</v>
      </c>
      <c r="J15" s="5">
        <f>J14</f>
        <v>4.7402368743467651</v>
      </c>
    </row>
    <row r="16" spans="2:10" ht="16.5" x14ac:dyDescent="0.45">
      <c r="B16" s="4" t="s">
        <v>97</v>
      </c>
      <c r="C16" s="7">
        <v>3013506.0500000007</v>
      </c>
      <c r="E16" s="4" t="s">
        <v>6608</v>
      </c>
      <c r="F16" s="7">
        <v>884868.95</v>
      </c>
      <c r="H16" s="12" t="s">
        <v>6630</v>
      </c>
      <c r="I16" s="11"/>
    </row>
    <row r="17" spans="2:9" x14ac:dyDescent="0.35">
      <c r="B17" s="4" t="s">
        <v>118</v>
      </c>
      <c r="C17" s="7">
        <v>3160397.9000000018</v>
      </c>
      <c r="E17" s="4" t="s">
        <v>6609</v>
      </c>
      <c r="F17" s="7">
        <v>6319189.8999999985</v>
      </c>
      <c r="H17" s="3" t="s">
        <v>6603</v>
      </c>
      <c r="I17" t="s">
        <v>6601</v>
      </c>
    </row>
    <row r="18" spans="2:9" x14ac:dyDescent="0.35">
      <c r="B18" s="4" t="s">
        <v>32</v>
      </c>
      <c r="C18" s="7">
        <v>3218381.5499999993</v>
      </c>
      <c r="E18" s="4" t="s">
        <v>6610</v>
      </c>
      <c r="F18" s="7">
        <v>5101304.8999999994</v>
      </c>
      <c r="H18" s="4" t="s">
        <v>6618</v>
      </c>
      <c r="I18" s="8">
        <v>827003.20000000007</v>
      </c>
    </row>
    <row r="19" spans="2:9" x14ac:dyDescent="0.35">
      <c r="B19" s="4" t="s">
        <v>6604</v>
      </c>
      <c r="C19" s="2">
        <v>12305363.750000002</v>
      </c>
      <c r="E19" s="4" t="s">
        <v>6604</v>
      </c>
      <c r="F19" s="2">
        <v>12305363.749999998</v>
      </c>
      <c r="H19" s="4" t="s">
        <v>6619</v>
      </c>
      <c r="I19" s="8">
        <v>838208.75</v>
      </c>
    </row>
    <row r="20" spans="2:9" x14ac:dyDescent="0.35">
      <c r="H20" s="4" t="s">
        <v>6620</v>
      </c>
      <c r="I20" s="8">
        <v>1186328.1999999995</v>
      </c>
    </row>
    <row r="21" spans="2:9" x14ac:dyDescent="0.35">
      <c r="H21" s="4" t="s">
        <v>6621</v>
      </c>
      <c r="I21" s="8">
        <v>1331785.7</v>
      </c>
    </row>
    <row r="22" spans="2:9" ht="16.5" x14ac:dyDescent="0.45">
      <c r="B22" s="12" t="s">
        <v>6636</v>
      </c>
      <c r="C22" s="11"/>
      <c r="E22" s="12" t="s">
        <v>6635</v>
      </c>
      <c r="F22" s="11"/>
      <c r="H22" s="4" t="s">
        <v>6622</v>
      </c>
      <c r="I22" s="8">
        <v>987206.90000000014</v>
      </c>
    </row>
    <row r="23" spans="2:9" x14ac:dyDescent="0.35">
      <c r="B23" s="3" t="s">
        <v>6603</v>
      </c>
      <c r="C23" t="s">
        <v>6601</v>
      </c>
      <c r="E23" s="3" t="s">
        <v>6603</v>
      </c>
      <c r="F23" t="s">
        <v>6601</v>
      </c>
      <c r="H23" s="4" t="s">
        <v>6623</v>
      </c>
      <c r="I23" s="8">
        <v>1081110.6499999999</v>
      </c>
    </row>
    <row r="24" spans="2:9" x14ac:dyDescent="0.35">
      <c r="B24" s="4" t="s">
        <v>155</v>
      </c>
      <c r="C24" s="8">
        <v>427594.15</v>
      </c>
      <c r="E24" s="4" t="s">
        <v>6631</v>
      </c>
      <c r="F24" s="7">
        <v>2851540.1500000004</v>
      </c>
      <c r="H24" s="4" t="s">
        <v>6624</v>
      </c>
      <c r="I24" s="8">
        <v>1159462</v>
      </c>
    </row>
    <row r="25" spans="2:9" x14ac:dyDescent="0.35">
      <c r="B25" s="4" t="s">
        <v>87</v>
      </c>
      <c r="C25" s="8">
        <v>420468.05</v>
      </c>
      <c r="E25" s="4" t="s">
        <v>6632</v>
      </c>
      <c r="F25" s="7">
        <v>3400103.2500000014</v>
      </c>
      <c r="H25" s="4" t="s">
        <v>6625</v>
      </c>
      <c r="I25" s="8">
        <v>934171.9500000003</v>
      </c>
    </row>
    <row r="26" spans="2:9" x14ac:dyDescent="0.35">
      <c r="B26" s="4" t="s">
        <v>78</v>
      </c>
      <c r="C26" s="8">
        <v>378299.05000000005</v>
      </c>
      <c r="E26" s="4" t="s">
        <v>6633</v>
      </c>
      <c r="F26" s="7">
        <v>3045021.5500000003</v>
      </c>
      <c r="H26" s="4" t="s">
        <v>6626</v>
      </c>
      <c r="I26" s="8">
        <v>951387.6</v>
      </c>
    </row>
    <row r="27" spans="2:9" x14ac:dyDescent="0.35">
      <c r="B27" s="4" t="s">
        <v>927</v>
      </c>
      <c r="C27" s="8">
        <v>349116.60000000003</v>
      </c>
      <c r="E27" s="4" t="s">
        <v>6634</v>
      </c>
      <c r="F27" s="7">
        <v>3008698.8000000003</v>
      </c>
      <c r="H27" s="4" t="s">
        <v>6627</v>
      </c>
      <c r="I27" s="8">
        <v>1141077.2500000002</v>
      </c>
    </row>
    <row r="28" spans="2:9" x14ac:dyDescent="0.35">
      <c r="B28" s="4" t="s">
        <v>239</v>
      </c>
      <c r="C28" s="8">
        <v>332769.79999999993</v>
      </c>
      <c r="E28" s="4" t="s">
        <v>6604</v>
      </c>
      <c r="F28" s="2">
        <v>12305363.750000004</v>
      </c>
      <c r="H28" s="4" t="s">
        <v>6628</v>
      </c>
      <c r="I28" s="8">
        <v>723276.05000000028</v>
      </c>
    </row>
    <row r="29" spans="2:9" x14ac:dyDescent="0.35">
      <c r="B29" s="4" t="s">
        <v>415</v>
      </c>
      <c r="C29" s="8">
        <v>332734.7</v>
      </c>
      <c r="H29" s="4" t="s">
        <v>6629</v>
      </c>
      <c r="I29" s="8">
        <v>1144345.5</v>
      </c>
    </row>
    <row r="30" spans="2:9" x14ac:dyDescent="0.35">
      <c r="B30" s="4" t="s">
        <v>430</v>
      </c>
      <c r="C30" s="8">
        <v>327159.04999999993</v>
      </c>
      <c r="H30" s="4" t="s">
        <v>6604</v>
      </c>
      <c r="I30" s="2">
        <v>12305363.750000002</v>
      </c>
    </row>
    <row r="31" spans="2:9" x14ac:dyDescent="0.35">
      <c r="B31" s="4" t="s">
        <v>786</v>
      </c>
      <c r="C31" s="8">
        <v>325893.99999999994</v>
      </c>
    </row>
    <row r="32" spans="2:9" x14ac:dyDescent="0.35">
      <c r="B32" s="4" t="s">
        <v>524</v>
      </c>
      <c r="C32" s="8">
        <v>318643.50000000006</v>
      </c>
    </row>
    <row r="33" spans="2:9" ht="16.5" x14ac:dyDescent="0.45">
      <c r="B33" s="4" t="s">
        <v>482</v>
      </c>
      <c r="C33" s="8">
        <v>310552.80000000005</v>
      </c>
      <c r="E33" s="12" t="s">
        <v>6637</v>
      </c>
      <c r="F33" s="11"/>
      <c r="H33" s="12" t="s">
        <v>6638</v>
      </c>
      <c r="I33" s="11"/>
    </row>
    <row r="34" spans="2:9" x14ac:dyDescent="0.35">
      <c r="B34" s="4" t="s">
        <v>6604</v>
      </c>
      <c r="C34" s="2">
        <v>3523231.6999999993</v>
      </c>
      <c r="E34" s="3" t="s">
        <v>6603</v>
      </c>
      <c r="F34" t="s">
        <v>6602</v>
      </c>
      <c r="H34" s="3" t="s">
        <v>6603</v>
      </c>
      <c r="I34" t="s">
        <v>6601</v>
      </c>
    </row>
    <row r="35" spans="2:9" x14ac:dyDescent="0.35">
      <c r="E35" s="4" t="s">
        <v>1205</v>
      </c>
      <c r="F35" s="2">
        <v>1450.77</v>
      </c>
      <c r="H35" s="4" t="s">
        <v>232</v>
      </c>
      <c r="I35" s="2">
        <v>68186.8</v>
      </c>
    </row>
    <row r="36" spans="2:9" x14ac:dyDescent="0.35">
      <c r="E36" s="4" t="s">
        <v>961</v>
      </c>
      <c r="F36" s="2">
        <v>1330.35</v>
      </c>
      <c r="H36" s="4" t="s">
        <v>4307</v>
      </c>
      <c r="I36" s="2">
        <v>50527</v>
      </c>
    </row>
    <row r="37" spans="2:9" x14ac:dyDescent="0.35">
      <c r="E37" s="4" t="s">
        <v>2872</v>
      </c>
      <c r="F37" s="2">
        <v>1342.65</v>
      </c>
      <c r="H37" s="4" t="s">
        <v>2179</v>
      </c>
      <c r="I37" s="2">
        <v>49881</v>
      </c>
    </row>
    <row r="38" spans="2:9" x14ac:dyDescent="0.35">
      <c r="E38" s="4" t="s">
        <v>2494</v>
      </c>
      <c r="F38" s="2">
        <v>1120.5</v>
      </c>
      <c r="H38" s="4" t="s">
        <v>139</v>
      </c>
      <c r="I38" s="2">
        <v>49740</v>
      </c>
    </row>
    <row r="39" spans="2:9" x14ac:dyDescent="0.35">
      <c r="E39" s="4" t="s">
        <v>2260</v>
      </c>
      <c r="F39" s="2">
        <v>1228.46</v>
      </c>
      <c r="H39" s="4" t="s">
        <v>4798</v>
      </c>
      <c r="I39" s="2">
        <v>49105</v>
      </c>
    </row>
    <row r="40" spans="2:9" x14ac:dyDescent="0.35">
      <c r="E40" s="4" t="s">
        <v>6604</v>
      </c>
      <c r="F40" s="2">
        <v>6472.7300000000005</v>
      </c>
      <c r="H40" s="4" t="s">
        <v>6604</v>
      </c>
      <c r="I40" s="2">
        <v>267439.8</v>
      </c>
    </row>
    <row r="43" spans="2:9" x14ac:dyDescent="0.35">
      <c r="E43" s="4" t="s">
        <v>155</v>
      </c>
      <c r="F43" s="8">
        <v>427594.15</v>
      </c>
    </row>
    <row r="44" spans="2:9" x14ac:dyDescent="0.35">
      <c r="E44" s="4" t="s">
        <v>87</v>
      </c>
      <c r="F44" s="8">
        <v>420468.05</v>
      </c>
    </row>
    <row r="45" spans="2:9" x14ac:dyDescent="0.35">
      <c r="E45" s="4" t="s">
        <v>78</v>
      </c>
      <c r="F45" s="8">
        <v>378299.05000000005</v>
      </c>
    </row>
    <row r="46" spans="2:9" x14ac:dyDescent="0.35">
      <c r="E46" s="4" t="s">
        <v>927</v>
      </c>
      <c r="F46" s="8">
        <v>349116.60000000003</v>
      </c>
    </row>
    <row r="47" spans="2:9" x14ac:dyDescent="0.35">
      <c r="E47" s="4" t="s">
        <v>239</v>
      </c>
      <c r="F47" s="8">
        <v>332769.79999999993</v>
      </c>
    </row>
    <row r="48" spans="2:9" x14ac:dyDescent="0.35">
      <c r="E48" s="4" t="s">
        <v>415</v>
      </c>
      <c r="F48" s="8">
        <v>332734.7</v>
      </c>
    </row>
    <row r="49" spans="5:6" x14ac:dyDescent="0.35">
      <c r="E49" s="4" t="s">
        <v>430</v>
      </c>
      <c r="F49" s="8">
        <v>327159.04999999993</v>
      </c>
    </row>
    <row r="50" spans="5:6" x14ac:dyDescent="0.35">
      <c r="E50" s="4" t="s">
        <v>786</v>
      </c>
      <c r="F50" s="8">
        <v>325893.99999999994</v>
      </c>
    </row>
    <row r="51" spans="5:6" x14ac:dyDescent="0.35">
      <c r="E51" s="4" t="s">
        <v>524</v>
      </c>
      <c r="F51" s="8">
        <v>318643.50000000006</v>
      </c>
    </row>
    <row r="52" spans="5:6" x14ac:dyDescent="0.35">
      <c r="E52" s="4" t="s">
        <v>482</v>
      </c>
      <c r="F52" s="8">
        <v>310552.80000000005</v>
      </c>
    </row>
    <row r="53" spans="5:6" x14ac:dyDescent="0.35">
      <c r="E53" s="4" t="s">
        <v>706</v>
      </c>
      <c r="F53" s="8">
        <v>299345.95</v>
      </c>
    </row>
    <row r="54" spans="5:6" x14ac:dyDescent="0.35">
      <c r="E54" s="4" t="s">
        <v>662</v>
      </c>
      <c r="F54" s="8">
        <v>297013.7</v>
      </c>
    </row>
    <row r="55" spans="5:6" x14ac:dyDescent="0.35">
      <c r="E55" s="4" t="s">
        <v>1898</v>
      </c>
      <c r="F55" s="8">
        <v>294229.7</v>
      </c>
    </row>
    <row r="56" spans="5:6" x14ac:dyDescent="0.35">
      <c r="E56" s="4" t="s">
        <v>691</v>
      </c>
      <c r="F56" s="8">
        <v>293505.7</v>
      </c>
    </row>
    <row r="57" spans="5:6" x14ac:dyDescent="0.35">
      <c r="E57" s="4" t="s">
        <v>60</v>
      </c>
      <c r="F57" s="8">
        <v>290299.85000000003</v>
      </c>
    </row>
    <row r="58" spans="5:6" x14ac:dyDescent="0.35">
      <c r="E58" s="4" t="s">
        <v>138</v>
      </c>
      <c r="F58" s="8">
        <v>283365.99999999994</v>
      </c>
    </row>
    <row r="59" spans="5:6" x14ac:dyDescent="0.35">
      <c r="E59" s="4" t="s">
        <v>532</v>
      </c>
      <c r="F59" s="8">
        <v>282380.75</v>
      </c>
    </row>
    <row r="60" spans="5:6" x14ac:dyDescent="0.35">
      <c r="E60" s="4" t="s">
        <v>190</v>
      </c>
      <c r="F60" s="8">
        <v>282056.45</v>
      </c>
    </row>
    <row r="61" spans="5:6" x14ac:dyDescent="0.35">
      <c r="E61" s="4" t="s">
        <v>699</v>
      </c>
      <c r="F61" s="8">
        <v>278756.84999999998</v>
      </c>
    </row>
    <row r="62" spans="5:6" x14ac:dyDescent="0.35">
      <c r="E62" s="4" t="s">
        <v>207</v>
      </c>
      <c r="F62" s="8">
        <v>272635.44999999995</v>
      </c>
    </row>
    <row r="63" spans="5:6" x14ac:dyDescent="0.35">
      <c r="E63" s="4" t="s">
        <v>598</v>
      </c>
      <c r="F63" s="8">
        <v>272267.50000000006</v>
      </c>
    </row>
    <row r="64" spans="5:6" x14ac:dyDescent="0.35">
      <c r="E64" s="4" t="s">
        <v>222</v>
      </c>
      <c r="F64" s="8">
        <v>247593.19999999998</v>
      </c>
    </row>
    <row r="65" spans="5:6" x14ac:dyDescent="0.35">
      <c r="E65" s="4" t="s">
        <v>474</v>
      </c>
      <c r="F65" s="8">
        <v>243667.4</v>
      </c>
    </row>
    <row r="66" spans="5:6" x14ac:dyDescent="0.35">
      <c r="E66" s="4" t="s">
        <v>750</v>
      </c>
      <c r="F66" s="8">
        <v>242592.15</v>
      </c>
    </row>
    <row r="67" spans="5:6" x14ac:dyDescent="0.35">
      <c r="E67" s="4" t="s">
        <v>466</v>
      </c>
      <c r="F67" s="8">
        <v>241906.44999999998</v>
      </c>
    </row>
    <row r="68" spans="5:6" x14ac:dyDescent="0.35">
      <c r="E68" s="4" t="s">
        <v>562</v>
      </c>
      <c r="F68" s="8">
        <v>240433.74999999997</v>
      </c>
    </row>
    <row r="69" spans="5:6" x14ac:dyDescent="0.35">
      <c r="E69" s="4" t="s">
        <v>98</v>
      </c>
      <c r="F69" s="8">
        <v>234933.20000000004</v>
      </c>
    </row>
    <row r="70" spans="5:6" x14ac:dyDescent="0.35">
      <c r="E70" s="4" t="s">
        <v>128</v>
      </c>
      <c r="F70" s="8">
        <v>231501.75</v>
      </c>
    </row>
    <row r="71" spans="5:6" x14ac:dyDescent="0.35">
      <c r="E71" s="4" t="s">
        <v>247</v>
      </c>
      <c r="F71" s="8">
        <v>226804.85</v>
      </c>
    </row>
    <row r="72" spans="5:6" x14ac:dyDescent="0.35">
      <c r="E72" s="4" t="s">
        <v>970</v>
      </c>
      <c r="F72" s="8">
        <v>226592</v>
      </c>
    </row>
    <row r="73" spans="5:6" x14ac:dyDescent="0.35">
      <c r="E73" s="4" t="s">
        <v>312</v>
      </c>
      <c r="F73" s="8">
        <v>221143.59999999998</v>
      </c>
    </row>
    <row r="74" spans="5:6" x14ac:dyDescent="0.35">
      <c r="E74" s="4" t="s">
        <v>349</v>
      </c>
      <c r="F74" s="8">
        <v>220648.34999999998</v>
      </c>
    </row>
    <row r="75" spans="5:6" x14ac:dyDescent="0.35">
      <c r="E75" s="4" t="s">
        <v>119</v>
      </c>
      <c r="F75" s="8">
        <v>217799.4</v>
      </c>
    </row>
    <row r="76" spans="5:6" x14ac:dyDescent="0.35">
      <c r="E76" s="4" t="s">
        <v>714</v>
      </c>
      <c r="F76" s="8">
        <v>215295.65000000002</v>
      </c>
    </row>
    <row r="77" spans="5:6" x14ac:dyDescent="0.35">
      <c r="E77" s="4" t="s">
        <v>33</v>
      </c>
      <c r="F77" s="8">
        <v>209080</v>
      </c>
    </row>
    <row r="78" spans="5:6" x14ac:dyDescent="0.35">
      <c r="E78" s="4" t="s">
        <v>992</v>
      </c>
      <c r="F78" s="8">
        <v>201813.5</v>
      </c>
    </row>
    <row r="79" spans="5:6" x14ac:dyDescent="0.35">
      <c r="E79" s="4" t="s">
        <v>173</v>
      </c>
      <c r="F79" s="8">
        <v>188919.75000000003</v>
      </c>
    </row>
    <row r="80" spans="5:6" x14ac:dyDescent="0.35">
      <c r="E80" s="4" t="s">
        <v>181</v>
      </c>
      <c r="F80" s="8">
        <v>180144.89999999997</v>
      </c>
    </row>
    <row r="81" spans="5:6" x14ac:dyDescent="0.35">
      <c r="E81" s="4" t="s">
        <v>69</v>
      </c>
      <c r="F81" s="8">
        <v>179460.80000000002</v>
      </c>
    </row>
    <row r="82" spans="5:6" x14ac:dyDescent="0.35">
      <c r="E82" s="4" t="s">
        <v>47</v>
      </c>
      <c r="F82" s="8">
        <v>174767.94999999998</v>
      </c>
    </row>
    <row r="83" spans="5:6" x14ac:dyDescent="0.35">
      <c r="E83" s="4" t="s">
        <v>199</v>
      </c>
      <c r="F83" s="8">
        <v>174690.95</v>
      </c>
    </row>
    <row r="84" spans="5:6" x14ac:dyDescent="0.35">
      <c r="E84" s="4" t="s">
        <v>231</v>
      </c>
      <c r="F84" s="8">
        <v>170007.35000000003</v>
      </c>
    </row>
    <row r="85" spans="5:6" x14ac:dyDescent="0.35">
      <c r="E85" s="4" t="s">
        <v>400</v>
      </c>
      <c r="F85" s="8">
        <v>165792.15000000002</v>
      </c>
    </row>
    <row r="86" spans="5:6" x14ac:dyDescent="0.35">
      <c r="E86" s="4" t="s">
        <v>547</v>
      </c>
      <c r="F86" s="8">
        <v>164337.29999999999</v>
      </c>
    </row>
    <row r="87" spans="5:6" x14ac:dyDescent="0.35">
      <c r="E87" s="4" t="s">
        <v>109</v>
      </c>
      <c r="F87" s="8">
        <v>160835.05000000002</v>
      </c>
    </row>
    <row r="88" spans="5:6" x14ac:dyDescent="0.35">
      <c r="E88" s="4" t="s">
        <v>885</v>
      </c>
      <c r="F88" s="8">
        <v>157712.15</v>
      </c>
    </row>
    <row r="89" spans="5:6" x14ac:dyDescent="0.35">
      <c r="E89" s="4" t="s">
        <v>1088</v>
      </c>
      <c r="F89" s="8">
        <v>151983.54999999999</v>
      </c>
    </row>
    <row r="90" spans="5:6" x14ac:dyDescent="0.35">
      <c r="E90" s="4" t="s">
        <v>648</v>
      </c>
      <c r="F90" s="8">
        <v>144920.9</v>
      </c>
    </row>
    <row r="91" spans="5:6" x14ac:dyDescent="0.35">
      <c r="E91" s="4" t="s">
        <v>1275</v>
      </c>
      <c r="F91" s="8">
        <v>100520.95000000003</v>
      </c>
    </row>
    <row r="92" spans="5:6" x14ac:dyDescent="0.35">
      <c r="E92" s="4" t="s">
        <v>164</v>
      </c>
      <c r="F92" s="8">
        <v>100375.15</v>
      </c>
    </row>
  </sheetData>
  <mergeCells count="10">
    <mergeCell ref="H16:I16"/>
    <mergeCell ref="B22:C22"/>
    <mergeCell ref="E22:F22"/>
    <mergeCell ref="E33:F33"/>
    <mergeCell ref="H33:I33"/>
    <mergeCell ref="B5:C5"/>
    <mergeCell ref="B13:C13"/>
    <mergeCell ref="E5:F5"/>
    <mergeCell ref="E14:F14"/>
    <mergeCell ref="H5:J5"/>
  </mergeCells>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F7F37-743A-4F83-B083-CCF2E43C2A41}">
  <dimension ref="A1"/>
  <sheetViews>
    <sheetView showGridLines="0" zoomScale="75" zoomScaleNormal="75" workbookViewId="0">
      <selection activeCell="X22" sqref="X2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Krishnakanth R</dc:creator>
  <cp:lastModifiedBy>Krishnakanth R</cp:lastModifiedBy>
  <dcterms:created xsi:type="dcterms:W3CDTF">2026-01-08T04:29:00Z</dcterms:created>
  <dcterms:modified xsi:type="dcterms:W3CDTF">2026-01-08T17:34:06Z</dcterms:modified>
</cp:coreProperties>
</file>